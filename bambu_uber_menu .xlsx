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ber-menu-prod" sheetId="1" r:id="rId5"/>
    <sheet state="visible" name="hướng dẫn" sheetId="2" r:id="rId6"/>
    <sheet state="visible" name="1.Sweet Dessert" sheetId="3" r:id="rId7"/>
    <sheet state="visible" name="2.Fruit Drinks - Tea" sheetId="4" r:id="rId8"/>
    <sheet state="hidden" name="Soft Serve &amp; ACAI (off)" sheetId="5" r:id="rId9"/>
    <sheet state="visible" name="3.Fresh Juice" sheetId="6" r:id="rId10"/>
    <sheet state="visible" name="4.Smoothies" sheetId="7" r:id="rId11"/>
    <sheet state="visible" name="5.Pennywort Drinks" sheetId="8" r:id="rId12"/>
    <sheet state="visible" name="6.Iced Coffee" sheetId="9" r:id="rId13"/>
    <sheet state="visible" name="7.Espresso (Hot)" sheetId="10" r:id="rId14"/>
    <sheet state="visible" name="8.Ice Blended" sheetId="11" r:id="rId15"/>
    <sheet state="visible" name="9.Fruit Bowls &amp; Dessert " sheetId="12" r:id="rId16"/>
    <sheet state="visible" name="10.Matcha Drinks" sheetId="13" r:id="rId17"/>
    <sheet state="visible" name="11.New drink" sheetId="14" r:id="rId18"/>
    <sheet state="visible" name="12.CABRA FOODS" sheetId="15" r:id="rId19"/>
    <sheet state="visible" name="13.CANLEY FOODS" sheetId="16" r:id="rId20"/>
  </sheets>
  <definedNames>
    <definedName hidden="1" localSheetId="2" name="_xlnm._FilterDatabase">'1.Sweet Dessert'!$B$1:$L$12</definedName>
  </definedNames>
  <calcPr/>
</workbook>
</file>

<file path=xl/sharedStrings.xml><?xml version="1.0" encoding="utf-8"?>
<sst xmlns="http://schemas.openxmlformats.org/spreadsheetml/2006/main" count="1222" uniqueCount="649">
  <si>
    <t>section</t>
  </si>
  <si>
    <t>stt</t>
  </si>
  <si>
    <t>productID</t>
  </si>
  <si>
    <t>nameVi</t>
  </si>
  <si>
    <t>nameEn</t>
  </si>
  <si>
    <t>nameUber</t>
  </si>
  <si>
    <t>size</t>
  </si>
  <si>
    <t>pricePickup</t>
  </si>
  <si>
    <t>priceUber</t>
  </si>
  <si>
    <t>description</t>
  </si>
  <si>
    <t>photoStt</t>
  </si>
  <si>
    <t>notes</t>
  </si>
  <si>
    <t>priceLine</t>
  </si>
  <si>
    <t>Cột đích (uber-menu-prod)</t>
  </si>
  <si>
    <t>Cột nguồn (Các sheet danh mục)</t>
  </si>
  <si>
    <t>Ý nghĩa</t>
  </si>
  <si>
    <t>Ghi chú</t>
  </si>
  <si>
    <t>Tên sheet (gồm cả STT)</t>
  </si>
  <si>
    <t>Tên danh mục món ăn</t>
  </si>
  <si>
    <t>Lấy từ tên của từng sheet danh mục</t>
  </si>
  <si>
    <t>STT</t>
  </si>
  <si>
    <t>Số thứ tự món trong danh mục</t>
  </si>
  <si>
    <t>Product ID</t>
  </si>
  <si>
    <t>Mã sản phẩm</t>
  </si>
  <si>
    <t>Tên tiếng Việt</t>
  </si>
  <si>
    <t>Tên món bằng tiếng Việt</t>
  </si>
  <si>
    <t>Tên tiếng Anh</t>
  </si>
  <si>
    <t>Tên món bằng tiếng Anh</t>
  </si>
  <si>
    <t>Tên Uber</t>
  </si>
  <si>
    <t>Tên hiển thị trên Uber</t>
  </si>
  <si>
    <t>Size</t>
  </si>
  <si>
    <t>Kích cỡ món</t>
  </si>
  <si>
    <t>Một số sheet không có cột này, sheet nào không có thì bỏ trống không cần điền</t>
  </si>
  <si>
    <t>Giá tiền offline store = pickup (AUD)</t>
  </si>
  <si>
    <t>Giá mua tại cửa hàng</t>
  </si>
  <si>
    <t>Tên cột có thể hơi khác biệt ở một vài sheet</t>
  </si>
  <si>
    <t>Giá tiền Uber (AUD)</t>
  </si>
  <si>
    <t>Giá bán trên Uber</t>
  </si>
  <si>
    <t>Mô tả</t>
  </si>
  <si>
    <t>Mô tả chi tiết món</t>
  </si>
  <si>
    <t>Một số sheet ghi là "Mô Tả"</t>
  </si>
  <si>
    <t>STT Ảnh</t>
  </si>
  <si>
    <t>Số thứ tự ảnh</t>
  </si>
  <si>
    <t>Chừa trống cột này</t>
  </si>
  <si>
    <t>Ghi chú thêm</t>
  </si>
  <si>
    <t>Một số sheet ghi là "GHI CHÚ"</t>
  </si>
  <si>
    <t>Không có</t>
  </si>
  <si>
    <t>Giá theo Line</t>
  </si>
  <si>
    <t>Chừa trống k điền.</t>
  </si>
  <si>
    <t>Sweet Dessert</t>
  </si>
  <si>
    <t>Chè HALO HALO</t>
  </si>
  <si>
    <t>Halo Halo</t>
  </si>
  <si>
    <t>L</t>
  </si>
  <si>
    <t>Jackfruit, rainbow jelly, herbal jelly, pandan noodle, coconut jelly, taro ice-cream, peanut, ruby chestnuts &amp; coconut milk.</t>
  </si>
  <si>
    <t>https://drive.google.com/file/d/1W7dZ6nngPrZUClElO7OQIKHI9FfpSIx7/view?usp=sharing</t>
  </si>
  <si>
    <t>Chè Sâm Bổ Lượng</t>
  </si>
  <si>
    <t>Ching Bo Leung</t>
  </si>
  <si>
    <t>Water chestnut, lotus root, lotus seed, longan, seaweed, noodle jelly, jujube and barley with crushed ice, mixed jelly.</t>
  </si>
  <si>
    <t>https://drive.google.com/file/d/17Z0lWLL80uDkYQUOQ6ACvMvr7JSItTBL/view?usp=sharing</t>
  </si>
  <si>
    <t>Chè Bambu Thập Cẩm</t>
  </si>
  <si>
    <t>Bambu Special</t>
  </si>
  <si>
    <t>Jackfruit, lychee, avocado, young coconut, red bean, mung bean, tamarind seeds, attap fruit seeds, coconut milk, popping pearl &amp; mixed jelly.</t>
  </si>
  <si>
    <t>https://drive.google.com/file/d/1BR7606-IbSxdLez5yvXx5gzA1qR8hQye/view?usp=sharing</t>
  </si>
  <si>
    <t>Chè Bánh Lọt - Củ Năng</t>
  </si>
  <si>
    <t>Pandan Noodle Sweet</t>
  </si>
  <si>
    <t>Pandan noodles with crispy ruby &amp; chestnuts.</t>
  </si>
  <si>
    <t>https://drive.google.com/file/d/1wJd6Otm1nNFhHPMvywysy8xf666ZYmVq/view?usp=sharing</t>
  </si>
  <si>
    <t>Chè 3 Màu</t>
  </si>
  <si>
    <t>Awsom Trio</t>
  </si>
  <si>
    <t>Red bean, mung bean, pandan noodle, ruby chestnuts, clear jelly, peanut &amp; coconut cream.</t>
  </si>
  <si>
    <t>https://drive.google.com/file/d/1L2RkxqIwXXTTPKXKj0bUJlLxqL2tr5Ie/view?usp=sharing</t>
  </si>
  <si>
    <t>Chè Sương Sa &amp; Sương Sáo</t>
  </si>
  <si>
    <t>Herbal &amp; Clear Jelly</t>
  </si>
  <si>
    <t>Herbal &amp; clear jelly with basil seed, ruby chestnuts.</t>
  </si>
  <si>
    <t>https://drive.google.com/file/d/1L0tUwAVvCuhguigWTBPDOYzz-scRRL9Z/view?usp=sharing</t>
  </si>
  <si>
    <t>Chè Khúc Bạch</t>
  </si>
  <si>
    <t>Panna Cotta</t>
  </si>
  <si>
    <t>Mixed panna cotta, basil seed, lychee, pineapple jams, roasted almonds flakes, ruby chestnuts.</t>
  </si>
  <si>
    <t>https://drive.google.com/file/d/1_D7QNzDjHXRopDUnwAaG2BijJKBgj-mN/view?usp=sharing</t>
  </si>
  <si>
    <t>Chè Bưởi Lạnh</t>
  </si>
  <si>
    <t>Pomelo Rink</t>
  </si>
  <si>
    <t>Pomelo rind, mung beans, red bean, young coconut, tamarind seed, roasted peanut, ruby chestnuts, coconut cream.</t>
  </si>
  <si>
    <t>https://drive.google.com/file/d/1NPc-FmpfC7YJ5LisY4isffyS2cazDuIP/view?usp=sharing</t>
  </si>
  <si>
    <t>Extra Durian + $4.00</t>
  </si>
  <si>
    <t>Fruit Drinks - Tea</t>
  </si>
  <si>
    <t>Type</t>
  </si>
  <si>
    <t>Trà Đào Cam Sả</t>
  </si>
  <si>
    <t>Peach Orange &amp; Lemongrass Tea</t>
  </si>
  <si>
    <t>COLD</t>
  </si>
  <si>
    <t>R</t>
  </si>
  <si>
    <t>Orange, Lemon, Tea, Peach Topping</t>
  </si>
  <si>
    <t>https://drive.google.com/file/d/108uI4MzX3tLw34Tp-QPBUtLRNGrW2ZwJ/view?usp=sharing</t>
  </si>
  <si>
    <t>Trà Mãng Cầu</t>
  </si>
  <si>
    <t>Soursop Tea</t>
  </si>
  <si>
    <t>Soursop ,tea ,lemon</t>
  </si>
  <si>
    <t>https://drive.google.com/file/d/1S7hGnEg4ps4Sv3lZy7FZFTlwvzHbeOzF/view?usp=sharing</t>
  </si>
  <si>
    <t>Tắc Muối</t>
  </si>
  <si>
    <t>Salted Calamansi</t>
  </si>
  <si>
    <t xml:space="preserve">Salted Calamansi, Green tea , lemon </t>
  </si>
  <si>
    <t>https://drive.google.com/file/d/1VipSCZ45SVBpRtBZsvTmPLGbMdsZxfRi/view?usp=sharing</t>
  </si>
  <si>
    <t>HOT</t>
  </si>
  <si>
    <t>Đá Chanh</t>
  </si>
  <si>
    <t>Fresh Lemonade</t>
  </si>
  <si>
    <t xml:space="preserve">Fresh Lemon Juice </t>
  </si>
  <si>
    <t>https://drive.google.com/file/d/1JYgqqdOvjiqgl2HJFv_0gz3HsDzk_o8-/view?usp=sharing</t>
  </si>
  <si>
    <t>Chanh Nóng</t>
  </si>
  <si>
    <t>Hot Fresh Lemonade</t>
  </si>
  <si>
    <t>Fresh Lemon Juice, Hot water</t>
  </si>
  <si>
    <t>Đá Me</t>
  </si>
  <si>
    <t>Iced Tamarind</t>
  </si>
  <si>
    <t>Pineapple jam with Temarind Seeds &amp; peanut</t>
  </si>
  <si>
    <t>https://drive.google.com/file/d/1edxw6JIQ9zONy28JwRWuEgttG0roF3mD/view?usp=sharing</t>
  </si>
  <si>
    <t>Soda Hoa Đậu Biếc</t>
  </si>
  <si>
    <t>Butterfly Soda</t>
  </si>
  <si>
    <t xml:space="preserve">lemon ,Butterfly flower </t>
  </si>
  <si>
    <t>https://drive.google.com/file/d/1N-unhSIOoSte6H0wzitxEK_MP49y11jx/view?usp=sharing</t>
  </si>
  <si>
    <t>Soda Hoa Hibiscus Đỏ</t>
  </si>
  <si>
    <t>Hibiscus Soda</t>
  </si>
  <si>
    <t>Lemon,Hibiscus flower</t>
  </si>
  <si>
    <t>https://drive.google.com/file/d/1Aa-7mGqpWU17sOe7I-zwqYvf_sUocLA4/view?usp=sharing</t>
  </si>
  <si>
    <t>Soda Vải</t>
  </si>
  <si>
    <t>Lychee Soda</t>
  </si>
  <si>
    <t xml:space="preserve">Lychee,Lemon </t>
  </si>
  <si>
    <t>https://drive.google.com/file/d/1zJCjC3XC8twqR6f78mXJ3TMsdEk1kOIt/view?usp=sharing</t>
  </si>
  <si>
    <t>Soda Chanh Đường</t>
  </si>
  <si>
    <t>Lemon Soda</t>
  </si>
  <si>
    <t>Lemon Juice with Lemon Jam</t>
  </si>
  <si>
    <t>https://drive.google.com/file/d/1PHPG2_1Q-JyiCHCxYQ4U-FKtmGdnmr9A/view?usp=sharing</t>
  </si>
  <si>
    <t xml:space="preserve">Soda Dau </t>
  </si>
  <si>
    <t>Strawberry Soda</t>
  </si>
  <si>
    <t xml:space="preserve">Strawberry jam </t>
  </si>
  <si>
    <t>https://drive.google.com/file/d/1XQAVWW4bdZLT1lsvU2SMITig0pnXyXrO/view?usp=sharing</t>
  </si>
  <si>
    <t>Passion &amp; Salted Calamansi tea</t>
  </si>
  <si>
    <t>Trà Chanh Dây Tắc Muối</t>
  </si>
  <si>
    <t>Passion, passionfruit seed, salt calamansi &amp; tea</t>
  </si>
  <si>
    <t>https://drive.google.com/file/d/1btNVs3XO25S4dKcGX8t7QQ5JrQhPHXG3/view?usp=sharing</t>
  </si>
  <si>
    <t>Passionfruit tea</t>
  </si>
  <si>
    <t>Trà Chanh Dây</t>
  </si>
  <si>
    <t>Passion, passionfruit seed &amp; tea</t>
  </si>
  <si>
    <t>https://drive.google.com/file/d/16VAzfqDviwvE6cMl8CnKqbUwOjfEf57Y/view?usp=sharing</t>
  </si>
  <si>
    <t>Strawberry tea</t>
  </si>
  <si>
    <t>Trà Dâu &amp; Mango Popping Pearls</t>
  </si>
  <si>
    <t>strawberry, tea &amp; mango popping pearls</t>
  </si>
  <si>
    <t>https://drive.google.com/file/d/1ZapiQKb9PvLhbPg7tBlufS1j6q1KQPjz/view?usp=sharing</t>
  </si>
  <si>
    <t>Peach tea</t>
  </si>
  <si>
    <t>Trà Đào</t>
  </si>
  <si>
    <t>peach &amp; tea</t>
  </si>
  <si>
    <t>https://drive.google.com/file/d/1AFaA0CWuY59esFpTpLR8KydvWKtd3VhB/view?usp=sharing</t>
  </si>
  <si>
    <t>Soft Serve &amp; ACAI</t>
  </si>
  <si>
    <t>Giá tiền (AUD)</t>
  </si>
  <si>
    <t>ACAI Bowl</t>
  </si>
  <si>
    <t>M</t>
  </si>
  <si>
    <t>Includes banana, strawberry &amp; granola.</t>
  </si>
  <si>
    <t>Extra</t>
  </si>
  <si>
    <t>Sốt Hạt Dẻ Cười</t>
  </si>
  <si>
    <t>Pistachio Sauce</t>
  </si>
  <si>
    <t>Sốt Bueno</t>
  </si>
  <si>
    <t>Bueno Sauce</t>
  </si>
  <si>
    <t>Sốt Biscoff</t>
  </si>
  <si>
    <t>Biscoff Sauce</t>
  </si>
  <si>
    <t>Sốt Nutella</t>
  </si>
  <si>
    <t>Nutella Sauce</t>
  </si>
  <si>
    <t>Sốt Bơ Đậu Phộng</t>
  </si>
  <si>
    <t>Peanut Butter Sauce</t>
  </si>
  <si>
    <t>Sốt Matcha</t>
  </si>
  <si>
    <t>Matcha Sauce</t>
  </si>
  <si>
    <t>Sốt Lá Dứa</t>
  </si>
  <si>
    <t>Pandan Sauce</t>
  </si>
  <si>
    <t>Sốt Mật Ong</t>
  </si>
  <si>
    <t>Honey Sauce</t>
  </si>
  <si>
    <t>Sốt Sữa Đặc</t>
  </si>
  <si>
    <t>Condensed Milk Sauce</t>
  </si>
  <si>
    <t>Chuối</t>
  </si>
  <si>
    <t>Banana</t>
  </si>
  <si>
    <t>Dưa Hấu</t>
  </si>
  <si>
    <t>Watermelon</t>
  </si>
  <si>
    <t>Dưa Lưới</t>
  </si>
  <si>
    <t>Rockmelon</t>
  </si>
  <si>
    <t>Dâu</t>
  </si>
  <si>
    <t>Strawberry</t>
  </si>
  <si>
    <t>Trân châu nổ</t>
  </si>
  <si>
    <t>Popping Pearls</t>
  </si>
  <si>
    <t>Thạch Cầu Vồng</t>
  </si>
  <si>
    <t>Rainbow Jelly</t>
  </si>
  <si>
    <t>Granola</t>
  </si>
  <si>
    <t>Bánh Mochi</t>
  </si>
  <si>
    <t>Mochi</t>
  </si>
  <si>
    <t>Bánh Cookies</t>
  </si>
  <si>
    <t>Cookies</t>
  </si>
  <si>
    <t>Bánh Timtam</t>
  </si>
  <si>
    <t>Timtam</t>
  </si>
  <si>
    <t>Fresh Juice</t>
  </si>
  <si>
    <t>Cóc Xí Muội</t>
  </si>
  <si>
    <t>Ambarella w Sweet and Sour Plum ( Seasonal)</t>
  </si>
  <si>
    <t>Ambarella w Sweet and Sour Plum ( Seasonal) - Cóc Xí Muội</t>
  </si>
  <si>
    <t>Ambarella Juice with Sweet Sour Plum</t>
  </si>
  <si>
    <t>KHÔNG CẦN HÌNH</t>
  </si>
  <si>
    <t>Táo Xí Muội</t>
  </si>
  <si>
    <t>Green Aplle w Sweet &amp; Sour Plum</t>
  </si>
  <si>
    <t>Green Aplle w Sweet &amp; Sour Plum - Táo Xí Muội</t>
  </si>
  <si>
    <t>Green Apple Juice with Sweet Sour Plum</t>
  </si>
  <si>
    <t>Nước Ép Pink for Me</t>
  </si>
  <si>
    <t>Pink for Me</t>
  </si>
  <si>
    <t xml:space="preserve">Pink for Me </t>
  </si>
  <si>
    <t>Watermelon, strawberry, orange and apple</t>
  </si>
  <si>
    <t>Nước Ép Chanh Dây</t>
  </si>
  <si>
    <t>Passionate</t>
  </si>
  <si>
    <t>Passionfruit , Orange , Pinaapple and Carrot</t>
  </si>
  <si>
    <t>Nước ép Rau</t>
  </si>
  <si>
    <t>Healthy Green</t>
  </si>
  <si>
    <t>Celery, Kale, Cucumber, Green Apple and Mint</t>
  </si>
  <si>
    <t xml:space="preserve">Nước ép tổng hợp </t>
  </si>
  <si>
    <t>Red For You</t>
  </si>
  <si>
    <t>Beetrot, Carrot, Blueberry and Red Apple</t>
  </si>
  <si>
    <t>Smoothies</t>
  </si>
  <si>
    <t xml:space="preserve">Chanh dây và Tắc muối Đá xay </t>
  </si>
  <si>
    <t>Passion &amp; Calamansi</t>
  </si>
  <si>
    <t>Blended Passionfruit with calamansi pieces, lime jam</t>
  </si>
  <si>
    <t>https://drive.google.com/file/d/1ucFRmsq_Al4EonGX-nmmMVX-aAnL1Uut/view?usp=sharing</t>
  </si>
  <si>
    <t>Dừa khom đá xay</t>
  </si>
  <si>
    <t>Pinacolada</t>
  </si>
  <si>
    <t>Blended Pinacolada with pineapple and coconut creamer</t>
  </si>
  <si>
    <t>https://drive.google.com/file/d/1si1p0BXRXXkNwqDo834t1ggMSOVq9NKq/view?usp=sharing</t>
  </si>
  <si>
    <t>Sinh Tố Dưa Hấu &amp; Vải</t>
  </si>
  <si>
    <t>Lychee &amp; Watermelon</t>
  </si>
  <si>
    <t>Blended Lychee and Watermelon, fresh watermelon with creamer</t>
  </si>
  <si>
    <t>https://drive.google.com/file/d/1aGJdM1_BMK_Bqy_ylAR3WcmeI1JffL37/view?usp=sharing</t>
  </si>
  <si>
    <t>Sinh Tố Xoài Cốt Dừa</t>
  </si>
  <si>
    <t>Mango Coconut</t>
  </si>
  <si>
    <t>Blended Mango with mango cube, Coconut milk, creamer and condense milk</t>
  </si>
  <si>
    <t>https://drive.google.com/file/d/1sdfdIxq75LCAHHGyJ8SqEIYgSA15pfJ2/view?usp=sharing</t>
  </si>
  <si>
    <t>Sinh Tố Dâu</t>
  </si>
  <si>
    <t>Strawberry Smoothie</t>
  </si>
  <si>
    <t>Blended Strawberry with condense milk and Full Cream Milk</t>
  </si>
  <si>
    <t>https://drive.google.com/file/d/1epRZ_hu062tlI78L9OPttOzapU36-rwg/view?usp=sharing</t>
  </si>
  <si>
    <t>Sinh Tố Sầu Riêng</t>
  </si>
  <si>
    <t>Durian Smoothie</t>
  </si>
  <si>
    <t>Blended Durian with condense milk and Full Cream Milk</t>
  </si>
  <si>
    <t>https://drive.google.com/file/d/1BavnwwNozAi1hqFiCLkrSfAnW6V51OvC/view?usp=sharing</t>
  </si>
  <si>
    <t>Sinh tố Mãng Cầu</t>
  </si>
  <si>
    <t>Soursop Smoothie</t>
  </si>
  <si>
    <t>Soursop Smoothie - Sinh tố Mãng Cầu</t>
  </si>
  <si>
    <t>Blended Soursop with Lemon, Full Cream Milk</t>
  </si>
  <si>
    <t>https://drive.google.com/file/d/1CkwWYRo0Z5opTbbutVc0PQlOORXhMW3g/view?usp=drivesdk</t>
  </si>
  <si>
    <t>Sinh Tố Bơ</t>
  </si>
  <si>
    <t>Avocado Smoothie</t>
  </si>
  <si>
    <t>Blended Avocado with condense milk and Full Cream Milk</t>
  </si>
  <si>
    <t>https://drive.google.com/file/d/1aQgW1Cy6GiTXA91ME-pmxtr-ycin2p-3/view?usp=sharing</t>
  </si>
  <si>
    <t>Sinh Tố Bơ Dừa &amp; Mè Đen</t>
  </si>
  <si>
    <t>Avocado, Coconut &amp; Black Sesame</t>
  </si>
  <si>
    <t>Blended Avocado, young Coconut &amp; Sesame with coconut cream</t>
  </si>
  <si>
    <t>https://drive.google.com/file/d/1hCSUC2KgOet8fn9rcre9987IZOE-Z0Vr/view?usp=sharing</t>
  </si>
  <si>
    <t>Sinh Tố Bơ Cà Phê</t>
  </si>
  <si>
    <t>Avocado &amp; Coffee</t>
  </si>
  <si>
    <t>Blended Avocado with condense milk , Full Cream Milk &amp; Coffee</t>
  </si>
  <si>
    <t>https://drive.google.com/file/d/1vbp98bm7qNMDqKlMBkq7DC4uLNyen1LD/view?usp=sharing</t>
  </si>
  <si>
    <t>Sinh Tố Bơ Dừa</t>
  </si>
  <si>
    <t>Avocado &amp; Coconut</t>
  </si>
  <si>
    <t>Blended Avocado &amp; young Coconut with Coconut Cream and condense milke</t>
  </si>
  <si>
    <t>https://drive.google.com/file/d/1NhYcQ_yeFrGhD3C89spp-taw-ybo68Ql/view?usp=sharing</t>
  </si>
  <si>
    <t>Sinh Tố Bơ Sầu Riêng</t>
  </si>
  <si>
    <t>Avocado Durian</t>
  </si>
  <si>
    <t>Blended Avocado &amp; Durian with condense milk and Full Cream Milk</t>
  </si>
  <si>
    <t>https://drive.google.com/file/d/1Xe34dlgErsYNiV86pYxvpisDnu_qJoWt/view?usp=sharing</t>
  </si>
  <si>
    <t>ADD</t>
  </si>
  <si>
    <t>SUGAR LEVEL OPTION : LESS SUGAR / MORE SUGAR</t>
  </si>
  <si>
    <t>Pennywort Drinks</t>
  </si>
  <si>
    <t>Rau Má Cốt Dừa Đậu Xanh</t>
  </si>
  <si>
    <t>Pennywort &amp; Coconut  w Mungbean</t>
  </si>
  <si>
    <t>Pennywort Juice with coconut milk and mung bean</t>
  </si>
  <si>
    <t>https://drive.google.com/file/d/1LO6NiPDZ-nikNo3FPzCTI-x2EByYjX_w/view?usp=sharing</t>
  </si>
  <si>
    <t>Rau Má Nước Dừa/ Rau má đậu xanh</t>
  </si>
  <si>
    <t>Pennywort &amp; Coconut / Pennywort &amp; Mungbean</t>
  </si>
  <si>
    <t>Pennywort Juice with Coconut juice and mung bean</t>
  </si>
  <si>
    <t>https://drive.google.com/file/d/1gkfAGuRM2TV6tCT4rTlecSvlJzBG6Xh8/view?usp=sharing</t>
  </si>
  <si>
    <t>Rau Má</t>
  </si>
  <si>
    <t>Pennywort Juice</t>
  </si>
  <si>
    <t>https://drive.google.com/file/d/1P5BZOPLvYPC9LWyWCwv1vJHhPzWxd4ud/view?usp=sharing</t>
  </si>
  <si>
    <t>Iced Coffee</t>
  </si>
  <si>
    <t>Mô Tả</t>
  </si>
  <si>
    <t>STT Anh</t>
  </si>
  <si>
    <t>Cà Phê Muối (Đá)</t>
  </si>
  <si>
    <t>Vietnamese Salted Coffee (Iced)</t>
  </si>
  <si>
    <t>Condensed milk cofee and salted cream</t>
  </si>
  <si>
    <t>https://drive.google.com/file/d/1D3ct4Pc9Dyec1b-8pq2oTzon4oeKx23I/view?usp=sharing</t>
  </si>
  <si>
    <t>Cà Phê Muối (Frap)</t>
  </si>
  <si>
    <t>Iced Frap (Coffee)</t>
  </si>
  <si>
    <t>Blended Condensed Milk Coffee and Salted cream</t>
  </si>
  <si>
    <t>Cà Phê Dừa (Đá)</t>
  </si>
  <si>
    <t>Vietnamese Coconut Coffee (Iced)</t>
  </si>
  <si>
    <t>Condensed Milk Coffee and coconut cream</t>
  </si>
  <si>
    <t>https://drive.google.com/file/d/1PVCXX1A0pGD9571_gFEjQWBVSD9Y5-4a/view?usp=sharing</t>
  </si>
  <si>
    <t>Cà Phê Bạc Xỉu (Đá)</t>
  </si>
  <si>
    <t>Vietnamese White Coffee</t>
  </si>
  <si>
    <t>S</t>
  </si>
  <si>
    <t>Condensed Milk Coffee with Creamy Fresh Milk</t>
  </si>
  <si>
    <t>https://drive.google.com/file/d/1V_J5eQXpylKRp45jb2nf91PlXEliBVHT/view?usp=sharing</t>
  </si>
  <si>
    <t>Cà Phê Đen ( Đá )</t>
  </si>
  <si>
    <t>Vietnamese Black Coffee</t>
  </si>
  <si>
    <t>Cà Phê Sữa ( Đá )</t>
  </si>
  <si>
    <t>Condensed Milk Coffee</t>
  </si>
  <si>
    <t xml:space="preserve">Condensed Milk with Vietnamese Coffee </t>
  </si>
  <si>
    <t>Cà Phê Sữa Tươi Đá</t>
  </si>
  <si>
    <t>Iced Latte</t>
  </si>
  <si>
    <t>Cà Phê Hazelnut</t>
  </si>
  <si>
    <t>Iced Hazelnut Latte</t>
  </si>
  <si>
    <t>Mocha đá</t>
  </si>
  <si>
    <t>Iced Mocha</t>
  </si>
  <si>
    <t>Chocolate đá</t>
  </si>
  <si>
    <t>Iced Chocolate Latte</t>
  </si>
  <si>
    <t>Cà Phê Đá</t>
  </si>
  <si>
    <t>Iced Long Black</t>
  </si>
  <si>
    <t>Cà Phê Đá Vanilla</t>
  </si>
  <si>
    <t>Vanilla Ice Latte</t>
  </si>
  <si>
    <t>Chai Latte</t>
  </si>
  <si>
    <t>Cà Phê Chai</t>
  </si>
  <si>
    <t>Dirty Chai Latte</t>
  </si>
  <si>
    <t>Thêm cà phê Decaf</t>
  </si>
  <si>
    <t>Decaf</t>
  </si>
  <si>
    <t>Thêm shot Espresso</t>
  </si>
  <si>
    <t>Extra Shot</t>
  </si>
  <si>
    <t>Thêm Caramel/Hazelnut/Vanilla</t>
  </si>
  <si>
    <t>Caramel/Hazelnut/Vanilla</t>
  </si>
  <si>
    <t>Sữa hạt (Đậu nành/Hạnh nhân/Yến mạch/Không lactose)</t>
  </si>
  <si>
    <t>Soy / Almond / Oat / Lactose Free</t>
  </si>
  <si>
    <t>Sản phẩm 3 size: Size R
Sản phẩm 2 size: Size R</t>
  </si>
  <si>
    <t>GHI CHÚ</t>
  </si>
  <si>
    <t>SẢN PHẨM CÒN TRONG MENU</t>
  </si>
  <si>
    <t>SẢN PHẨM MỚI ĐƯỢC THÊM VÀO</t>
  </si>
  <si>
    <t>CHƯA CÓ THÔNG TIN</t>
  </si>
  <si>
    <t>Cà Phê Đen Nóng</t>
  </si>
  <si>
    <t>Vietnamese Black (Hot)</t>
  </si>
  <si>
    <t>Vietnamese Black (Hot) - Cà Phê Đen Nóng</t>
  </si>
  <si>
    <t>Cà Phê Sữa Nóng</t>
  </si>
  <si>
    <t>Vietnamese White (Hot)</t>
  </si>
  <si>
    <t>Bạc Xỉu Nóng</t>
  </si>
  <si>
    <t>Condensed Milk Coffee (Hot)</t>
  </si>
  <si>
    <t>Espresso / Short Black</t>
  </si>
  <si>
    <t>Piccolo</t>
  </si>
  <si>
    <t>Macchiato</t>
  </si>
  <si>
    <t>Long Black</t>
  </si>
  <si>
    <t>Latte</t>
  </si>
  <si>
    <t>Flat White</t>
  </si>
  <si>
    <t>Cappuccino</t>
  </si>
  <si>
    <t>Mocha</t>
  </si>
  <si>
    <t>Babyccino</t>
  </si>
  <si>
    <t>Affogato</t>
  </si>
  <si>
    <t>Dirty Chai Latte (Hot)</t>
  </si>
  <si>
    <t>Dirty Matcha (Hot)</t>
  </si>
  <si>
    <t>Hot Chocolate</t>
  </si>
  <si>
    <t>Chai Latte ( HOT)</t>
  </si>
  <si>
    <t>Taro Latte ( HOT)</t>
  </si>
  <si>
    <t>Biscoff Latte ( HOT)</t>
  </si>
  <si>
    <t>Matcha Latte ( HOT)</t>
  </si>
  <si>
    <t>Vietnamese Coffee Beans</t>
  </si>
  <si>
    <t>Giá bán trên 1kg (by weight)</t>
  </si>
  <si>
    <t>Espresso Coffee Beans</t>
  </si>
  <si>
    <t>Ice Blended</t>
  </si>
  <si>
    <t>Matcha Đá Xay</t>
  </si>
  <si>
    <t>Matcha Blended</t>
  </si>
  <si>
    <t>Blended Matcha with full cream milk</t>
  </si>
  <si>
    <t>Caramel Coffee Đá Xay</t>
  </si>
  <si>
    <t>Caramel Coffee Blended</t>
  </si>
  <si>
    <t>Blended Coffee with Caramel Syrup and whipping cream and creamer</t>
  </si>
  <si>
    <t>https://drive.google.com/file/d/1lV_yqYWa-krGbn6fq_38uIx8MycBebBH/view?usp=sharing</t>
  </si>
  <si>
    <t>Mocha Blended</t>
  </si>
  <si>
    <t>Blended Coffee with chocolate powder and whipping cream and creamer</t>
  </si>
  <si>
    <t>Cookie &amp; Cream Đá Xay</t>
  </si>
  <si>
    <t>Cookie &amp; Cream Blended</t>
  </si>
  <si>
    <t>Blended cookie with creamer, chocolate powder and full cream milk</t>
  </si>
  <si>
    <t>https://drive.google.com/file/d/1lzRgGJ_7mSvF9Dse1MPBwU0SWrUUXbtB/view?usp=sharing</t>
  </si>
  <si>
    <t>Coconut Coffee Đá Xay</t>
  </si>
  <si>
    <t>Coconut Coffee Blended</t>
  </si>
  <si>
    <t>Blended coffee with coconut cream and creamer</t>
  </si>
  <si>
    <t>https://drive.google.com/file/d/1rVKdH7SL9dNOQd6l4pofKub3Q2_xeXuO/view?usp=sharing</t>
  </si>
  <si>
    <t>Coffee Đá Xay</t>
  </si>
  <si>
    <t>Coffee Blended</t>
  </si>
  <si>
    <t>Blended coffee with full cream milk</t>
  </si>
  <si>
    <t>Vanilla Coffee Đá Xay</t>
  </si>
  <si>
    <t>Vanilla Coffee Blended</t>
  </si>
  <si>
    <t>Blended coffee with vanilla syrup</t>
  </si>
  <si>
    <t>Chocolate Đá Xay</t>
  </si>
  <si>
    <t>Chocolate Blended</t>
  </si>
  <si>
    <t>Blended chocolate powder with full cream milk</t>
  </si>
  <si>
    <t>https://drive.google.com/file/d/1loHNoI1W2MMuOTiLGzjg-lvN_tMyFJpZ/view?usp=sharing</t>
  </si>
  <si>
    <t>Biscoff Đá Xay</t>
  </si>
  <si>
    <t>Biscoff Blended</t>
  </si>
  <si>
    <t>Blended biscoff crumb, biscoff, whipping cream and full cream milk</t>
  </si>
  <si>
    <t>https://drive.google.com/file/d/1AzNJz35Y53p0aEG6bYt5R-KzUUgnEAEr/view?usp=sharing</t>
  </si>
  <si>
    <t>Fruit Bowls</t>
  </si>
  <si>
    <t>Sầu Riêng Dầm</t>
  </si>
  <si>
    <t>Smashed Durian</t>
  </si>
  <si>
    <t>Smashed Durian with coconut cream, white pealrs and ruby chestnuts</t>
  </si>
  <si>
    <t>https://drive.google.com/file/d/1YHIzd3okP8I4S52x1F6sjt4-uk-wuXwi/view?usp=sharing</t>
  </si>
  <si>
    <t>Extra durian +$3.50</t>
  </si>
  <si>
    <t>Trái Cây Dầm</t>
  </si>
  <si>
    <t>Smashed Mix Fruit</t>
  </si>
  <si>
    <t>Mixed Seasonal fruit with creamy coconut milk, sugar palm seed and Ruby Chestnuts</t>
  </si>
  <si>
    <t>Best Seller</t>
  </si>
  <si>
    <t>Bơ Dừa Dầm</t>
  </si>
  <si>
    <t>Avocado Coconut</t>
  </si>
  <si>
    <t>Avocado with fresh young coconut, sugar palm seeds, white pearls, coconut cream and ruby chestnut</t>
  </si>
  <si>
    <t>https://drive.google.com/file/d/1O-FbH8Z23W8Yw3MMocblMbr4F3kSKGdo/view?usp=sharing</t>
  </si>
  <si>
    <t>Bơ Dầm</t>
  </si>
  <si>
    <t>Smashed Avocado</t>
  </si>
  <si>
    <t>Smashed Avocado with fresh young coconut, white pearls, sugar palm seeds and coconut cream</t>
  </si>
  <si>
    <t>https://drive.google.com/file/d/1jUUbTRItLwuTh0gZR4fDKgit-OtXwALl/view?usp=sharing</t>
  </si>
  <si>
    <t>Dừa Non Dầm</t>
  </si>
  <si>
    <t>Smashed Coconut</t>
  </si>
  <si>
    <t>Smashed young fresh coconut with coconut jelly, white pearls and sugar palm seed</t>
  </si>
  <si>
    <t>https://drive.google.com/file/d/1kAGuHpVYTh2BjA8fiPUIqMlFGzH21_LR/view?usp=sharing</t>
  </si>
  <si>
    <t>Mãng Cầu Dầm</t>
  </si>
  <si>
    <t>Smashed Soursop</t>
  </si>
  <si>
    <t>Smashed Soursop with coconut jelly, white pearls, coconut cream sugar palm seed and ruby chestnut</t>
  </si>
  <si>
    <t>https://drive.google.com/file/d/1MgL0P1yjjprKyeKWbrMpHLENn8KVbpj2/view?usp=sharing</t>
  </si>
  <si>
    <t>Bánh Flan</t>
  </si>
  <si>
    <t>Flan</t>
  </si>
  <si>
    <t>https://drive.google.com/file/d/1Hiel95ZiIcaKqVI-TL8xlYBcnAaLjc4Z/view?usp=sharing</t>
  </si>
  <si>
    <t>Chè Bơ Thập Cẩm</t>
  </si>
  <si>
    <t>Avocado Mix Sweeted</t>
  </si>
  <si>
    <t>Avocado with fresh young coconut with coconut jelly, white pearls, almond flake, coconut cream sugar palm seed and ruby chestnut</t>
  </si>
  <si>
    <t>https://drive.google.com/file/d/1_thHVNGbZTLfPfcD6ITmygDmfxkRLfYR/view?usp=sharing</t>
  </si>
  <si>
    <t>Trái Cây, Bánh Flan &amp; Coco Cream</t>
  </si>
  <si>
    <t>Mixed Flan &amp; Fruit &amp; Coco Cream</t>
  </si>
  <si>
    <t>Mixed Fruit and flan with coconut jelly, white pearls, coconut cream sugar palm seed and ruby chestnut</t>
  </si>
  <si>
    <t>https://drive.google.com/file/d/11Yj4F1XYD0k4SIFG3WbhFH6jB2sH3KcW/view?usp=sharing</t>
  </si>
  <si>
    <t>Trái Cây Dầm &amp; Kem</t>
  </si>
  <si>
    <t>https://drive.google.com/file/d/1Vr0yusvEi7klvji_pgEDzjW9vXTnPyuE/view?usp=sharing</t>
  </si>
  <si>
    <t>Kem Bơ Đà Lạt</t>
  </si>
  <si>
    <t>Avocado Gelato</t>
  </si>
  <si>
    <t>Smashed avocado with vanilla ice cream, cornflakes and coconut flake</t>
  </si>
  <si>
    <t>https://drive.google.com/file/d/16bSD_ednvxKtW1WATIOiPofeFm75NRpo/view?usp=sharing</t>
  </si>
  <si>
    <t>NEW</t>
  </si>
  <si>
    <t>Tàu Hũ Singapore Truyền Thống</t>
  </si>
  <si>
    <t>Traditional Singapore Tofu Pudding</t>
  </si>
  <si>
    <t>soybeans, whipped cream and brown sugar pearls</t>
  </si>
  <si>
    <t>https://drive.google.com/file/d/12ZDw8gZUeV7yZPr5M-AzkLWTmeb_W6rO/view?usp=sharing</t>
  </si>
  <si>
    <t>Tàu Hũ Singapore Matcha/Taro/Pandan</t>
  </si>
  <si>
    <t>Singapore Tofu Pudding (Matcha/Taro/Pandan)</t>
  </si>
  <si>
    <t>soybeans, tofu, whipped cream, coconut sauce , mixed jelly</t>
  </si>
  <si>
    <t>Sữa chua nếp cẩm</t>
  </si>
  <si>
    <t>PPURPLERICE YOGURT</t>
  </si>
  <si>
    <t>Yogurt &amp; sticky Purple Rice</t>
  </si>
  <si>
    <t>https://drive.google.com/file/d/1bn90mMAftYR5UmfK_8acv7hFJOxOYLRg/view?usp=sharing</t>
  </si>
  <si>
    <t>Tàu hủ bánh lọt</t>
  </si>
  <si>
    <t>Tofu Puddding With Pandan Jelly</t>
  </si>
  <si>
    <t>Soy beans, corn floyr jelly, palm sugar ginger, coconut cream, pandan noodle</t>
  </si>
  <si>
    <t>https://drive.google.com/file/d/1_7zsL647Zgd9F0gytOl3HqI1GroPcm9D/view?usp=sharing</t>
  </si>
  <si>
    <t>Chè mè đen</t>
  </si>
  <si>
    <t>Black Sesame</t>
  </si>
  <si>
    <t>Black Sesame, coconut cream, crystal sugar</t>
  </si>
  <si>
    <t>https://drive.google.com/file/d/1_O8SLQiUeea4xcQSh7i_iradSJXbRSyA/view?usp=sharing</t>
  </si>
  <si>
    <t>CHÈ HẠT DẺ CƯỜI</t>
  </si>
  <si>
    <t>Pitaschio Sweet</t>
  </si>
  <si>
    <t>Pistachios, coconut milk</t>
  </si>
  <si>
    <t>CHÈ ĐẬU PHỘNG KHOAI MÔN</t>
  </si>
  <si>
    <t>Bubur Chacha</t>
  </si>
  <si>
    <t>Taro, coconut milk, peanuts</t>
  </si>
  <si>
    <t>https://drive.google.com/file/d/1aIflc1tAkTmpNH8v6l80wN60aA4wSzmr/view?usp=sharing</t>
  </si>
  <si>
    <t>BOBO BẠCH QUẢ</t>
  </si>
  <si>
    <t>Bobo Bạch Quả</t>
  </si>
  <si>
    <t>Ginkgo nuts, Coix Seeds</t>
  </si>
  <si>
    <t>https://drive.google.com/file/d/1-BYCDXwv7maLPe3zUJ_1rQeGQlLERFyU/view?usp=sharing</t>
  </si>
  <si>
    <t>Matcha Drinks</t>
  </si>
  <si>
    <t>Trà Sữa Matcha</t>
  </si>
  <si>
    <t>Matcha Latte</t>
  </si>
  <si>
    <t>Whipped Matcha &amp; Fresh Milk</t>
  </si>
  <si>
    <t>https://drive.google.com/file/d/1mKQ5O8E0gjCCPOLcipfvnf1VbhzUiF3w/view?usp=sharing</t>
  </si>
  <si>
    <t>Matcha Kem Cheese</t>
  </si>
  <si>
    <t>Matcha Cheese</t>
  </si>
  <si>
    <t>Matcha Latte with Cheese Foam</t>
  </si>
  <si>
    <t>https://drive.google.com/file/d/1QIGUxMWL1hBpjcw3V5HmnfrY8jMRHzuf/view?usp=sharing</t>
  </si>
  <si>
    <t>Matcha Xoài</t>
  </si>
  <si>
    <t>Matcha Mango</t>
  </si>
  <si>
    <t>Matcha Latte with mango Jam and heart jelly</t>
  </si>
  <si>
    <t>https://drive.google.com/file/d/1Zx3egC893ijxfA0apmY8ZNaB664klo4I/view?usp=sharing</t>
  </si>
  <si>
    <t>Matcha Dâu Tây</t>
  </si>
  <si>
    <t>Matcha Strawberry</t>
  </si>
  <si>
    <t>Matcha Latte with Strawberry Jam and heart jelly</t>
  </si>
  <si>
    <t>https://drive.google.com/file/d/1os-jpbxOdYRrWqfwM8nOdI6iIUuse07i/view?usp=sharing</t>
  </si>
  <si>
    <t>Matcha Cà Phê</t>
  </si>
  <si>
    <t>Dirty Matcha</t>
  </si>
  <si>
    <t>Matcha Latte &amp; coffee</t>
  </si>
  <si>
    <t>https://drive.google.com/file/d/1_NfuaimZ1B1oLedQ2NkHPQTjPrTWX_3S/view?usp=sharing</t>
  </si>
  <si>
    <t>Matcha Nước Dừa</t>
  </si>
  <si>
    <t xml:space="preserve">Matcha Cloud Coconut </t>
  </si>
  <si>
    <t>Matcha Cloud Coconut - Matcha Nước Dừa</t>
  </si>
  <si>
    <t>https://drive.google.com/file/d/1cHuqxn3gCd4Hk08mMUcn8AbvWWzRSaP4/view?usp=sharing</t>
  </si>
  <si>
    <t>Matcha Hạt dẻ cười</t>
  </si>
  <si>
    <t xml:space="preserve">Matcha Pitaschio </t>
  </si>
  <si>
    <t>Matcha Pitaschio - Matcha Hạt dẻ cười</t>
  </si>
  <si>
    <t>https://drive.google.com/file/d/1vHILcz7Ws4eG1VzfPpcA3HAFkYDpc28d/view?usp=sharing</t>
  </si>
  <si>
    <t>MILK OPTION</t>
  </si>
  <si>
    <t>SOY / ALMOND / LACTOSE FREE / OATMILK</t>
  </si>
  <si>
    <t>Categorize</t>
  </si>
  <si>
    <t>Latte Bơ Dừa (kèm Trân Châu Vải)</t>
  </si>
  <si>
    <t>Avocado Coconut Latte</t>
  </si>
  <si>
    <t>Avocado</t>
  </si>
  <si>
    <t>https://drive.google.com/file/d/1fy7Yq7D1UJqOejXg7W1DDTTEAcFHFycY/view?usp=sharing</t>
  </si>
  <si>
    <t>Latte Bơ Cà Phê</t>
  </si>
  <si>
    <t>Avocado Coffee Latte</t>
  </si>
  <si>
    <t>https://drive.google.com/file/d/1YaGuy-UEsOM4LS8fd4UuQgNadA0TUYyq/view?usp=sharing</t>
  </si>
  <si>
    <t>Avocado, Fresh Milk &amp; Coffee</t>
  </si>
  <si>
    <t>Milo Dầm Bánh Flan</t>
  </si>
  <si>
    <t>Smashed Milo w Flan</t>
  </si>
  <si>
    <t>Smashed Milo w Flan - Milo Dầm Bánh Flan</t>
  </si>
  <si>
    <t>Milo</t>
  </si>
  <si>
    <t>https://drive.google.com/file/d/1u0w0Rpld6rwdF1Kp2aaCT9skqIeRLbOL/view?usp=sharing</t>
  </si>
  <si>
    <t>with brown sugar pearl and flan</t>
  </si>
  <si>
    <t>Milo Coffee - Milo Cà Phê</t>
  </si>
  <si>
    <t>https://drive.google.com/file/d/1OUBLxQQCoFdXAQsfGnjvLfGLKoQrvpNF/view?usp=sharing</t>
  </si>
  <si>
    <t>Milo Cà Phê</t>
  </si>
  <si>
    <t>Milo Coffee</t>
  </si>
  <si>
    <t>Iced Machiato w cheese foam - Machiato Đá w kem phô mai</t>
  </si>
  <si>
    <t>https://drive.google.com/file/d/1TzpRJv8ao-JlUo2J1gv0soe54AlZF74z/view?usp=sharing</t>
  </si>
  <si>
    <t>with machiato foam</t>
  </si>
  <si>
    <t>Machiato Đá w kem phô mai</t>
  </si>
  <si>
    <t>Iced Machiato w cheese foam</t>
  </si>
  <si>
    <t>Trái cây dầm ya-ua ( Vải)</t>
  </si>
  <si>
    <t>Smashed Fruit Yogurt ( Lychee )</t>
  </si>
  <si>
    <t>Smashed Fruit Yogurt ( Lychee ) - Trái cây dầm ya-ua ( Vải)</t>
  </si>
  <si>
    <t>Yogurt</t>
  </si>
  <si>
    <t>https://drive.google.com/file/d/19DkKwpCKlLzzYk5rUGf4McjIu01oiTLt/view?usp=sharing</t>
  </si>
  <si>
    <t>Trái cây dầm ya-ua ( Xoài)</t>
  </si>
  <si>
    <t>Smashed Fruit Yogurt ( Mango )</t>
  </si>
  <si>
    <t>Smashed Fruit Yogurt ( Mango ) - Trái cây dầm ya-ua ( Xoài)</t>
  </si>
  <si>
    <t>https://drive.google.com/file/d/1-97KOx6na6MIT1lILELxedIXW-rI_CCP/view?usp=sharing</t>
  </si>
  <si>
    <t>Trái cây dầm ya-ua ( Dâu)</t>
  </si>
  <si>
    <t>Smashed Fruit Yogurt ( Strawberry)</t>
  </si>
  <si>
    <t>Smashed Fruit Yogurt ( Strawberry) - Trái cây dầm ya-ua ( Dâu)</t>
  </si>
  <si>
    <t>https://drive.google.com/file/d/1rDcOuh-kzLLJxRQkfyEw1dhgAfEzJ8wz/view?usp=sharing</t>
  </si>
  <si>
    <t>BINGSU</t>
  </si>
  <si>
    <t>NUTS &amp; BEANS MILK/ SỮA HẠT</t>
  </si>
  <si>
    <t>Mung Bean Milk</t>
  </si>
  <si>
    <t>Sữa đậu xanh</t>
  </si>
  <si>
    <t>Hot</t>
  </si>
  <si>
    <t>Cold</t>
  </si>
  <si>
    <t>Corn Milk</t>
  </si>
  <si>
    <t>Sữa bắp nóng</t>
  </si>
  <si>
    <t>Iced Corn Milk</t>
  </si>
  <si>
    <t>Sữa bắp lạnh</t>
  </si>
  <si>
    <t>https://drive.google.com/file/d/1goJuVbZjo70XNTxGcEpAa9JG2U_aHo3J/view?usp=drive_link</t>
  </si>
  <si>
    <t>Pumpkin milk</t>
  </si>
  <si>
    <t>Sữa bí đỏ</t>
  </si>
  <si>
    <t>Coconut Milk w Herbal Jelly</t>
  </si>
  <si>
    <t>Sữa Dừa &amp; Sương sáo</t>
  </si>
  <si>
    <t>https://drive.google.com/file/d/1JQ0GunGrwOMEhvfrZwo6wbhGPRSMg5qO/view?usp=drive_link</t>
  </si>
  <si>
    <t>Taro coconut milk</t>
  </si>
  <si>
    <t>Sữa dừa khoai môn</t>
  </si>
  <si>
    <t>Corn Milk w Pandan Jellys</t>
  </si>
  <si>
    <t>Sữa Bắp &amp; Thạch lá dứa</t>
  </si>
  <si>
    <t>https://drive.google.com/file/d/16HVEuHe4uO4hYZdVWGgaubsUK5NGCtfQ/view?usp=drive_link</t>
  </si>
  <si>
    <t>Date</t>
  </si>
  <si>
    <t>STT ẢNH</t>
  </si>
  <si>
    <t>Chicken Nuggets</t>
  </si>
  <si>
    <t>https://drive.google.com/file/d/1yaJ_kegq3iPQDF6ApBMwSYXZYZfnI-8l/view?usp=sharing</t>
  </si>
  <si>
    <t>10pcs w chilli sauce</t>
  </si>
  <si>
    <t>Bò bía ngọt</t>
  </si>
  <si>
    <t>4 rolls</t>
  </si>
  <si>
    <t>https://drive.google.com/file/d/1kRJTs1-aEI4_05c8Qih5Z00MnUrwEL2y/view?usp=sharing</t>
  </si>
  <si>
    <t>sugar sticks, shredded coconut, sesame</t>
  </si>
  <si>
    <t>Lạp xưởng</t>
  </si>
  <si>
    <t>Pork Sausages</t>
  </si>
  <si>
    <t>3pcs</t>
  </si>
  <si>
    <t>https://drive.google.com/file/d/1F0EKV_XOpftyYhU8WN_Y0heOeGiMOtyW/view?usp=sharing</t>
  </si>
  <si>
    <t>w chilli sauce</t>
  </si>
  <si>
    <t>Cá Viên Chiên</t>
  </si>
  <si>
    <t>Fish Balls</t>
  </si>
  <si>
    <t>Fish Balls - Cá Viên Chiên</t>
  </si>
  <si>
    <t>8 pcs</t>
  </si>
  <si>
    <t>https://drive.google.com/file/d/1xMeOTPDDQDrjKSBVgkhyj0Wh1nVJdvUg/view?usp=sharing</t>
  </si>
  <si>
    <t>w chilli/ hoisin Sauce</t>
  </si>
  <si>
    <t>Cá Viên Mayo</t>
  </si>
  <si>
    <t>FISH BALLS MAYO</t>
  </si>
  <si>
    <t>10PCS</t>
  </si>
  <si>
    <t>https://drive.google.com/file/d/1mPq9KoRAM9QIpLtgNTdDTwMVhvyKAZJI/view?usp=sharing</t>
  </si>
  <si>
    <t>w chilli / hoisin sauce</t>
  </si>
  <si>
    <t>Tôm Cuộn Khoai Tây</t>
  </si>
  <si>
    <t>POTATO PRAWN</t>
  </si>
  <si>
    <t>6PCS</t>
  </si>
  <si>
    <t>https://drive.google.com/file/d/1ecIcuyBYZJNrNShJLEe4rdhSS5IE7ZAX/view?usp=sharing</t>
  </si>
  <si>
    <t>w mayo &amp; sweet chilli sauce</t>
  </si>
  <si>
    <t>Phô Mai Que</t>
  </si>
  <si>
    <t>Cheese Stick</t>
  </si>
  <si>
    <t>Cheese sticks - Phô Mai Que</t>
  </si>
  <si>
    <t>6 Pcs</t>
  </si>
  <si>
    <t>https://drive.google.com/file/d/17C64vpamTq7GDo4oNRGcJjetqOUxGhDO/view?usp=sharing</t>
  </si>
  <si>
    <t>Bánh tráng trộn</t>
  </si>
  <si>
    <t>Vietnamese Spicy Rice Paper</t>
  </si>
  <si>
    <t>https://drive.google.com/file/d/1nGnlx5q5UbinlsvZHXLuWv81BFu420c1/view?usp=sharing</t>
  </si>
  <si>
    <t xml:space="preserve">with dried chicken </t>
  </si>
  <si>
    <t>Bánh tráng cuốn bơ</t>
  </si>
  <si>
    <t>Vietnamese Rice Paper Rolls</t>
  </si>
  <si>
    <t>3 rolls</t>
  </si>
  <si>
    <t>https://drive.google.com/file/d/1VrPAsZ14MtROq4jCvQFMSL3k14TynXOo/view?usp=sharing</t>
  </si>
  <si>
    <t>dried chicken &amp; peanuts</t>
  </si>
  <si>
    <t>COMBO CHIÊN</t>
  </si>
  <si>
    <t>FRIED COMBO</t>
  </si>
  <si>
    <t>https://drive.google.com/file/d/1dTPFhZxBC78kILOy3Ax6sXQdsXENuiF-/view?usp=sharing</t>
  </si>
  <si>
    <t>4 fish balls + 4 beef balls + 4 shrimp balls + 1 Chinese sausage + 1 glass of lemon tea</t>
  </si>
  <si>
    <t>COMBO BÁNH TRÁNG</t>
  </si>
  <si>
    <t>RICE PAPERS COMBO</t>
  </si>
  <si>
    <t>https://drive.google.com/file/d/1v1DWLeTaYz08Kjq3I36LoStkfFfjnZi3/view?usp=sharing</t>
  </si>
  <si>
    <t>Mixed rice paper salad + Rice paper rolls + 1 glass of lemon tea</t>
  </si>
  <si>
    <t>FISH &amp; CHIPS</t>
  </si>
  <si>
    <t>https://drive.google.com/file/d/129lH2GfJc0o11GVM4MjC-ZsqJRZhUMS9/view?usp=sharing</t>
  </si>
  <si>
    <t>3 pcs fishes + chips 
with tartar &amp; sweet chilli sauce</t>
  </si>
  <si>
    <t>Khoai tây chiên</t>
  </si>
  <si>
    <t>POTATO</t>
  </si>
  <si>
    <t>khoai lang chiên</t>
  </si>
  <si>
    <t>SWEET POTATO</t>
  </si>
  <si>
    <t>Wedgeds</t>
  </si>
  <si>
    <t>MINI CHURROS</t>
  </si>
  <si>
    <t>6pcs</t>
  </si>
  <si>
    <t>chocolate sauce</t>
  </si>
  <si>
    <t xml:space="preserve">COMBO CHIPS 1 </t>
  </si>
  <si>
    <t>https://drive.google.com/file/d/14NPnRmil7cRetG3HES6qX7SLLDyxV7tV/view?usp=sharing</t>
  </si>
  <si>
    <t>2pcs of fish chips, wedges, sweet potato chips w mayo , sweet chillie and tarta sauce</t>
  </si>
  <si>
    <t>COMBO CHIPS 2</t>
  </si>
  <si>
    <t>https://drive.google.com/file/d/10dfFRp-YLMCBnm_YjQR9-xiKtrzjDy_r/view?usp=sharing</t>
  </si>
  <si>
    <t>sweet potato chips, potato chips w mayo and sweet chillie
4pcs churros w matcha or choco sauce</t>
  </si>
  <si>
    <t>Nghêu Hấp Xả</t>
  </si>
  <si>
    <t>Lemongrass Babyclamps</t>
  </si>
  <si>
    <t>https://drive.google.com/file/d/1dP8MSgOZabx-z-pljCARjNgDJrC57-6y/view?usp=sharing</t>
  </si>
  <si>
    <t>Baby clamps with Lemongrass</t>
  </si>
  <si>
    <t>Nghêu Hấp Thái</t>
  </si>
  <si>
    <t>Tomyum Babyclamps</t>
  </si>
  <si>
    <t>https://drive.google.com/file/d/1OK118K_EVzOqU50Pn9gUe2sdjCXOxfFo/view?usp=sharing</t>
  </si>
  <si>
    <t>Baby clamps with TomYum sauce</t>
  </si>
  <si>
    <t>XÍU MẠI</t>
  </si>
  <si>
    <t>DIMSIM</t>
  </si>
  <si>
    <t>https://drive.google.com/file/d/1YZreCDfAviTFg_yFHzS7JzvwEos8HTC4/view?usp=sharing</t>
  </si>
  <si>
    <t>w soy sauce</t>
  </si>
  <si>
    <t>HÁ CẢO</t>
  </si>
  <si>
    <t>HAR GOW</t>
  </si>
  <si>
    <t>https://drive.google.com/file/d/1qxQ9LtTBEbxwBrhYpuca-TGGe72UgqkR/view?usp=sharing</t>
  </si>
  <si>
    <t>Bánh Tráng Nướng Đà Lạt</t>
  </si>
  <si>
    <t>Special Grilled Rice Paper</t>
  </si>
  <si>
    <t>https://drive.google.com/file/d/1KFrjk-OH_Nxexa4pRB9wwddJPWxqRUp-/view?usp=drive_link</t>
  </si>
  <si>
    <t>Quail eggs, pork floss, mayo sauce, egg oil sauce, scallion oil, sausage, dried shrimp.</t>
  </si>
  <si>
    <t>Bánh Mì Nướng Muối Ớt</t>
  </si>
  <si>
    <t>Grilled Bread w Chilli Salt</t>
  </si>
  <si>
    <t>https://drive.google.com/file/d/1vm_ZqJodJhc6q71SqzHuPcq5O-y4z6Hb/view?usp=drive_link</t>
  </si>
  <si>
    <t>Quail eggs, pork floss, mayo sauce, egg oil sauce, scallion oil, sausage, cucumber.</t>
  </si>
  <si>
    <t>8PCS</t>
  </si>
  <si>
    <t>VIETNAMESE 
RICE PAPER ROLLS</t>
  </si>
  <si>
    <t>4 CÁ VIÊN  + 4 BÒ VIÊN + 4 TÔM VIÊN + 1 LẠP XƯỞNG w pickles</t>
  </si>
  <si>
    <t>BÁNH TRÁNG TRỘN + BÁNH TRÁNG CUỐN</t>
  </si>
  <si>
    <t>Coming soon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</si>
</sst>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9">
    <font>
      <sz val="11.0"/>
      <color theme="1"/>
      <name val="Roboto"/>
      <scheme val="minor"/>
    </font>
    <font>
      <b/>
      <sz val="11.0"/>
      <color rgb="FF000000"/>
      <name val="Nunito"/>
    </font>
    <font>
      <b/>
      <sz val="11.0"/>
      <color theme="1"/>
      <name val="Nunito"/>
    </font>
    <font>
      <color theme="1"/>
      <name val="Nunito"/>
    </font>
    <font>
      <sz val="11.0"/>
      <color rgb="FF000000"/>
      <name val="Nunito"/>
    </font>
    <font>
      <u/>
      <sz val="11.0"/>
      <color rgb="FF0000FF"/>
      <name val="Nunito"/>
    </font>
    <font>
      <sz val="11.0"/>
      <color rgb="FF0000FF"/>
      <name val="Nunito"/>
    </font>
    <font>
      <u/>
      <sz val="11.0"/>
      <color rgb="FF0000FF"/>
      <name val="Nunito"/>
    </font>
    <font>
      <sz val="11.0"/>
      <color theme="1"/>
      <name val="Nunito"/>
    </font>
    <font>
      <u/>
      <color rgb="FF0000FF"/>
      <name val="Nunito"/>
    </font>
    <font>
      <color rgb="FF0000FF"/>
      <name val="Nunito"/>
    </font>
    <font>
      <b/>
      <sz val="13.0"/>
      <color rgb="FFFFFFFF"/>
      <name val="Nunito"/>
    </font>
    <font>
      <sz val="13.0"/>
      <color rgb="FFFFFFFF"/>
      <name val="Nunito"/>
    </font>
    <font>
      <color rgb="FFFFFFFF"/>
      <name val="Roboto"/>
      <scheme val="minor"/>
    </font>
    <font>
      <sz val="13.0"/>
      <color rgb="FF1A1B20"/>
      <name val="Nunito"/>
    </font>
    <font>
      <sz val="12.0"/>
      <color theme="1"/>
      <name val="Nunito"/>
    </font>
    <font>
      <b/>
      <sz val="12.0"/>
      <color theme="1"/>
      <name val="Nunito"/>
    </font>
    <font>
      <b/>
      <i/>
      <sz val="12.0"/>
      <color theme="1"/>
      <name val="Nunito"/>
    </font>
    <font>
      <u/>
      <sz val="12.0"/>
      <color rgb="FF0000FF"/>
      <name val="Nunito"/>
    </font>
    <font>
      <b/>
      <color theme="1"/>
      <name val="Nunito"/>
    </font>
    <font>
      <b/>
      <sz val="14.0"/>
      <color theme="1"/>
      <name val="Nunito"/>
    </font>
    <font>
      <b/>
      <i/>
      <sz val="12.0"/>
      <color rgb="FF222222"/>
      <name val="Nunito"/>
    </font>
    <font>
      <b/>
      <color rgb="FF3D85C6"/>
      <name val="Nunito"/>
    </font>
    <font>
      <b/>
      <color rgb="FF000000"/>
      <name val="Nunito"/>
    </font>
    <font>
      <u/>
      <color rgb="FF0000FF"/>
      <name val="Nunito"/>
    </font>
    <font>
      <u/>
      <color rgb="FF0000FF"/>
      <name val="Nunito"/>
    </font>
    <font/>
    <font>
      <b/>
      <color rgb="FFCC0000"/>
      <name val="Nunito"/>
    </font>
    <font>
      <u/>
      <color rgb="FF0000FF"/>
      <name val="Nunito"/>
    </font>
    <font>
      <u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color theme="1"/>
      <name val="Roboto"/>
      <scheme val="minor"/>
    </font>
    <font>
      <sz val="11.0"/>
      <color theme="1"/>
      <name val="Roboto"/>
    </font>
    <font>
      <sz val="11.0"/>
      <color theme="1"/>
      <name val="Calibri"/>
    </font>
    <font>
      <sz val="12.0"/>
      <color theme="1"/>
      <name val="Roboto"/>
      <scheme val="minor"/>
    </font>
    <font>
      <sz val="12.0"/>
      <color theme="1"/>
      <name val="Calibri"/>
    </font>
    <font>
      <b/>
      <i/>
      <sz val="11.0"/>
      <color rgb="FF222222"/>
      <name val="Nunito"/>
    </font>
    <font>
      <u/>
      <color rgb="FF0000FF"/>
      <name val="Nunito"/>
    </font>
    <font>
      <u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color rgb="FF000000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color rgb="FF0000FF"/>
      <name val="Nunito"/>
    </font>
  </fonts>
  <fills count="1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</fills>
  <borders count="30">
    <border/>
    <border>
      <left style="thin">
        <color rgb="FF74777F"/>
      </left>
      <right style="thin">
        <color rgb="FF74777F"/>
      </right>
      <top style="thin">
        <color rgb="FF74777F"/>
      </top>
      <bottom style="thin">
        <color rgb="FF74777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999999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000000"/>
      </top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999999"/>
      </lef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</border>
    <border>
      <right style="thin">
        <color rgb="FF000000"/>
      </right>
    </border>
    <border>
      <left style="thin">
        <color rgb="FF999999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000000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4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righ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8" numFmtId="164" xfId="0" applyAlignment="1" applyFont="1" applyNumberForma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1" fillId="2" fontId="11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0" fillId="0" fontId="13" numFmtId="0" xfId="0" applyFont="1"/>
    <xf borderId="1" fillId="0" fontId="14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5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2" fillId="0" fontId="16" numFmtId="164" xfId="0" applyAlignment="1" applyBorder="1" applyFont="1" applyNumberFormat="1">
      <alignment horizontal="center" shrinkToFit="0" vertical="center" wrapText="1"/>
    </xf>
    <xf borderId="2" fillId="0" fontId="16" numFmtId="164" xfId="0" applyAlignment="1" applyBorder="1" applyFont="1" applyNumberFormat="1">
      <alignment horizontal="center" readingOrder="0" shrinkToFit="0" vertical="center" wrapText="1"/>
    </xf>
    <xf borderId="0" fillId="0" fontId="15" numFmtId="164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5" numFmtId="164" xfId="0" applyAlignment="1" applyFont="1" applyNumberFormat="1">
      <alignment horizontal="center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readingOrder="0" shrinkToFit="0" vertical="center" wrapText="1"/>
    </xf>
    <xf borderId="3" fillId="0" fontId="16" numFmtId="164" xfId="0" applyAlignment="1" applyBorder="1" applyFont="1" applyNumberFormat="1">
      <alignment horizontal="center" shrinkToFit="0" vertical="center" wrapText="1"/>
    </xf>
    <xf borderId="2" fillId="0" fontId="16" numFmtId="0" xfId="0" applyAlignment="1" applyBorder="1" applyFont="1">
      <alignment horizontal="left" readingOrder="0"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2" fillId="3" fontId="15" numFmtId="0" xfId="0" applyAlignment="1" applyBorder="1" applyFill="1" applyFont="1">
      <alignment shrinkToFit="0" vertical="center" wrapText="1"/>
    </xf>
    <xf borderId="2" fillId="0" fontId="15" numFmtId="0" xfId="0" applyAlignment="1" applyBorder="1" applyFont="1">
      <alignment shrinkToFit="0" vertical="center" wrapText="1"/>
    </xf>
    <xf borderId="2" fillId="0" fontId="15" numFmtId="164" xfId="0" applyAlignment="1" applyBorder="1" applyFont="1" applyNumberFormat="1">
      <alignment horizontal="center" readingOrder="0" shrinkToFit="0" vertical="center" wrapText="1"/>
    </xf>
    <xf borderId="2" fillId="0" fontId="15" numFmtId="164" xfId="0" applyAlignment="1" applyBorder="1" applyFont="1" applyNumberFormat="1">
      <alignment horizontal="center" shrinkToFit="0" vertical="center" wrapText="1"/>
    </xf>
    <xf borderId="3" fillId="0" fontId="15" numFmtId="164" xfId="0" applyAlignment="1" applyBorder="1" applyFont="1" applyNumberFormat="1">
      <alignment shrinkToFit="0" vertical="center" wrapText="1"/>
    </xf>
    <xf borderId="2" fillId="0" fontId="18" numFmtId="0" xfId="0" applyAlignment="1" applyBorder="1" applyFont="1">
      <alignment horizontal="left" readingOrder="0" shrinkToFit="0" vertical="center" wrapText="1"/>
    </xf>
    <xf borderId="2" fillId="3" fontId="15" numFmtId="0" xfId="0" applyAlignment="1" applyBorder="1" applyFont="1">
      <alignment readingOrder="0" shrinkToFit="0" vertical="center" wrapText="1"/>
    </xf>
    <xf borderId="2" fillId="0" fontId="15" numFmtId="164" xfId="0" applyAlignment="1" applyBorder="1" applyFont="1" applyNumberFormat="1">
      <alignment shrinkToFit="0" vertical="center" wrapText="1"/>
    </xf>
    <xf borderId="2" fillId="3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3" fontId="15" numFmtId="0" xfId="0" applyAlignment="1" applyBorder="1" applyFont="1">
      <alignment shrinkToFit="0" vertical="center" wrapText="1"/>
    </xf>
    <xf borderId="4" fillId="3" fontId="15" numFmtId="0" xfId="0" applyAlignment="1" applyBorder="1" applyFont="1">
      <alignment readingOrder="0"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4" fillId="0" fontId="15" numFmtId="164" xfId="0" applyAlignment="1" applyBorder="1" applyFont="1" applyNumberFormat="1">
      <alignment horizontal="center" readingOrder="0" shrinkToFit="0" vertical="center" wrapText="1"/>
    </xf>
    <xf borderId="2" fillId="0" fontId="15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20" numFmtId="0" xfId="0" applyAlignment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readingOrder="0"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2" fillId="0" fontId="19" numFmtId="0" xfId="0" applyAlignment="1" applyBorder="1" applyFont="1">
      <alignment horizontal="center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2" fillId="0" fontId="19" numFmtId="164" xfId="0" applyAlignment="1" applyBorder="1" applyFont="1" applyNumberFormat="1">
      <alignment horizontal="center" readingOrder="0" shrinkToFit="0" vertical="center" wrapText="1"/>
    </xf>
    <xf borderId="2" fillId="0" fontId="19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22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2" fillId="0" fontId="24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25" numFmtId="0" xfId="0" applyAlignment="1" applyBorder="1" applyFont="1">
      <alignment horizontal="left" readingOrder="0" shrinkToFit="0" vertical="center" wrapText="1"/>
    </xf>
    <xf borderId="5" fillId="0" fontId="26" numFmtId="0" xfId="0" applyBorder="1" applyFont="1"/>
    <xf borderId="2" fillId="0" fontId="27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3" fillId="0" fontId="28" numFmtId="0" xfId="0" applyAlignment="1" applyBorder="1" applyFont="1">
      <alignment horizontal="left" readingOrder="0" shrinkToFit="0" vertical="center" wrapText="1"/>
    </xf>
    <xf borderId="7" fillId="0" fontId="29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8" fillId="4" fontId="3" numFmtId="0" xfId="0" applyAlignment="1" applyBorder="1" applyFill="1" applyFont="1">
      <alignment readingOrder="0" shrinkToFit="0" vertical="center" wrapText="1"/>
    </xf>
    <xf borderId="8" fillId="0" fontId="3" numFmtId="164" xfId="0" applyAlignment="1" applyBorder="1" applyFont="1" applyNumberFormat="1">
      <alignment horizontal="center" readingOrder="0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22" numFmtId="0" xfId="0" applyAlignment="1" applyBorder="1" applyFont="1">
      <alignment horizontal="center" shrinkToFit="0" vertical="center" wrapText="1"/>
    </xf>
    <xf borderId="3" fillId="0" fontId="23" numFmtId="0" xfId="0" applyAlignment="1" applyBorder="1" applyFont="1">
      <alignment horizontal="center" readingOrder="0" shrinkToFit="0" vertical="center" wrapText="1"/>
    </xf>
    <xf borderId="3" fillId="0" fontId="3" numFmtId="164" xfId="0" applyAlignment="1" applyBorder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vertical="center"/>
    </xf>
    <xf borderId="0" fillId="0" fontId="21" numFmtId="0" xfId="0" applyAlignment="1" applyFont="1">
      <alignment readingOrder="0" vertical="center"/>
    </xf>
    <xf borderId="0" fillId="0" fontId="19" numFmtId="0" xfId="0" applyAlignment="1" applyFont="1">
      <alignment horizontal="center" vertical="center"/>
    </xf>
    <xf borderId="2" fillId="0" fontId="19" numFmtId="0" xfId="0" applyAlignment="1" applyBorder="1" applyFont="1">
      <alignment horizontal="center" vertical="center"/>
    </xf>
    <xf borderId="2" fillId="0" fontId="19" numFmtId="164" xfId="0" applyAlignment="1" applyBorder="1" applyFont="1" applyNumberFormat="1">
      <alignment horizontal="center" vertical="center"/>
    </xf>
    <xf borderId="3" fillId="0" fontId="19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vertical="center"/>
    </xf>
    <xf borderId="2" fillId="0" fontId="3" numFmtId="16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vertical="center"/>
    </xf>
    <xf borderId="2" fillId="0" fontId="8" numFmtId="164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readingOrder="0" shrinkToFit="0" vertical="center" wrapText="0"/>
    </xf>
    <xf borderId="2" fillId="0" fontId="4" numFmtId="164" xfId="0" applyAlignment="1" applyBorder="1" applyFont="1" applyNumberFormat="1">
      <alignment horizontal="right" readingOrder="0" shrinkToFit="0" vertical="center" wrapText="0"/>
    </xf>
    <xf borderId="2" fillId="0" fontId="4" numFmtId="164" xfId="0" applyAlignment="1" applyBorder="1" applyFont="1" applyNumberFormat="1">
      <alignment horizontal="center" readingOrder="0" shrinkToFit="0" vertical="center" wrapText="0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15" numFmtId="164" xfId="0" applyAlignment="1" applyFont="1" applyNumberFormat="1">
      <alignment vertical="center"/>
    </xf>
    <xf borderId="0" fillId="0" fontId="16" numFmtId="0" xfId="0" applyAlignment="1" applyFont="1">
      <alignment horizontal="center" vertical="center"/>
    </xf>
    <xf borderId="3" fillId="0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borderId="3" fillId="0" fontId="16" numFmtId="164" xfId="0" applyAlignment="1" applyBorder="1" applyFont="1" applyNumberFormat="1">
      <alignment horizontal="center" readingOrder="0" shrinkToFit="0" vertical="center" wrapText="1"/>
    </xf>
    <xf borderId="3" fillId="0" fontId="15" numFmtId="0" xfId="0" applyAlignment="1" applyBorder="1" applyFont="1">
      <alignment horizontal="center" readingOrder="0" shrinkToFit="0" vertical="center" wrapText="1"/>
    </xf>
    <xf borderId="3" fillId="3" fontId="15" numFmtId="0" xfId="0" applyAlignment="1" applyBorder="1" applyFont="1">
      <alignment readingOrder="0" vertical="center"/>
    </xf>
    <xf borderId="3" fillId="3" fontId="15" numFmtId="0" xfId="0" applyAlignment="1" applyBorder="1" applyFont="1">
      <alignment readingOrder="0" shrinkToFit="0" vertical="center" wrapText="1"/>
    </xf>
    <xf borderId="3" fillId="0" fontId="15" numFmtId="0" xfId="0" applyAlignment="1" applyBorder="1" applyFont="1">
      <alignment readingOrder="0" shrinkToFit="0" vertical="center" wrapText="1"/>
    </xf>
    <xf borderId="3" fillId="0" fontId="15" numFmtId="164" xfId="0" applyAlignment="1" applyBorder="1" applyFont="1" applyNumberFormat="1">
      <alignment horizontal="center" readingOrder="0" shrinkToFit="0" vertical="center" wrapText="1"/>
    </xf>
    <xf borderId="3" fillId="0" fontId="15" numFmtId="0" xfId="0" applyAlignment="1" applyBorder="1" applyFont="1">
      <alignment horizontal="center" readingOrder="0" vertical="center"/>
    </xf>
    <xf borderId="11" fillId="0" fontId="16" numFmtId="0" xfId="0" applyAlignment="1" applyBorder="1" applyFont="1">
      <alignment horizontal="center" readingOrder="0" shrinkToFit="0" vertical="center" wrapText="1"/>
    </xf>
    <xf borderId="12" fillId="0" fontId="26" numFmtId="0" xfId="0" applyBorder="1" applyFont="1"/>
    <xf borderId="3" fillId="0" fontId="15" numFmtId="164" xfId="0" applyAlignment="1" applyBorder="1" applyFont="1" applyNumberFormat="1">
      <alignment horizontal="center" readingOrder="0" vertical="center"/>
    </xf>
    <xf borderId="13" fillId="0" fontId="26" numFmtId="0" xfId="0" applyBorder="1" applyFont="1"/>
    <xf borderId="0" fillId="0" fontId="19" numFmtId="0" xfId="0" applyAlignment="1" applyFont="1">
      <alignment readingOrder="0" vertical="center"/>
    </xf>
    <xf borderId="0" fillId="0" fontId="19" numFmtId="0" xfId="0" applyAlignment="1" applyFont="1">
      <alignment horizontal="center" readingOrder="0" vertical="center"/>
    </xf>
    <xf borderId="0" fillId="0" fontId="19" numFmtId="164" xfId="0" applyAlignment="1" applyFont="1" applyNumberFormat="1">
      <alignment horizontal="center" vertical="center"/>
    </xf>
    <xf borderId="0" fillId="0" fontId="19" numFmtId="164" xfId="0" applyAlignment="1" applyFont="1" applyNumberFormat="1">
      <alignment vertical="center"/>
    </xf>
    <xf borderId="0" fillId="0" fontId="19" numFmtId="0" xfId="0" applyAlignment="1" applyFont="1">
      <alignment horizontal="left" shrinkToFit="0" vertical="center" wrapText="1"/>
    </xf>
    <xf borderId="0" fillId="0" fontId="21" numFmtId="0" xfId="0" applyAlignment="1" applyFont="1">
      <alignment readingOrder="0"/>
    </xf>
    <xf borderId="2" fillId="0" fontId="19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readingOrder="0" vertical="center"/>
    </xf>
    <xf borderId="2" fillId="0" fontId="3" numFmtId="164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readingOrder="0" vertical="center"/>
    </xf>
    <xf borderId="0" fillId="5" fontId="3" numFmtId="0" xfId="0" applyAlignment="1" applyFill="1" applyFont="1">
      <alignment vertical="center"/>
    </xf>
    <xf borderId="2" fillId="5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readingOrder="0" vertical="center"/>
    </xf>
    <xf borderId="2" fillId="5" fontId="3" numFmtId="0" xfId="0" applyAlignment="1" applyBorder="1" applyFont="1">
      <alignment shrinkToFit="0" vertical="center" wrapText="1"/>
    </xf>
    <xf borderId="2" fillId="5" fontId="3" numFmtId="164" xfId="0" applyAlignment="1" applyBorder="1" applyFont="1" applyNumberFormat="1">
      <alignment horizontal="center" readingOrder="0" vertical="center"/>
    </xf>
    <xf borderId="2" fillId="5" fontId="3" numFmtId="0" xfId="0" applyAlignment="1" applyBorder="1" applyFont="1">
      <alignment horizontal="center" readingOrder="0" vertical="center"/>
    </xf>
    <xf borderId="2" fillId="5" fontId="3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ont="1">
      <alignment vertical="center"/>
    </xf>
    <xf borderId="2" fillId="6" fontId="3" numFmtId="0" xfId="0" applyAlignment="1" applyBorder="1" applyFill="1" applyFont="1">
      <alignment vertical="center"/>
    </xf>
    <xf borderId="0" fillId="7" fontId="3" numFmtId="0" xfId="0" applyAlignment="1" applyFill="1" applyFont="1">
      <alignment vertical="center"/>
    </xf>
    <xf borderId="2" fillId="7" fontId="3" numFmtId="0" xfId="0" applyAlignment="1" applyBorder="1" applyFont="1">
      <alignment horizontal="center" vertical="center"/>
    </xf>
    <xf borderId="2" fillId="7" fontId="3" numFmtId="0" xfId="0" applyAlignment="1" applyBorder="1" applyFont="1">
      <alignment readingOrder="0" vertical="center"/>
    </xf>
    <xf borderId="2" fillId="7" fontId="3" numFmtId="0" xfId="0" applyAlignment="1" applyBorder="1" applyFont="1">
      <alignment readingOrder="0" shrinkToFit="0" vertical="center" wrapText="1"/>
    </xf>
    <xf borderId="2" fillId="7" fontId="3" numFmtId="0" xfId="0" applyAlignment="1" applyBorder="1" applyFont="1">
      <alignment horizontal="center" readingOrder="0" vertical="center"/>
    </xf>
    <xf borderId="2" fillId="7" fontId="3" numFmtId="164" xfId="0" applyAlignment="1" applyBorder="1" applyFont="1" applyNumberFormat="1">
      <alignment horizontal="center" readingOrder="0" vertical="center"/>
    </xf>
    <xf borderId="2" fillId="7" fontId="3" numFmtId="0" xfId="0" applyAlignment="1" applyBorder="1" applyFont="1">
      <alignment horizontal="left" readingOrder="0" shrinkToFit="0" vertical="center" wrapText="1"/>
    </xf>
    <xf borderId="2" fillId="0" fontId="15" numFmtId="0" xfId="0" applyAlignment="1" applyBorder="1" applyFont="1">
      <alignment horizontal="center" readingOrder="0" shrinkToFit="0" vertical="center" wrapText="1"/>
    </xf>
    <xf borderId="2" fillId="3" fontId="15" numFmtId="0" xfId="0" applyAlignment="1" applyBorder="1" applyFont="1">
      <alignment readingOrder="0" shrinkToFit="0" vertical="center" wrapText="1"/>
    </xf>
    <xf borderId="3" fillId="3" fontId="15" numFmtId="0" xfId="0" applyAlignment="1" applyBorder="1" applyFont="1">
      <alignment shrinkToFit="0" vertical="center" wrapText="1"/>
    </xf>
    <xf borderId="3" fillId="0" fontId="15" numFmtId="0" xfId="0" applyAlignment="1" applyBorder="1" applyFont="1">
      <alignment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" fillId="0" fontId="15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vertical="center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19" numFmtId="164" xfId="0" applyAlignment="1" applyFont="1" applyNumberFormat="1">
      <alignment horizontal="center" shrinkToFit="0" vertical="center" wrapText="1"/>
    </xf>
    <xf borderId="0" fillId="0" fontId="19" numFmtId="164" xfId="0" applyAlignment="1" applyFont="1" applyNumberFormat="1">
      <alignment shrinkToFit="0" vertical="center" wrapText="1"/>
    </xf>
    <xf borderId="3" fillId="0" fontId="19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vertical="center"/>
    </xf>
    <xf borderId="4" fillId="0" fontId="19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center"/>
    </xf>
    <xf borderId="11" fillId="0" fontId="8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horizontal="center" vertical="center"/>
    </xf>
    <xf borderId="2" fillId="3" fontId="8" numFmtId="0" xfId="0" applyAlignment="1" applyBorder="1" applyFont="1">
      <alignment vertical="center"/>
    </xf>
    <xf borderId="2" fillId="0" fontId="8" numFmtId="0" xfId="0" applyAlignment="1" applyBorder="1" applyFont="1">
      <alignment horizontal="center" vertical="center"/>
    </xf>
    <xf borderId="2" fillId="0" fontId="8" numFmtId="164" xfId="0" applyAlignment="1" applyBorder="1" applyFont="1" applyNumberFormat="1">
      <alignment horizontal="center" readingOrder="0" vertical="center"/>
    </xf>
    <xf borderId="2" fillId="0" fontId="8" numFmtId="0" xfId="0" applyAlignment="1" applyBorder="1" applyFont="1">
      <alignment horizontal="center" readingOrder="0" shrinkToFit="0" vertical="center" wrapText="1"/>
    </xf>
    <xf borderId="4" fillId="0" fontId="30" numFmtId="0" xfId="0" applyAlignment="1" applyBorder="1" applyFont="1">
      <alignment horizontal="left" readingOrder="0" shrinkToFit="0" vertical="center" wrapText="1"/>
    </xf>
    <xf borderId="14" fillId="0" fontId="26" numFmtId="0" xfId="0" applyBorder="1" applyFont="1"/>
    <xf borderId="7" fillId="0" fontId="26" numFmtId="0" xfId="0" applyBorder="1" applyFont="1"/>
    <xf borderId="15" fillId="0" fontId="8" numFmtId="0" xfId="0" applyAlignment="1" applyBorder="1" applyFont="1">
      <alignment horizontal="center" readingOrder="0" vertical="center"/>
    </xf>
    <xf borderId="16" fillId="0" fontId="26" numFmtId="0" xfId="0" applyBorder="1" applyFont="1"/>
    <xf borderId="4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7" fillId="0" fontId="31" numFmtId="0" xfId="0" applyAlignment="1" applyBorder="1" applyFont="1">
      <alignment horizontal="left" readingOrder="0" shrinkToFit="0" vertical="center" wrapText="1"/>
    </xf>
    <xf borderId="2" fillId="3" fontId="8" numFmtId="0" xfId="0" applyAlignment="1" applyBorder="1" applyFont="1">
      <alignment readingOrder="0" vertical="center"/>
    </xf>
    <xf borderId="17" fillId="0" fontId="8" numFmtId="0" xfId="0" applyAlignment="1" applyBorder="1" applyFont="1">
      <alignment horizontal="center" readingOrder="0" shrinkToFit="0" vertical="center" wrapText="1"/>
    </xf>
    <xf borderId="11" fillId="0" fontId="32" numFmtId="0" xfId="0" applyAlignment="1" applyBorder="1" applyFont="1">
      <alignment horizontal="left" readingOrder="0" shrinkToFit="0" vertical="center" wrapText="1"/>
    </xf>
    <xf borderId="6" fillId="0" fontId="8" numFmtId="0" xfId="0" applyAlignment="1" applyBorder="1" applyFont="1">
      <alignment vertical="center"/>
    </xf>
    <xf borderId="2" fillId="0" fontId="8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3" fontId="33" numFmtId="0" xfId="0" applyAlignment="1" applyBorder="1" applyFont="1">
      <alignment readingOrder="0"/>
    </xf>
    <xf borderId="0" fillId="0" fontId="34" numFmtId="0" xfId="0" applyFont="1"/>
    <xf borderId="2" fillId="3" fontId="8" numFmtId="0" xfId="0" applyAlignment="1" applyBorder="1" applyFont="1">
      <alignment readingOrder="0"/>
    </xf>
    <xf borderId="2" fillId="0" fontId="34" numFmtId="0" xfId="0" applyAlignment="1" applyBorder="1" applyFont="1">
      <alignment horizontal="center" readingOrder="0"/>
    </xf>
    <xf borderId="2" fillId="0" fontId="34" numFmtId="164" xfId="0" applyAlignment="1" applyBorder="1" applyFont="1" applyNumberFormat="1">
      <alignment horizontal="center" readingOrder="0"/>
    </xf>
    <xf borderId="2" fillId="0" fontId="34" numFmtId="0" xfId="0" applyBorder="1" applyFont="1"/>
    <xf borderId="2" fillId="0" fontId="34" numFmtId="0" xfId="0" applyAlignment="1" applyBorder="1" applyFont="1">
      <alignment horizontal="left" shrinkToFit="0" wrapText="1"/>
    </xf>
    <xf borderId="2" fillId="0" fontId="34" numFmtId="0" xfId="0" applyAlignment="1" applyBorder="1" applyFont="1">
      <alignment horizontal="center" readingOrder="0" vertical="bottom"/>
    </xf>
    <xf borderId="2" fillId="0" fontId="34" numFmtId="164" xfId="0" applyAlignment="1" applyBorder="1" applyFont="1" applyNumberFormat="1">
      <alignment vertical="bottom"/>
    </xf>
    <xf borderId="2" fillId="0" fontId="34" numFmtId="0" xfId="0" applyAlignment="1" applyBorder="1" applyFont="1">
      <alignment horizontal="left" shrinkToFit="0" vertical="bottom" wrapText="1"/>
    </xf>
    <xf borderId="2" fillId="0" fontId="34" numFmtId="0" xfId="0" applyAlignment="1" applyBorder="1" applyFont="1">
      <alignment vertical="bottom"/>
    </xf>
    <xf borderId="0" fillId="0" fontId="34" numFmtId="0" xfId="0" applyAlignment="1" applyFont="1">
      <alignment vertical="bottom"/>
    </xf>
    <xf borderId="0" fillId="0" fontId="35" numFmtId="0" xfId="0" applyAlignment="1" applyFont="1">
      <alignment vertical="center"/>
    </xf>
    <xf borderId="2" fillId="0" fontId="35" numFmtId="0" xfId="0" applyAlignment="1" applyBorder="1" applyFont="1">
      <alignment vertical="center"/>
    </xf>
    <xf borderId="2" fillId="0" fontId="35" numFmtId="164" xfId="0" applyAlignment="1" applyBorder="1" applyFont="1" applyNumberFormat="1">
      <alignment vertical="center"/>
    </xf>
    <xf borderId="2" fillId="0" fontId="33" numFmtId="0" xfId="0" applyBorder="1" applyFont="1"/>
    <xf borderId="2" fillId="0" fontId="33" numFmtId="0" xfId="0" applyAlignment="1" applyBorder="1" applyFont="1">
      <alignment horizontal="left" shrinkToFit="0" vertical="center" wrapText="1"/>
    </xf>
    <xf borderId="2" fillId="3" fontId="35" numFmtId="0" xfId="0" applyAlignment="1" applyBorder="1" applyFont="1">
      <alignment shrinkToFit="0" vertical="center" wrapText="1"/>
    </xf>
    <xf borderId="2" fillId="0" fontId="8" numFmtId="164" xfId="0" applyAlignment="1" applyBorder="1" applyFont="1" applyNumberFormat="1">
      <alignment horizontal="right" shrinkToFit="0" vertical="center" wrapText="1"/>
    </xf>
    <xf borderId="2" fillId="3" fontId="8" numFmtId="0" xfId="0" applyAlignment="1" applyBorder="1" applyFont="1">
      <alignment shrinkToFit="0" vertical="center" wrapText="1"/>
    </xf>
    <xf borderId="2" fillId="3" fontId="35" numFmtId="0" xfId="0" applyAlignment="1" applyBorder="1" applyFont="1">
      <alignment shrinkToFit="0" vertical="center" wrapText="1"/>
    </xf>
    <xf borderId="2" fillId="0" fontId="8" numFmtId="164" xfId="0" applyAlignment="1" applyBorder="1" applyFont="1" applyNumberFormat="1">
      <alignment horizontal="right" readingOrder="0" shrinkToFit="0" vertical="center" wrapText="1"/>
    </xf>
    <xf borderId="8" fillId="0" fontId="20" numFmtId="0" xfId="0" applyAlignment="1" applyBorder="1" applyFont="1">
      <alignment horizontal="center" readingOrder="0" vertical="center"/>
    </xf>
    <xf borderId="18" fillId="0" fontId="26" numFmtId="0" xfId="0" applyBorder="1" applyFont="1"/>
    <xf borderId="10" fillId="0" fontId="26" numFmtId="0" xfId="0" applyBorder="1" applyFont="1"/>
    <xf borderId="3" fillId="3" fontId="20" numFmtId="0" xfId="0" applyAlignment="1" applyBorder="1" applyFont="1">
      <alignment horizontal="center" vertical="center"/>
    </xf>
    <xf borderId="8" fillId="0" fontId="20" numFmtId="0" xfId="0" applyAlignment="1" applyBorder="1" applyFont="1">
      <alignment readingOrder="0" vertical="center"/>
    </xf>
    <xf borderId="3" fillId="4" fontId="20" numFmtId="0" xfId="0" applyAlignment="1" applyBorder="1" applyFont="1">
      <alignment horizontal="center" vertical="center"/>
    </xf>
    <xf borderId="0" fillId="8" fontId="3" numFmtId="0" xfId="0" applyAlignment="1" applyFill="1" applyFont="1">
      <alignment horizontal="center" shrinkToFit="0" vertical="center" wrapText="1"/>
    </xf>
    <xf borderId="8" fillId="0" fontId="20" numFmtId="0" xfId="0" applyAlignment="1" applyBorder="1" applyFont="1">
      <alignment horizontal="left" readingOrder="0" shrinkToFit="0" vertical="center" wrapText="1"/>
    </xf>
    <xf borderId="0" fillId="0" fontId="15" numFmtId="164" xfId="0" applyAlignment="1" applyFont="1" applyNumberFormat="1">
      <alignment shrinkToFit="0" vertical="center" wrapText="1"/>
    </xf>
    <xf borderId="0" fillId="0" fontId="16" numFmtId="0" xfId="0" applyAlignment="1" applyFont="1">
      <alignment horizontal="center" shrinkToFit="0" vertical="center" wrapText="1"/>
    </xf>
    <xf borderId="11" fillId="0" fontId="15" numFmtId="0" xfId="0" applyAlignment="1" applyBorder="1" applyFont="1">
      <alignment horizontal="center" readingOrder="0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shrinkToFit="0" vertical="center" wrapText="1"/>
    </xf>
    <xf borderId="3" fillId="0" fontId="15" numFmtId="0" xfId="0" applyAlignment="1" applyBorder="1" applyFont="1">
      <alignment horizontal="left" readingOrder="0" shrinkToFit="0" vertical="center" wrapText="1"/>
    </xf>
    <xf borderId="3" fillId="0" fontId="15" numFmtId="0" xfId="0" applyAlignment="1" applyBorder="1" applyFont="1">
      <alignment horizontal="left" shrinkToFit="0" vertical="center" wrapText="1"/>
    </xf>
    <xf borderId="0" fillId="0" fontId="37" numFmtId="0" xfId="0" applyAlignment="1" applyFont="1">
      <alignment shrinkToFit="0" vertical="center" wrapText="1"/>
    </xf>
    <xf borderId="3" fillId="0" fontId="37" numFmtId="0" xfId="0" applyAlignment="1" applyBorder="1" applyFont="1">
      <alignment shrinkToFit="0" vertical="center" wrapText="1"/>
    </xf>
    <xf borderId="3" fillId="0" fontId="37" numFmtId="0" xfId="0" applyAlignment="1" applyBorder="1" applyFont="1">
      <alignment horizontal="left" shrinkToFit="0" vertical="center" wrapText="1"/>
    </xf>
    <xf borderId="3" fillId="0" fontId="37" numFmtId="0" xfId="0" applyAlignment="1" applyBorder="1" applyFont="1">
      <alignment horizontal="center" shrinkToFit="0" vertical="center" wrapText="1"/>
    </xf>
    <xf borderId="3" fillId="0" fontId="37" numFmtId="164" xfId="0" applyAlignment="1" applyBorder="1" applyFont="1" applyNumberFormat="1">
      <alignment horizontal="center" shrinkToFit="0" vertical="center" wrapText="1"/>
    </xf>
    <xf borderId="3" fillId="0" fontId="37" numFmtId="164" xfId="0" applyAlignment="1" applyBorder="1" applyFont="1" applyNumberFormat="1">
      <alignment shrinkToFit="0" vertical="center" wrapText="1"/>
    </xf>
    <xf borderId="3" fillId="3" fontId="37" numFmtId="0" xfId="0" applyAlignment="1" applyBorder="1" applyFont="1">
      <alignment shrinkToFit="0" vertical="center" wrapText="1"/>
    </xf>
    <xf borderId="3" fillId="3" fontId="37" numFmtId="0" xfId="0" applyAlignment="1" applyBorder="1" applyFont="1">
      <alignment shrinkToFit="0" vertical="center" wrapText="1"/>
    </xf>
    <xf borderId="0" fillId="0" fontId="38" numFmtId="0" xfId="0" applyAlignment="1" applyFont="1">
      <alignment readingOrder="0" shrinkToFit="0" wrapText="1"/>
    </xf>
    <xf borderId="4" fillId="0" fontId="19" numFmtId="0" xfId="0" applyAlignment="1" applyBorder="1" applyFont="1">
      <alignment horizontal="center" shrinkToFit="0" vertical="center" wrapText="1"/>
    </xf>
    <xf borderId="3" fillId="0" fontId="19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164" xfId="0" applyAlignment="1" applyBorder="1" applyFont="1" applyNumberFormat="1">
      <alignment horizontal="center" shrinkToFit="0" vertical="center" wrapText="1"/>
    </xf>
    <xf borderId="18" fillId="0" fontId="3" numFmtId="0" xfId="0" applyAlignment="1" applyBorder="1" applyFont="1">
      <alignment horizontal="center" readingOrder="0" shrinkToFit="0" vertical="center" wrapText="1"/>
    </xf>
    <xf borderId="19" fillId="0" fontId="3" numFmtId="0" xfId="0" applyAlignment="1" applyBorder="1" applyFont="1">
      <alignment vertical="center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19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2" fillId="9" fontId="3" numFmtId="0" xfId="0" applyAlignment="1" applyBorder="1" applyFill="1" applyFont="1">
      <alignment horizontal="center" shrinkToFit="0" vertical="center" wrapText="1"/>
    </xf>
    <xf borderId="2" fillId="3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8" numFmtId="164" xfId="0" applyAlignment="1" applyBorder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3" fillId="4" fontId="3" numFmtId="0" xfId="0" applyAlignment="1" applyBorder="1" applyFont="1">
      <alignment readingOrder="0" shrinkToFit="0" vertical="center" wrapText="1"/>
    </xf>
    <xf borderId="3" fillId="0" fontId="3" numFmtId="164" xfId="0" applyAlignment="1" applyBorder="1" applyFont="1" applyNumberFormat="1">
      <alignment horizontal="center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2" fillId="0" fontId="19" numFmtId="0" xfId="0" applyAlignment="1" applyBorder="1" applyFont="1">
      <alignment horizontal="left" shrinkToFit="0" vertical="center" wrapText="1"/>
    </xf>
    <xf borderId="2" fillId="3" fontId="3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20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left" readingOrder="0" shrinkToFit="0" vertical="center" wrapText="1"/>
    </xf>
    <xf borderId="21" fillId="0" fontId="3" numFmtId="0" xfId="0" applyAlignment="1" applyBorder="1" applyFont="1">
      <alignment horizontal="center" readingOrder="0" shrinkToFit="0" vertical="center" wrapText="1"/>
    </xf>
    <xf borderId="22" fillId="0" fontId="3" numFmtId="0" xfId="0" applyAlignment="1" applyBorder="1" applyFont="1">
      <alignment horizontal="center" readingOrder="0" shrinkToFit="0" vertical="center" wrapText="1"/>
    </xf>
    <xf borderId="23" fillId="0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22" fillId="0" fontId="39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  <xf borderId="24" fillId="0" fontId="26" numFmtId="0" xfId="0" applyBorder="1" applyFont="1"/>
    <xf borderId="25" fillId="0" fontId="26" numFmtId="0" xfId="0" applyBorder="1" applyFont="1"/>
    <xf borderId="3" fillId="3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26" fillId="0" fontId="3" numFmtId="0" xfId="0" applyAlignment="1" applyBorder="1" applyFont="1">
      <alignment horizontal="center" readingOrder="0" shrinkToFit="0" vertical="center" wrapText="1"/>
    </xf>
    <xf borderId="11" fillId="0" fontId="40" numFmtId="0" xfId="0" applyAlignment="1" applyBorder="1" applyFont="1">
      <alignment horizontal="left" readingOrder="0" shrinkToFit="0" vertical="center" wrapText="1"/>
    </xf>
    <xf borderId="11" fillId="3" fontId="3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horizontal="left" readingOrder="0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164" xfId="0" applyAlignment="1" applyBorder="1" applyFont="1" applyNumberFormat="1">
      <alignment horizontal="center" readingOrder="0" shrinkToFit="0" vertical="center" wrapText="1"/>
    </xf>
    <xf borderId="0" fillId="0" fontId="33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0" fillId="10" fontId="3" numFmtId="0" xfId="0" applyAlignment="1" applyFill="1" applyFont="1">
      <alignment horizontal="center" shrinkToFit="0" vertical="center" wrapText="1"/>
    </xf>
    <xf borderId="4" fillId="10" fontId="3" numFmtId="0" xfId="0" applyAlignment="1" applyBorder="1" applyFont="1">
      <alignment horizontal="center" shrinkToFit="0" vertical="center" wrapText="1"/>
    </xf>
    <xf borderId="4" fillId="10" fontId="4" numFmtId="0" xfId="0" applyAlignment="1" applyBorder="1" applyFont="1">
      <alignment horizontal="center" readingOrder="0" shrinkToFit="0" vertical="center" wrapText="1"/>
    </xf>
    <xf borderId="4" fillId="10" fontId="3" numFmtId="0" xfId="0" applyAlignment="1" applyBorder="1" applyFont="1">
      <alignment horizontal="left" shrinkToFit="0" vertical="center" wrapText="1"/>
    </xf>
    <xf borderId="4" fillId="10" fontId="19" numFmtId="0" xfId="0" applyAlignment="1" applyBorder="1" applyFont="1">
      <alignment horizontal="center" readingOrder="0" shrinkToFit="0" vertical="center" wrapText="1"/>
    </xf>
    <xf borderId="4" fillId="10" fontId="3" numFmtId="0" xfId="0" applyAlignment="1" applyBorder="1" applyFont="1">
      <alignment horizontal="center" readingOrder="0" shrinkToFit="0" vertical="center" wrapText="1"/>
    </xf>
    <xf borderId="2" fillId="10" fontId="3" numFmtId="164" xfId="0" applyAlignment="1" applyBorder="1" applyFont="1" applyNumberFormat="1">
      <alignment horizontal="center" shrinkToFit="0" vertical="center" wrapText="1"/>
    </xf>
    <xf borderId="2" fillId="10" fontId="19" numFmtId="0" xfId="0" applyAlignment="1" applyBorder="1" applyFont="1">
      <alignment horizontal="center" readingOrder="0" shrinkToFit="0" vertical="center" wrapText="1"/>
    </xf>
    <xf borderId="4" fillId="10" fontId="4" numFmtId="164" xfId="0" applyAlignment="1" applyBorder="1" applyFont="1" applyNumberFormat="1">
      <alignment horizontal="center" readingOrder="0" shrinkToFit="0" vertical="center" wrapText="1"/>
    </xf>
    <xf borderId="4" fillId="10" fontId="3" numFmtId="164" xfId="0" applyAlignment="1" applyBorder="1" applyFont="1" applyNumberFormat="1">
      <alignment horizontal="center" shrinkToFit="0" vertical="center" wrapText="1"/>
    </xf>
    <xf borderId="4" fillId="10" fontId="3" numFmtId="0" xfId="0" applyAlignment="1" applyBorder="1" applyFont="1">
      <alignment horizontal="left" readingOrder="0" shrinkToFit="0" vertical="center" wrapText="1"/>
    </xf>
    <xf borderId="0" fillId="10" fontId="33" numFmtId="0" xfId="0" applyAlignment="1" applyFont="1">
      <alignment horizontal="center" shrinkToFit="0" vertical="center" wrapText="1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2" fillId="10" fontId="3" numFmtId="0" xfId="0" applyAlignment="1" applyBorder="1" applyFont="1">
      <alignment horizontal="center" readingOrder="0" shrinkToFit="0" vertical="center" wrapText="1"/>
    </xf>
    <xf borderId="2" fillId="10" fontId="3" numFmtId="0" xfId="0" applyAlignment="1" applyBorder="1" applyFont="1">
      <alignment horizontal="left" readingOrder="0" shrinkToFit="0" vertical="center" wrapText="1"/>
    </xf>
    <xf borderId="2" fillId="10" fontId="3" numFmtId="164" xfId="0" applyAlignment="1" applyBorder="1" applyFont="1" applyNumberFormat="1">
      <alignment horizontal="center" readingOrder="0" shrinkToFit="0" vertical="center" wrapText="1"/>
    </xf>
    <xf borderId="2" fillId="10" fontId="3" numFmtId="0" xfId="0" applyAlignment="1" applyBorder="1" applyFont="1">
      <alignment horizontal="left" shrinkToFit="0" vertical="center" wrapText="1"/>
    </xf>
    <xf borderId="2" fillId="1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10" fontId="19" numFmtId="0" xfId="0" applyAlignment="1" applyFont="1">
      <alignment horizontal="center" readingOrder="0" shrinkToFit="0" vertical="center" wrapText="1"/>
    </xf>
    <xf borderId="0" fillId="10" fontId="3" numFmtId="0" xfId="0" applyAlignment="1" applyFont="1">
      <alignment horizontal="left" shrinkToFit="0" vertical="center" wrapText="1"/>
    </xf>
    <xf borderId="0" fillId="10" fontId="19" numFmtId="0" xfId="0" applyAlignment="1" applyFont="1">
      <alignment horizontal="center" shrinkToFit="0" vertical="center" wrapText="1"/>
    </xf>
    <xf borderId="0" fillId="11" fontId="3" numFmtId="0" xfId="0" applyAlignment="1" applyFill="1" applyFont="1">
      <alignment horizontal="center" shrinkToFit="0" vertical="center" wrapText="1"/>
    </xf>
    <xf borderId="0" fillId="11" fontId="19" numFmtId="0" xfId="0" applyAlignment="1" applyFont="1">
      <alignment horizontal="left" readingOrder="0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1" fontId="19" numFmtId="0" xfId="0" applyAlignment="1" applyFont="1">
      <alignment horizontal="center" shrinkToFit="0" vertical="center" wrapText="1"/>
    </xf>
    <xf borderId="3" fillId="4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3" fillId="0" fontId="19" numFmtId="0" xfId="0" applyAlignment="1" applyBorder="1" applyFont="1">
      <alignment horizontal="center" readingOrder="0" shrinkToFit="0" vertical="center" wrapText="1"/>
    </xf>
    <xf borderId="3" fillId="0" fontId="19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27" fillId="0" fontId="4" numFmtId="0" xfId="0" applyAlignment="1" applyBorder="1" applyFont="1">
      <alignment horizontal="center" readingOrder="0" shrinkToFit="0" vertical="center" wrapText="1"/>
    </xf>
    <xf borderId="27" fillId="0" fontId="4" numFmtId="0" xfId="0" applyAlignment="1" applyBorder="1" applyFont="1">
      <alignment readingOrder="0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27" fillId="0" fontId="4" numFmtId="164" xfId="0" applyAlignment="1" applyBorder="1" applyFont="1" applyNumberFormat="1">
      <alignment horizontal="center" readingOrder="0" shrinkToFit="0" vertical="center" wrapText="1"/>
    </xf>
    <xf borderId="27" fillId="0" fontId="41" numFmtId="0" xfId="0" applyAlignment="1" applyBorder="1" applyFont="1">
      <alignment horizontal="left" readingOrder="0" shrinkToFit="0" vertical="center" wrapText="1"/>
    </xf>
    <xf borderId="27" fillId="0" fontId="4" numFmtId="0" xfId="0" applyAlignment="1" applyBorder="1" applyFont="1">
      <alignment horizontal="left"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27" fillId="0" fontId="4" numFmtId="164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28" fillId="0" fontId="4" numFmtId="0" xfId="0" applyAlignment="1" applyBorder="1" applyFont="1">
      <alignment horizontal="center" readingOrder="0" shrinkToFit="0" vertical="center" wrapText="1"/>
    </xf>
    <xf borderId="17" fillId="0" fontId="8" numFmtId="164" xfId="0" applyAlignment="1" applyBorder="1" applyFont="1" applyNumberFormat="1">
      <alignment horizontal="center" shrinkToFit="0" vertical="center" wrapText="1"/>
    </xf>
    <xf borderId="28" fillId="0" fontId="42" numFmtId="0" xfId="0" applyAlignment="1" applyBorder="1" applyFont="1">
      <alignment horizontal="left" readingOrder="0" shrinkToFit="0" vertical="center" wrapText="1"/>
    </xf>
    <xf borderId="29" fillId="0" fontId="26" numFmtId="0" xfId="0" applyBorder="1" applyFont="1"/>
    <xf borderId="27" fillId="0" fontId="1" numFmtId="0" xfId="0" applyAlignment="1" applyBorder="1" applyFont="1">
      <alignment readingOrder="0" shrinkToFit="0" vertical="center" wrapText="1"/>
    </xf>
    <xf borderId="27" fillId="9" fontId="4" numFmtId="0" xfId="0" applyAlignment="1" applyBorder="1" applyFont="1">
      <alignment horizontal="center" readingOrder="0" shrinkToFit="0" vertical="center" wrapText="1"/>
    </xf>
    <xf borderId="27" fillId="9" fontId="4" numFmtId="0" xfId="0" applyAlignment="1" applyBorder="1" applyFont="1">
      <alignment readingOrder="0" shrinkToFit="0" vertical="center" wrapText="1"/>
    </xf>
    <xf borderId="27" fillId="9" fontId="1" numFmtId="0" xfId="0" applyAlignment="1" applyBorder="1" applyFont="1">
      <alignment readingOrder="0" shrinkToFit="0" vertical="center" wrapText="1"/>
    </xf>
    <xf borderId="2" fillId="9" fontId="8" numFmtId="0" xfId="0" applyAlignment="1" applyBorder="1" applyFont="1">
      <alignment shrinkToFit="0" vertical="center" wrapText="1"/>
    </xf>
    <xf borderId="27" fillId="9" fontId="4" numFmtId="164" xfId="0" applyAlignment="1" applyBorder="1" applyFont="1" applyNumberFormat="1">
      <alignment horizontal="center" readingOrder="0" shrinkToFit="0" vertical="center" wrapText="1"/>
    </xf>
    <xf borderId="2" fillId="9" fontId="8" numFmtId="164" xfId="0" applyAlignment="1" applyBorder="1" applyFont="1" applyNumberFormat="1">
      <alignment horizontal="center" shrinkToFit="0" vertical="center" wrapText="1"/>
    </xf>
    <xf borderId="27" fillId="9" fontId="4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27" fillId="0" fontId="4" numFmtId="0" xfId="0" applyAlignment="1" applyBorder="1" applyFont="1">
      <alignment horizontal="left" shrinkToFit="0" vertical="center" wrapText="1"/>
    </xf>
    <xf borderId="27" fillId="0" fontId="4" numFmtId="0" xfId="0" applyAlignment="1" applyBorder="1" applyFont="1">
      <alignment shrinkToFit="0" vertical="center" wrapText="1"/>
    </xf>
    <xf borderId="27" fillId="0" fontId="1" numFmtId="0" xfId="0" applyAlignment="1" applyBorder="1" applyFont="1">
      <alignment readingOrder="0" vertical="center"/>
    </xf>
    <xf borderId="27" fillId="9" fontId="4" numFmtId="0" xfId="0" applyAlignment="1" applyBorder="1" applyFont="1">
      <alignment horizontal="center" shrinkToFit="0" vertical="center" wrapText="1"/>
    </xf>
    <xf borderId="27" fillId="9" fontId="4" numFmtId="0" xfId="0" applyAlignment="1" applyBorder="1" applyFont="1">
      <alignment shrinkToFit="0" vertical="center" wrapText="1"/>
    </xf>
    <xf borderId="27" fillId="9" fontId="4" numFmtId="164" xfId="0" applyAlignment="1" applyBorder="1" applyFont="1" applyNumberFormat="1">
      <alignment horizontal="center" readingOrder="0" shrinkToFit="0" vertical="center" wrapText="1"/>
    </xf>
    <xf borderId="27" fillId="9" fontId="4" numFmtId="0" xfId="0" applyAlignment="1" applyBorder="1" applyFont="1">
      <alignment horizontal="left" shrinkToFit="0" vertical="center" wrapText="1"/>
    </xf>
    <xf borderId="27" fillId="12" fontId="4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28" fillId="12" fontId="4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28" fillId="0" fontId="4" numFmtId="164" xfId="0" applyAlignment="1" applyBorder="1" applyFont="1" applyNumberFormat="1">
      <alignment horizontal="center" readingOrder="0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shrinkToFit="0" vertical="center" wrapText="1"/>
    </xf>
    <xf borderId="3" fillId="0" fontId="4" numFmtId="164" xfId="0" applyAlignment="1" applyBorder="1" applyFont="1" applyNumberFormat="1">
      <alignment horizontal="center" readingOrder="0" shrinkToFit="0" vertical="center" wrapText="1"/>
    </xf>
    <xf borderId="3" fillId="0" fontId="8" numFmtId="164" xfId="0" applyAlignment="1" applyBorder="1" applyFont="1" applyNumberFormat="1">
      <alignment horizontal="center" shrinkToFit="0" vertical="center" wrapText="1"/>
    </xf>
    <xf borderId="3" fillId="0" fontId="43" numFmtId="0" xfId="0" applyAlignment="1" applyBorder="1" applyFont="1">
      <alignment horizontal="left" readingOrder="0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readingOrder="0"/>
    </xf>
    <xf borderId="3" fillId="0" fontId="8" numFmtId="164" xfId="0" applyAlignment="1" applyBorder="1" applyFont="1" applyNumberFormat="1">
      <alignment horizontal="center" readingOrder="0" shrinkToFit="0" vertical="center" wrapText="1"/>
    </xf>
    <xf borderId="3" fillId="0" fontId="8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27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readingOrder="0" vertical="center"/>
    </xf>
    <xf borderId="27" fillId="0" fontId="4" numFmtId="164" xfId="0" applyAlignment="1" applyBorder="1" applyFont="1" applyNumberFormat="1">
      <alignment horizontal="center" readingOrder="0" vertical="center"/>
    </xf>
    <xf borderId="27" fillId="0" fontId="44" numFmtId="0" xfId="0" applyAlignment="1" applyBorder="1" applyFont="1">
      <alignment horizontal="center" readingOrder="0" shrinkToFit="0" vertical="center" wrapText="1"/>
    </xf>
    <xf borderId="27" fillId="0" fontId="4" numFmtId="0" xfId="0" applyAlignment="1" applyBorder="1" applyFont="1">
      <alignment horizontal="center" readingOrder="0" vertical="center"/>
    </xf>
    <xf borderId="27" fillId="0" fontId="45" numFmtId="0" xfId="0" applyAlignment="1" applyBorder="1" applyFont="1">
      <alignment readingOrder="0"/>
    </xf>
    <xf borderId="27" fillId="0" fontId="45" numFmtId="0" xfId="0" applyAlignment="1" applyBorder="1" applyFont="1">
      <alignment readingOrder="0" vertical="center"/>
    </xf>
    <xf borderId="27" fillId="0" fontId="4" numFmtId="164" xfId="0" applyAlignment="1" applyBorder="1" applyFont="1" applyNumberFormat="1">
      <alignment horizontal="center" readingOrder="0" vertical="center"/>
    </xf>
    <xf borderId="27" fillId="0" fontId="45" numFmtId="0" xfId="0" applyAlignment="1" applyBorder="1" applyFont="1">
      <alignment horizontal="left" readingOrder="0" shrinkToFit="0" vertical="center" wrapText="1"/>
    </xf>
    <xf borderId="27" fillId="0" fontId="45" numFmtId="0" xfId="0" applyAlignment="1" applyBorder="1" applyFont="1">
      <alignment horizontal="left" readingOrder="0" shrinkToFit="0" wrapText="1"/>
    </xf>
    <xf borderId="17" fillId="0" fontId="3" numFmtId="164" xfId="0" applyAlignment="1" applyBorder="1" applyFont="1" applyNumberFormat="1">
      <alignment horizontal="center" shrinkToFit="0" vertical="center" wrapText="1"/>
    </xf>
    <xf borderId="28" fillId="0" fontId="46" numFmtId="0" xfId="0" applyAlignment="1" applyBorder="1" applyFont="1">
      <alignment horizontal="center" readingOrder="0" shrinkToFit="0" vertical="center" wrapText="1"/>
    </xf>
    <xf borderId="0" fillId="9" fontId="3" numFmtId="0" xfId="0" applyAlignment="1" applyFont="1">
      <alignment vertical="center"/>
    </xf>
    <xf borderId="27" fillId="7" fontId="4" numFmtId="0" xfId="0" applyAlignment="1" applyBorder="1" applyFont="1">
      <alignment horizontal="center" readingOrder="0" vertical="center"/>
    </xf>
    <xf borderId="27" fillId="7" fontId="4" numFmtId="0" xfId="0" applyAlignment="1" applyBorder="1" applyFont="1">
      <alignment readingOrder="0" vertical="center"/>
    </xf>
    <xf borderId="27" fillId="7" fontId="1" numFmtId="0" xfId="0" applyAlignment="1" applyBorder="1" applyFont="1">
      <alignment readingOrder="0" vertical="center"/>
    </xf>
    <xf borderId="2" fillId="7" fontId="3" numFmtId="0" xfId="0" applyAlignment="1" applyBorder="1" applyFont="1">
      <alignment shrinkToFit="0" vertical="center" wrapText="1"/>
    </xf>
    <xf borderId="27" fillId="7" fontId="4" numFmtId="164" xfId="0" applyAlignment="1" applyBorder="1" applyFont="1" applyNumberFormat="1">
      <alignment horizontal="center" readingOrder="0" vertical="center"/>
    </xf>
    <xf borderId="2" fillId="7" fontId="3" numFmtId="164" xfId="0" applyAlignment="1" applyBorder="1" applyFont="1" applyNumberFormat="1">
      <alignment horizontal="center" shrinkToFit="0" vertical="center" wrapText="1"/>
    </xf>
    <xf borderId="27" fillId="7" fontId="47" numFmtId="0" xfId="0" applyAlignment="1" applyBorder="1" applyFont="1">
      <alignment horizontal="center" readingOrder="0" shrinkToFit="0" vertical="center" wrapText="1"/>
    </xf>
    <xf borderId="27" fillId="7" fontId="4" numFmtId="0" xfId="0" applyAlignment="1" applyBorder="1" applyFont="1">
      <alignment horizontal="left" readingOrder="0" shrinkToFit="0" vertical="center" wrapText="1"/>
    </xf>
    <xf borderId="27" fillId="9" fontId="4" numFmtId="0" xfId="0" applyAlignment="1" applyBorder="1" applyFont="1">
      <alignment horizontal="center" readingOrder="0" vertical="center"/>
    </xf>
    <xf borderId="27" fillId="9" fontId="4" numFmtId="0" xfId="0" applyAlignment="1" applyBorder="1" applyFont="1">
      <alignment readingOrder="0" vertical="center"/>
    </xf>
    <xf borderId="27" fillId="9" fontId="1" numFmtId="0" xfId="0" applyAlignment="1" applyBorder="1" applyFont="1">
      <alignment readingOrder="0" vertical="center"/>
    </xf>
    <xf borderId="2" fillId="9" fontId="3" numFmtId="0" xfId="0" applyAlignment="1" applyBorder="1" applyFont="1">
      <alignment shrinkToFit="0" vertical="center" wrapText="1"/>
    </xf>
    <xf borderId="27" fillId="9" fontId="4" numFmtId="164" xfId="0" applyAlignment="1" applyBorder="1" applyFont="1" applyNumberFormat="1">
      <alignment horizontal="center" readingOrder="0" vertical="center"/>
    </xf>
    <xf borderId="2" fillId="9" fontId="3" numFmtId="164" xfId="0" applyAlignment="1" applyBorder="1" applyFont="1" applyNumberFormat="1">
      <alignment horizontal="center" shrinkToFit="0" vertical="center" wrapText="1"/>
    </xf>
    <xf borderId="27" fillId="0" fontId="4" numFmtId="0" xfId="0" applyAlignment="1" applyBorder="1" applyFont="1">
      <alignment readingOrder="0"/>
    </xf>
    <xf borderId="27" fillId="0" fontId="4" numFmtId="0" xfId="0" applyAlignment="1" applyBorder="1" applyFont="1">
      <alignment horizontal="center"/>
    </xf>
    <xf borderId="0" fillId="9" fontId="3" numFmtId="0" xfId="0" applyAlignment="1" applyFont="1">
      <alignment horizontal="center" readingOrder="0" shrinkToFit="0" vertical="center" wrapText="1"/>
    </xf>
    <xf borderId="27" fillId="0" fontId="4" numFmtId="0" xfId="0" applyAlignment="1" applyBorder="1" applyFont="1">
      <alignment vertical="center"/>
    </xf>
    <xf borderId="27" fillId="7" fontId="4" numFmtId="0" xfId="0" applyAlignment="1" applyBorder="1" applyFont="1">
      <alignment vertical="center"/>
    </xf>
    <xf borderId="27" fillId="7" fontId="4" numFmtId="0" xfId="0" applyAlignment="1" applyBorder="1" applyFont="1">
      <alignment horizontal="center" vertical="center"/>
    </xf>
    <xf borderId="27" fillId="7" fontId="4" numFmtId="164" xfId="0" applyAlignment="1" applyBorder="1" applyFont="1" applyNumberFormat="1">
      <alignment horizontal="center" readingOrder="0" vertical="center"/>
    </xf>
    <xf borderId="27" fillId="9" fontId="4" numFmtId="0" xfId="0" applyAlignment="1" applyBorder="1" applyFont="1">
      <alignment horizontal="center" vertical="center"/>
    </xf>
    <xf borderId="27" fillId="9" fontId="4" numFmtId="0" xfId="0" applyAlignment="1" applyBorder="1" applyFont="1">
      <alignment vertical="center"/>
    </xf>
    <xf borderId="27" fillId="9" fontId="4" numFmtId="164" xfId="0" applyAlignment="1" applyBorder="1" applyFont="1" applyNumberFormat="1">
      <alignment horizontal="center" readingOrder="0" vertical="center"/>
    </xf>
    <xf borderId="27" fillId="12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readingOrder="0"/>
    </xf>
    <xf borderId="27" fillId="12" fontId="4" numFmtId="0" xfId="0" applyAlignment="1" applyBorder="1" applyFont="1">
      <alignment horizontal="center" readingOrder="0"/>
    </xf>
    <xf borderId="27" fillId="0" fontId="45" numFmtId="0" xfId="0" applyAlignment="1" applyBorder="1" applyFont="1">
      <alignment horizontal="center" readingOrder="0" vertical="center"/>
    </xf>
    <xf borderId="27" fillId="0" fontId="4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/>
    </xf>
    <xf borderId="27" fillId="0" fontId="4" numFmtId="0" xfId="0" applyAlignment="1" applyBorder="1" applyFont="1">
      <alignment horizontal="center" readingOrder="0"/>
    </xf>
    <xf borderId="0" fillId="0" fontId="33" numFmtId="0" xfId="0" applyAlignment="1" applyFont="1">
      <alignment horizontal="left"/>
    </xf>
    <xf borderId="3" fillId="12" fontId="33" numFmtId="0" xfId="0" applyBorder="1" applyFont="1"/>
    <xf borderId="3" fillId="0" fontId="20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</dxfs>
  <tableStyles count="1">
    <tableStyle count="3" pivot="0" name="hướng dẫ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14" displayName="Table_1" name="Table_1" id="1">
  <tableColumns count="4">
    <tableColumn name="section" id="1"/>
    <tableColumn name="Tên sheet (gồm cả STT)" id="2"/>
    <tableColumn name="Tên danh mục món ăn" id="3"/>
    <tableColumn name="Lấy từ tên của từng sheet danh mục" id="4"/>
  </tableColumns>
  <tableStyleInfo name="hướng dẫ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PVCXX1A0pGD9571_gFEjQWBVSD9Y5-4a/view?usp=sharing" TargetMode="External"/><Relationship Id="rId42" Type="http://schemas.openxmlformats.org/officeDocument/2006/relationships/hyperlink" Target="https://drive.google.com/file/d/1si1p0BXRXXkNwqDo834t1ggMSOVq9NKq/view?usp=sharing" TargetMode="External"/><Relationship Id="rId41" Type="http://schemas.openxmlformats.org/officeDocument/2006/relationships/hyperlink" Target="https://drive.google.com/file/d/1V_J5eQXpylKRp45jb2nf91PlXEliBVHT/view?usp=sharing" TargetMode="External"/><Relationship Id="rId44" Type="http://schemas.openxmlformats.org/officeDocument/2006/relationships/hyperlink" Target="https://drive.google.com/file/d/1lV_yqYWa-krGbn6fq_38uIx8MycBebBH/view?usp=sharing" TargetMode="External"/><Relationship Id="rId43" Type="http://schemas.openxmlformats.org/officeDocument/2006/relationships/hyperlink" Target="https://drive.google.com/file/d/1lV_yqYWa-krGbn6fq_38uIx8MycBebBH/view?usp=sharing" TargetMode="External"/><Relationship Id="rId46" Type="http://schemas.openxmlformats.org/officeDocument/2006/relationships/hyperlink" Target="https://drive.google.com/file/d/1rVKdH7SL9dNOQd6l4pofKub3Q2_xeXuO/view?usp=sharing" TargetMode="External"/><Relationship Id="rId45" Type="http://schemas.openxmlformats.org/officeDocument/2006/relationships/hyperlink" Target="https://drive.google.com/file/d/1lzRgGJ_7mSvF9Dse1MPBwU0SWrUUXbtB/view?usp=sharing" TargetMode="External"/><Relationship Id="rId48" Type="http://schemas.openxmlformats.org/officeDocument/2006/relationships/hyperlink" Target="https://drive.google.com/file/d/1rVKdH7SL9dNOQd6l4pofKub3Q2_xeXuO/view?usp=sharing" TargetMode="External"/><Relationship Id="rId47" Type="http://schemas.openxmlformats.org/officeDocument/2006/relationships/hyperlink" Target="https://drive.google.com/file/d/1rVKdH7SL9dNOQd6l4pofKub3Q2_xeXuO/view?usp=sharing" TargetMode="External"/><Relationship Id="rId49" Type="http://schemas.openxmlformats.org/officeDocument/2006/relationships/hyperlink" Target="https://drive.google.com/file/d/1loHNoI1W2MMuOTiLGzjg-lvN_tMyFJpZ/view?usp=sharing" TargetMode="External"/><Relationship Id="rId31" Type="http://schemas.openxmlformats.org/officeDocument/2006/relationships/hyperlink" Target="https://drive.google.com/file/d/1hCSUC2KgOet8fn9rcre9987IZOE-Z0Vr/view?usp=sharing" TargetMode="External"/><Relationship Id="rId30" Type="http://schemas.openxmlformats.org/officeDocument/2006/relationships/hyperlink" Target="https://drive.google.com/file/d/1aQgW1Cy6GiTXA91ME-pmxtr-ycin2p-3/view?usp=sharing" TargetMode="External"/><Relationship Id="rId33" Type="http://schemas.openxmlformats.org/officeDocument/2006/relationships/hyperlink" Target="https://drive.google.com/file/d/1NhYcQ_yeFrGhD3C89spp-taw-ybo68Ql/view?usp=sharing" TargetMode="External"/><Relationship Id="rId32" Type="http://schemas.openxmlformats.org/officeDocument/2006/relationships/hyperlink" Target="https://drive.google.com/file/d/1vbp98bm7qNMDqKlMBkq7DC4uLNyen1LD/view?usp=sharing" TargetMode="External"/><Relationship Id="rId35" Type="http://schemas.openxmlformats.org/officeDocument/2006/relationships/hyperlink" Target="https://drive.google.com/file/d/1LO6NiPDZ-nikNo3FPzCTI-x2EByYjX_w/view?usp=sharing" TargetMode="External"/><Relationship Id="rId34" Type="http://schemas.openxmlformats.org/officeDocument/2006/relationships/hyperlink" Target="https://drive.google.com/file/d/1Xe34dlgErsYNiV86pYxvpisDnu_qJoWt/view?usp=sharing" TargetMode="External"/><Relationship Id="rId37" Type="http://schemas.openxmlformats.org/officeDocument/2006/relationships/hyperlink" Target="https://drive.google.com/file/d/1P5BZOPLvYPC9LWyWCwv1vJHhPzWxd4ud/view?usp=sharing" TargetMode="External"/><Relationship Id="rId36" Type="http://schemas.openxmlformats.org/officeDocument/2006/relationships/hyperlink" Target="https://drive.google.com/file/d/1gkfAGuRM2TV6tCT4rTlecSvlJzBG6Xh8/view?usp=sharing" TargetMode="External"/><Relationship Id="rId39" Type="http://schemas.openxmlformats.org/officeDocument/2006/relationships/hyperlink" Target="https://drive.google.com/file/d/1PVCXX1A0pGD9571_gFEjQWBVSD9Y5-4a/view?usp=sharing" TargetMode="External"/><Relationship Id="rId38" Type="http://schemas.openxmlformats.org/officeDocument/2006/relationships/hyperlink" Target="https://drive.google.com/file/d/1D3ct4Pc9Dyec1b-8pq2oTzon4oeKx23I/view?usp=sharing" TargetMode="External"/><Relationship Id="rId20" Type="http://schemas.openxmlformats.org/officeDocument/2006/relationships/hyperlink" Target="https://drive.google.com/file/d/16VAzfqDviwvE6cMl8CnKqbUwOjfEf57Y/view?usp=sharing" TargetMode="External"/><Relationship Id="rId22" Type="http://schemas.openxmlformats.org/officeDocument/2006/relationships/hyperlink" Target="https://drive.google.com/file/d/1AFaA0CWuY59esFpTpLR8KydvWKtd3VhB/view?usp=sharing" TargetMode="External"/><Relationship Id="rId21" Type="http://schemas.openxmlformats.org/officeDocument/2006/relationships/hyperlink" Target="https://drive.google.com/file/d/1ZapiQKb9PvLhbPg7tBlufS1j6q1KQPjz/view?usp=sharing" TargetMode="External"/><Relationship Id="rId24" Type="http://schemas.openxmlformats.org/officeDocument/2006/relationships/hyperlink" Target="https://drive.google.com/file/d/1si1p0BXRXXkNwqDo834t1ggMSOVq9NKq/view?usp=sharing" TargetMode="External"/><Relationship Id="rId23" Type="http://schemas.openxmlformats.org/officeDocument/2006/relationships/hyperlink" Target="https://drive.google.com/file/d/1ucFRmsq_Al4EonGX-nmmMVX-aAnL1Uut/view?usp=sharing" TargetMode="External"/><Relationship Id="rId26" Type="http://schemas.openxmlformats.org/officeDocument/2006/relationships/hyperlink" Target="https://drive.google.com/file/d/1sdfdIxq75LCAHHGyJ8SqEIYgSA15pfJ2/view?usp=sharing" TargetMode="External"/><Relationship Id="rId25" Type="http://schemas.openxmlformats.org/officeDocument/2006/relationships/hyperlink" Target="https://drive.google.com/file/d/1aGJdM1_BMK_Bqy_ylAR3WcmeI1JffL37/view?usp=sharing" TargetMode="External"/><Relationship Id="rId28" Type="http://schemas.openxmlformats.org/officeDocument/2006/relationships/hyperlink" Target="https://drive.google.com/file/d/1BavnwwNozAi1hqFiCLkrSfAnW6V51OvC/view?usp=sharing" TargetMode="External"/><Relationship Id="rId27" Type="http://schemas.openxmlformats.org/officeDocument/2006/relationships/hyperlink" Target="https://drive.google.com/file/d/1epRZ_hu062tlI78L9OPttOzapU36-rwg/view?usp=sharing" TargetMode="External"/><Relationship Id="rId29" Type="http://schemas.openxmlformats.org/officeDocument/2006/relationships/hyperlink" Target="https://drive.google.com/file/d/1CkwWYRo0Z5opTbbutVc0PQlOORXhMW3g/view?usp=drivesdk" TargetMode="External"/><Relationship Id="rId95" Type="http://schemas.openxmlformats.org/officeDocument/2006/relationships/hyperlink" Target="https://drive.google.com/file/d/1KFrjk-OH_Nxexa4pRB9wwddJPWxqRUp-/view?usp=drive_link" TargetMode="External"/><Relationship Id="rId94" Type="http://schemas.openxmlformats.org/officeDocument/2006/relationships/hyperlink" Target="https://drive.google.com/file/d/1qxQ9LtTBEbxwBrhYpuca-TGGe72UgqkR/view?usp=sharing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drive.google.com/file/d/1vm_ZqJodJhc6q71SqzHuPcq5O-y4z6Hb/view?usp=drive_link" TargetMode="External"/><Relationship Id="rId11" Type="http://schemas.openxmlformats.org/officeDocument/2006/relationships/hyperlink" Target="https://drive.google.com/file/d/1VipSCZ45SVBpRtBZsvTmPLGbMdsZxfRi/view?usp=sharing" TargetMode="External"/><Relationship Id="rId10" Type="http://schemas.openxmlformats.org/officeDocument/2006/relationships/hyperlink" Target="https://drive.google.com/file/d/1S7hGnEg4ps4Sv3lZy7FZFTlwvzHbeOzF/view?usp=sharing" TargetMode="External"/><Relationship Id="rId13" Type="http://schemas.openxmlformats.org/officeDocument/2006/relationships/hyperlink" Target="https://drive.google.com/file/d/1edxw6JIQ9zONy28JwRWuEgttG0roF3mD/view?usp=sharing" TargetMode="External"/><Relationship Id="rId12" Type="http://schemas.openxmlformats.org/officeDocument/2006/relationships/hyperlink" Target="https://drive.google.com/file/d/1JYgqqdOvjiqgl2HJFv_0gz3HsDzk_o8-/view?usp=sharing" TargetMode="External"/><Relationship Id="rId91" Type="http://schemas.openxmlformats.org/officeDocument/2006/relationships/hyperlink" Target="https://drive.google.com/file/d/1dP8MSgOZabx-z-pljCARjNgDJrC57-6y/view?usp=sharing" TargetMode="External"/><Relationship Id="rId90" Type="http://schemas.openxmlformats.org/officeDocument/2006/relationships/hyperlink" Target="https://drive.google.com/file/d/10dfFRp-YLMCBnm_YjQR9-xiKtrzjDy_r/view?usp=sharing" TargetMode="External"/><Relationship Id="rId93" Type="http://schemas.openxmlformats.org/officeDocument/2006/relationships/hyperlink" Target="https://drive.google.com/file/d/1YZreCDfAviTFg_yFHzS7JzvwEos8HTC4/view?usp=sharing" TargetMode="External"/><Relationship Id="rId92" Type="http://schemas.openxmlformats.org/officeDocument/2006/relationships/hyperlink" Target="https://drive.google.com/file/d/1OK118K_EVzOqU50Pn9gUe2sdjCXOxfFo/view?usp=sharing" TargetMode="External"/><Relationship Id="rId15" Type="http://schemas.openxmlformats.org/officeDocument/2006/relationships/hyperlink" Target="https://drive.google.com/file/d/1Aa-7mGqpWU17sOe7I-zwqYvf_sUocLA4/view?usp=sharing" TargetMode="External"/><Relationship Id="rId14" Type="http://schemas.openxmlformats.org/officeDocument/2006/relationships/hyperlink" Target="https://drive.google.com/file/d/1N-unhSIOoSte6H0wzitxEK_MP49y11jx/view?usp=sharing" TargetMode="External"/><Relationship Id="rId17" Type="http://schemas.openxmlformats.org/officeDocument/2006/relationships/hyperlink" Target="https://drive.google.com/file/d/1PHPG2_1Q-JyiCHCxYQ4U-FKtmGdnmr9A/view?usp=sharing" TargetMode="External"/><Relationship Id="rId16" Type="http://schemas.openxmlformats.org/officeDocument/2006/relationships/hyperlink" Target="https://drive.google.com/file/d/1zJCjC3XC8twqR6f78mXJ3TMsdEk1kOIt/view?usp=sharing" TargetMode="External"/><Relationship Id="rId19" Type="http://schemas.openxmlformats.org/officeDocument/2006/relationships/hyperlink" Target="https://drive.google.com/file/d/1btNVs3XO25S4dKcGX8t7QQ5JrQhPHXG3/view?usp=sharing" TargetMode="External"/><Relationship Id="rId18" Type="http://schemas.openxmlformats.org/officeDocument/2006/relationships/hyperlink" Target="https://drive.google.com/file/d/1XQAVWW4bdZLT1lsvU2SMITig0pnXyXrO/view?usp=sharing" TargetMode="External"/><Relationship Id="rId84" Type="http://schemas.openxmlformats.org/officeDocument/2006/relationships/hyperlink" Target="https://drive.google.com/file/d/1nGnlx5q5UbinlsvZHXLuWv81BFu420c1/view?usp=sharing" TargetMode="External"/><Relationship Id="rId83" Type="http://schemas.openxmlformats.org/officeDocument/2006/relationships/hyperlink" Target="https://drive.google.com/file/d/17C64vpamTq7GDo4oNRGcJjetqOUxGhDO/view?usp=sharing" TargetMode="External"/><Relationship Id="rId86" Type="http://schemas.openxmlformats.org/officeDocument/2006/relationships/hyperlink" Target="https://drive.google.com/file/d/1dTPFhZxBC78kILOy3Ax6sXQdsXENuiF-/view?usp=sharing" TargetMode="External"/><Relationship Id="rId85" Type="http://schemas.openxmlformats.org/officeDocument/2006/relationships/hyperlink" Target="https://drive.google.com/file/d/1VrPAsZ14MtROq4jCvQFMSL3k14TynXOo/view?usp=sharing" TargetMode="External"/><Relationship Id="rId88" Type="http://schemas.openxmlformats.org/officeDocument/2006/relationships/hyperlink" Target="https://drive.google.com/file/d/129lH2GfJc0o11GVM4MjC-ZsqJRZhUMS9/view?usp=sharing" TargetMode="External"/><Relationship Id="rId87" Type="http://schemas.openxmlformats.org/officeDocument/2006/relationships/hyperlink" Target="https://drive.google.com/file/d/1v1DWLeTaYz08Kjq3I36LoStkfFfjnZi3/view?usp=sharing" TargetMode="External"/><Relationship Id="rId89" Type="http://schemas.openxmlformats.org/officeDocument/2006/relationships/hyperlink" Target="https://drive.google.com/file/d/14NPnRmil7cRetG3HES6qX7SLLDyxV7tV/view?usp=sharing" TargetMode="External"/><Relationship Id="rId80" Type="http://schemas.openxmlformats.org/officeDocument/2006/relationships/hyperlink" Target="https://drive.google.com/file/d/1xMeOTPDDQDrjKSBVgkhyj0Wh1nVJdvUg/view?usp=sharing" TargetMode="External"/><Relationship Id="rId82" Type="http://schemas.openxmlformats.org/officeDocument/2006/relationships/hyperlink" Target="https://drive.google.com/file/d/1ecIcuyBYZJNrNShJLEe4rdhSS5IE7ZAX/view?usp=sharing" TargetMode="External"/><Relationship Id="rId81" Type="http://schemas.openxmlformats.org/officeDocument/2006/relationships/hyperlink" Target="https://drive.google.com/file/d/1mPq9KoRAM9QIpLtgNTdDTwMVhvyKAZJI/view?usp=sharing" TargetMode="External"/><Relationship Id="rId1" Type="http://schemas.openxmlformats.org/officeDocument/2006/relationships/hyperlink" Target="https://drive.google.com/file/d/1W7dZ6nngPrZUClElO7OQIKHI9FfpSIx7/view?usp=sharing" TargetMode="External"/><Relationship Id="rId2" Type="http://schemas.openxmlformats.org/officeDocument/2006/relationships/hyperlink" Target="https://drive.google.com/file/d/17Z0lWLL80uDkYQUOQ6ACvMvr7JSItTBL/view?usp=sharing" TargetMode="External"/><Relationship Id="rId3" Type="http://schemas.openxmlformats.org/officeDocument/2006/relationships/hyperlink" Target="https://drive.google.com/file/d/1BR7606-IbSxdLez5yvXx5gzA1qR8hQye/view?usp=sharing" TargetMode="External"/><Relationship Id="rId4" Type="http://schemas.openxmlformats.org/officeDocument/2006/relationships/hyperlink" Target="https://drive.google.com/file/d/1wJd6Otm1nNFhHPMvywysy8xf666ZYmVq/view?usp=sharing" TargetMode="External"/><Relationship Id="rId9" Type="http://schemas.openxmlformats.org/officeDocument/2006/relationships/hyperlink" Target="https://drive.google.com/file/d/108uI4MzX3tLw34Tp-QPBUtLRNGrW2ZwJ/view?usp=sharing" TargetMode="External"/><Relationship Id="rId5" Type="http://schemas.openxmlformats.org/officeDocument/2006/relationships/hyperlink" Target="https://drive.google.com/file/d/1L2RkxqIwXXTTPKXKj0bUJlLxqL2tr5Ie/view?usp=sharing" TargetMode="External"/><Relationship Id="rId6" Type="http://schemas.openxmlformats.org/officeDocument/2006/relationships/hyperlink" Target="https://drive.google.com/file/d/1L0tUwAVvCuhguigWTBPDOYzz-scRRL9Z/view?usp=sharing" TargetMode="External"/><Relationship Id="rId7" Type="http://schemas.openxmlformats.org/officeDocument/2006/relationships/hyperlink" Target="https://drive.google.com/file/d/1_D7QNzDjHXRopDUnwAaG2BijJKBgj-mN/view?usp=sharing" TargetMode="External"/><Relationship Id="rId8" Type="http://schemas.openxmlformats.org/officeDocument/2006/relationships/hyperlink" Target="https://drive.google.com/file/d/1NPc-FmpfC7YJ5LisY4isffyS2cazDuIP/view?usp=sharing" TargetMode="External"/><Relationship Id="rId73" Type="http://schemas.openxmlformats.org/officeDocument/2006/relationships/hyperlink" Target="https://drive.google.com/file/d/1os-jpbxOdYRrWqfwM8nOdI6iIUuse07i/view?usp=sharing" TargetMode="External"/><Relationship Id="rId72" Type="http://schemas.openxmlformats.org/officeDocument/2006/relationships/hyperlink" Target="https://drive.google.com/file/d/1Zx3egC893ijxfA0apmY8ZNaB664klo4I/view?usp=sharing" TargetMode="External"/><Relationship Id="rId75" Type="http://schemas.openxmlformats.org/officeDocument/2006/relationships/hyperlink" Target="https://drive.google.com/file/d/1cHuqxn3gCd4Hk08mMUcn8AbvWWzRSaP4/view?usp=sharing" TargetMode="External"/><Relationship Id="rId74" Type="http://schemas.openxmlformats.org/officeDocument/2006/relationships/hyperlink" Target="https://drive.google.com/file/d/1_NfuaimZ1B1oLedQ2NkHPQTjPrTWX_3S/view?usp=sharing" TargetMode="External"/><Relationship Id="rId77" Type="http://schemas.openxmlformats.org/officeDocument/2006/relationships/hyperlink" Target="https://drive.google.com/file/d/1yaJ_kegq3iPQDF6ApBMwSYXZYZfnI-8l/view?usp=sharing" TargetMode="External"/><Relationship Id="rId76" Type="http://schemas.openxmlformats.org/officeDocument/2006/relationships/hyperlink" Target="https://drive.google.com/file/d/1vHILcz7Ws4eG1VzfPpcA3HAFkYDpc28d/view?usp=sharing" TargetMode="External"/><Relationship Id="rId79" Type="http://schemas.openxmlformats.org/officeDocument/2006/relationships/hyperlink" Target="https://drive.google.com/file/d/1F0EKV_XOpftyYhU8WN_Y0heOeGiMOtyW/view?usp=sharing" TargetMode="External"/><Relationship Id="rId78" Type="http://schemas.openxmlformats.org/officeDocument/2006/relationships/hyperlink" Target="https://drive.google.com/file/d/1kRJTs1-aEI4_05c8Qih5Z00MnUrwEL2y/view?usp=sharing" TargetMode="External"/><Relationship Id="rId71" Type="http://schemas.openxmlformats.org/officeDocument/2006/relationships/hyperlink" Target="https://drive.google.com/file/d/1QIGUxMWL1hBpjcw3V5HmnfrY8jMRHzuf/view?usp=sharing" TargetMode="External"/><Relationship Id="rId70" Type="http://schemas.openxmlformats.org/officeDocument/2006/relationships/hyperlink" Target="https://drive.google.com/file/d/1mKQ5O8E0gjCCPOLcipfvnf1VbhzUiF3w/view?usp=sharing" TargetMode="External"/><Relationship Id="rId62" Type="http://schemas.openxmlformats.org/officeDocument/2006/relationships/hyperlink" Target="https://drive.google.com/file/d/12ZDw8gZUeV7yZPr5M-AzkLWTmeb_W6rO/view?usp=sharing" TargetMode="External"/><Relationship Id="rId61" Type="http://schemas.openxmlformats.org/officeDocument/2006/relationships/hyperlink" Target="https://drive.google.com/file/d/16bSD_ednvxKtW1WATIOiPofeFm75NRpo/view?usp=sharing" TargetMode="External"/><Relationship Id="rId64" Type="http://schemas.openxmlformats.org/officeDocument/2006/relationships/hyperlink" Target="https://drive.google.com/file/d/1bn90mMAftYR5UmfK_8acv7hFJOxOYLRg/view?usp=sharing" TargetMode="External"/><Relationship Id="rId63" Type="http://schemas.openxmlformats.org/officeDocument/2006/relationships/hyperlink" Target="https://drive.google.com/file/d/12ZDw8gZUeV7yZPr5M-AzkLWTmeb_W6rO/view?usp=sharing" TargetMode="External"/><Relationship Id="rId66" Type="http://schemas.openxmlformats.org/officeDocument/2006/relationships/hyperlink" Target="https://drive.google.com/file/d/1_O8SLQiUeea4xcQSh7i_iradSJXbRSyA/view?usp=sharing" TargetMode="External"/><Relationship Id="rId65" Type="http://schemas.openxmlformats.org/officeDocument/2006/relationships/hyperlink" Target="https://drive.google.com/file/d/1_7zsL647Zgd9F0gytOl3HqI1GroPcm9D/view?usp=sharing" TargetMode="External"/><Relationship Id="rId68" Type="http://schemas.openxmlformats.org/officeDocument/2006/relationships/hyperlink" Target="https://drive.google.com/file/d/1aIflc1tAkTmpNH8v6l80wN60aA4wSzmr/view?usp=sharing" TargetMode="External"/><Relationship Id="rId67" Type="http://schemas.openxmlformats.org/officeDocument/2006/relationships/hyperlink" Target="https://drive.google.com/file/d/1bn90mMAftYR5UmfK_8acv7hFJOxOYLRg/view?usp=sharing" TargetMode="External"/><Relationship Id="rId60" Type="http://schemas.openxmlformats.org/officeDocument/2006/relationships/hyperlink" Target="https://drive.google.com/file/d/1Vr0yusvEi7klvji_pgEDzjW9vXTnPyuE/view?usp=sharing" TargetMode="External"/><Relationship Id="rId69" Type="http://schemas.openxmlformats.org/officeDocument/2006/relationships/hyperlink" Target="https://drive.google.com/file/d/1-BYCDXwv7maLPe3zUJ_1rQeGQlLERFyU/view?usp=sharing" TargetMode="External"/><Relationship Id="rId51" Type="http://schemas.openxmlformats.org/officeDocument/2006/relationships/hyperlink" Target="https://drive.google.com/file/d/1YHIzd3okP8I4S52x1F6sjt4-uk-wuXwi/view?usp=sharing" TargetMode="External"/><Relationship Id="rId50" Type="http://schemas.openxmlformats.org/officeDocument/2006/relationships/hyperlink" Target="https://drive.google.com/file/d/1AzNJz35Y53p0aEG6bYt5R-KzUUgnEAEr/view?usp=sharing" TargetMode="External"/><Relationship Id="rId53" Type="http://schemas.openxmlformats.org/officeDocument/2006/relationships/hyperlink" Target="https://drive.google.com/file/d/1O-FbH8Z23W8Yw3MMocblMbr4F3kSKGdo/view?usp=sharing" TargetMode="External"/><Relationship Id="rId52" Type="http://schemas.openxmlformats.org/officeDocument/2006/relationships/hyperlink" Target="https://drive.google.com/file/d/1YHIzd3okP8I4S52x1F6sjt4-uk-wuXwi/view?usp=sharing" TargetMode="External"/><Relationship Id="rId55" Type="http://schemas.openxmlformats.org/officeDocument/2006/relationships/hyperlink" Target="https://drive.google.com/file/d/1kAGuHpVYTh2BjA8fiPUIqMlFGzH21_LR/view?usp=sharing" TargetMode="External"/><Relationship Id="rId54" Type="http://schemas.openxmlformats.org/officeDocument/2006/relationships/hyperlink" Target="https://drive.google.com/file/d/1jUUbTRItLwuTh0gZR4fDKgit-OtXwALl/view?usp=sharing" TargetMode="External"/><Relationship Id="rId57" Type="http://schemas.openxmlformats.org/officeDocument/2006/relationships/hyperlink" Target="https://drive.google.com/file/d/1Hiel95ZiIcaKqVI-TL8xlYBcnAaLjc4Z/view?usp=sharing" TargetMode="External"/><Relationship Id="rId56" Type="http://schemas.openxmlformats.org/officeDocument/2006/relationships/hyperlink" Target="https://drive.google.com/file/d/1MgL0P1yjjprKyeKWbrMpHLENn8KVbpj2/view?usp=sharing" TargetMode="External"/><Relationship Id="rId59" Type="http://schemas.openxmlformats.org/officeDocument/2006/relationships/hyperlink" Target="https://drive.google.com/file/d/11Yj4F1XYD0k4SIFG3WbhFH6jB2sH3KcW/view?usp=sharing" TargetMode="External"/><Relationship Id="rId58" Type="http://schemas.openxmlformats.org/officeDocument/2006/relationships/hyperlink" Target="https://drive.google.com/file/d/1_thHVNGbZTLfPfcD6ITmygDmfxkRLfYR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7dZ6nngPrZUClElO7OQIKHI9FfpSIx7/view?usp=sharing" TargetMode="External"/><Relationship Id="rId2" Type="http://schemas.openxmlformats.org/officeDocument/2006/relationships/hyperlink" Target="https://drive.google.com/file/d/17Z0lWLL80uDkYQUOQ6ACvMvr7JSItTBL/view?usp=sharing" TargetMode="External"/><Relationship Id="rId3" Type="http://schemas.openxmlformats.org/officeDocument/2006/relationships/hyperlink" Target="https://drive.google.com/file/d/1BR7606-IbSxdLez5yvXx5gzA1qR8hQye/view?usp=sharing" TargetMode="External"/><Relationship Id="rId4" Type="http://schemas.openxmlformats.org/officeDocument/2006/relationships/hyperlink" Target="https://drive.google.com/file/d/1wJd6Otm1nNFhHPMvywysy8xf666ZYmVq/view?usp=sharing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rive.google.com/file/d/1L2RkxqIwXXTTPKXKj0bUJlLxqL2tr5Ie/view?usp=sharing" TargetMode="External"/><Relationship Id="rId6" Type="http://schemas.openxmlformats.org/officeDocument/2006/relationships/hyperlink" Target="https://drive.google.com/file/d/1L0tUwAVvCuhguigWTBPDOYzz-scRRL9Z/view?usp=sharing" TargetMode="External"/><Relationship Id="rId7" Type="http://schemas.openxmlformats.org/officeDocument/2006/relationships/hyperlink" Target="https://drive.google.com/file/d/1_D7QNzDjHXRopDUnwAaG2BijJKBgj-mN/view?usp=sharing" TargetMode="External"/><Relationship Id="rId8" Type="http://schemas.openxmlformats.org/officeDocument/2006/relationships/hyperlink" Target="https://drive.google.com/file/d/1NPc-FmpfC7YJ5LisY4isffyS2cazDuIP/view?usp=sharing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btNVs3XO25S4dKcGX8t7QQ5JrQhPHXG3/view?usp=sharing" TargetMode="External"/><Relationship Id="rId10" Type="http://schemas.openxmlformats.org/officeDocument/2006/relationships/hyperlink" Target="https://drive.google.com/file/d/1XQAVWW4bdZLT1lsvU2SMITig0pnXyXrO/view?usp=sharing" TargetMode="External"/><Relationship Id="rId13" Type="http://schemas.openxmlformats.org/officeDocument/2006/relationships/hyperlink" Target="https://drive.google.com/file/d/1ZapiQKb9PvLhbPg7tBlufS1j6q1KQPjz/view?usp=sharing" TargetMode="External"/><Relationship Id="rId12" Type="http://schemas.openxmlformats.org/officeDocument/2006/relationships/hyperlink" Target="https://drive.google.com/file/d/16VAzfqDviwvE6cMl8CnKqbUwOjfEf57Y/view?usp=sharing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drive.google.com/file/d/1AFaA0CWuY59esFpTpLR8KydvWKtd3VhB/view?usp=sharing" TargetMode="External"/><Relationship Id="rId1" Type="http://schemas.openxmlformats.org/officeDocument/2006/relationships/hyperlink" Target="https://drive.google.com/file/d/108uI4MzX3tLw34Tp-QPBUtLRNGrW2ZwJ/view?usp=sharing" TargetMode="External"/><Relationship Id="rId2" Type="http://schemas.openxmlformats.org/officeDocument/2006/relationships/hyperlink" Target="https://drive.google.com/file/d/1S7hGnEg4ps4Sv3lZy7FZFTlwvzHbeOzF/view?usp=sharing" TargetMode="External"/><Relationship Id="rId3" Type="http://schemas.openxmlformats.org/officeDocument/2006/relationships/hyperlink" Target="https://drive.google.com/file/d/1VipSCZ45SVBpRtBZsvTmPLGbMdsZxfRi/view?usp=sharing" TargetMode="External"/><Relationship Id="rId4" Type="http://schemas.openxmlformats.org/officeDocument/2006/relationships/hyperlink" Target="https://drive.google.com/file/d/1JYgqqdOvjiqgl2HJFv_0gz3HsDzk_o8-/view?usp=sharing" TargetMode="External"/><Relationship Id="rId9" Type="http://schemas.openxmlformats.org/officeDocument/2006/relationships/hyperlink" Target="https://drive.google.com/file/d/1PHPG2_1Q-JyiCHCxYQ4U-FKtmGdnmr9A/view?usp=sharing" TargetMode="External"/><Relationship Id="rId5" Type="http://schemas.openxmlformats.org/officeDocument/2006/relationships/hyperlink" Target="https://drive.google.com/file/d/1edxw6JIQ9zONy28JwRWuEgttG0roF3mD/view?usp=sharing" TargetMode="External"/><Relationship Id="rId6" Type="http://schemas.openxmlformats.org/officeDocument/2006/relationships/hyperlink" Target="https://drive.google.com/file/d/1N-unhSIOoSte6H0wzitxEK_MP49y11jx/view?usp=sharing" TargetMode="External"/><Relationship Id="rId7" Type="http://schemas.openxmlformats.org/officeDocument/2006/relationships/hyperlink" Target="https://drive.google.com/file/d/1Aa-7mGqpWU17sOe7I-zwqYvf_sUocLA4/view?usp=sharing" TargetMode="External"/><Relationship Id="rId8" Type="http://schemas.openxmlformats.org/officeDocument/2006/relationships/hyperlink" Target="https://drive.google.com/file/d/1zJCjC3XC8twqR6f78mXJ3TMsdEk1kOIt/view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NhYcQ_yeFrGhD3C89spp-taw-ybo68Ql/view?usp=sharing" TargetMode="External"/><Relationship Id="rId10" Type="http://schemas.openxmlformats.org/officeDocument/2006/relationships/hyperlink" Target="https://drive.google.com/file/d/1vbp98bm7qNMDqKlMBkq7DC4uLNyen1LD/view?usp=sharing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drive.google.com/file/d/1Xe34dlgErsYNiV86pYxvpisDnu_qJoWt/view?usp=sharing" TargetMode="External"/><Relationship Id="rId1" Type="http://schemas.openxmlformats.org/officeDocument/2006/relationships/hyperlink" Target="https://drive.google.com/file/d/1ucFRmsq_Al4EonGX-nmmMVX-aAnL1Uut/view?usp=sharing" TargetMode="External"/><Relationship Id="rId2" Type="http://schemas.openxmlformats.org/officeDocument/2006/relationships/hyperlink" Target="https://drive.google.com/file/d/1si1p0BXRXXkNwqDo834t1ggMSOVq9NKq/view?usp=sharing" TargetMode="External"/><Relationship Id="rId3" Type="http://schemas.openxmlformats.org/officeDocument/2006/relationships/hyperlink" Target="https://drive.google.com/file/d/1aGJdM1_BMK_Bqy_ylAR3WcmeI1JffL37/view?usp=sharing" TargetMode="External"/><Relationship Id="rId4" Type="http://schemas.openxmlformats.org/officeDocument/2006/relationships/hyperlink" Target="https://drive.google.com/file/d/1sdfdIxq75LCAHHGyJ8SqEIYgSA15pfJ2/view?usp=sharing" TargetMode="External"/><Relationship Id="rId9" Type="http://schemas.openxmlformats.org/officeDocument/2006/relationships/hyperlink" Target="https://drive.google.com/file/d/1hCSUC2KgOet8fn9rcre9987IZOE-Z0Vr/view?usp=sharing" TargetMode="External"/><Relationship Id="rId5" Type="http://schemas.openxmlformats.org/officeDocument/2006/relationships/hyperlink" Target="https://drive.google.com/file/d/1epRZ_hu062tlI78L9OPttOzapU36-rwg/view?usp=sharing" TargetMode="External"/><Relationship Id="rId6" Type="http://schemas.openxmlformats.org/officeDocument/2006/relationships/hyperlink" Target="https://drive.google.com/file/d/1BavnwwNozAi1hqFiCLkrSfAnW6V51OvC/view?usp=sharing" TargetMode="External"/><Relationship Id="rId7" Type="http://schemas.openxmlformats.org/officeDocument/2006/relationships/hyperlink" Target="https://drive.google.com/file/d/1CkwWYRo0Z5opTbbutVc0PQlOORXhMW3g/view?usp=drivesdk" TargetMode="External"/><Relationship Id="rId8" Type="http://schemas.openxmlformats.org/officeDocument/2006/relationships/hyperlink" Target="https://drive.google.com/file/d/1aQgW1Cy6GiTXA91ME-pmxtr-ycin2p-3/view?usp=sharing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O6NiPDZ-nikNo3FPzCTI-x2EByYjX_w/view?usp=sharing" TargetMode="External"/><Relationship Id="rId2" Type="http://schemas.openxmlformats.org/officeDocument/2006/relationships/hyperlink" Target="https://drive.google.com/file/d/1gkfAGuRM2TV6tCT4rTlecSvlJzBG6Xh8/view?usp=sharing" TargetMode="External"/><Relationship Id="rId3" Type="http://schemas.openxmlformats.org/officeDocument/2006/relationships/hyperlink" Target="https://drive.google.com/file/d/1P5BZOPLvYPC9LWyWCwv1vJHhPzWxd4ud/view?usp=sharing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3ct4Pc9Dyec1b-8pq2oTzon4oeKx23I/view?usp=sharing" TargetMode="External"/><Relationship Id="rId2" Type="http://schemas.openxmlformats.org/officeDocument/2006/relationships/hyperlink" Target="https://drive.google.com/file/d/1PVCXX1A0pGD9571_gFEjQWBVSD9Y5-4a/view?usp=sharing" TargetMode="External"/><Relationship Id="rId3" Type="http://schemas.openxmlformats.org/officeDocument/2006/relationships/hyperlink" Target="https://drive.google.com/file/d/1PVCXX1A0pGD9571_gFEjQWBVSD9Y5-4a/view?usp=sharing" TargetMode="External"/><Relationship Id="rId4" Type="http://schemas.openxmlformats.org/officeDocument/2006/relationships/hyperlink" Target="https://drive.google.com/file/d/1V_J5eQXpylKRp45jb2nf91PlXEliBVHT/view?usp=sharing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1.xml"/><Relationship Id="rId1" Type="http://schemas.openxmlformats.org/officeDocument/2006/relationships/hyperlink" Target="https://drive.google.com/file/d/1si1p0BXRXXkNwqDo834t1ggMSOVq9NKq/view?usp=sharing" TargetMode="External"/><Relationship Id="rId2" Type="http://schemas.openxmlformats.org/officeDocument/2006/relationships/hyperlink" Target="https://drive.google.com/file/d/1lV_yqYWa-krGbn6fq_38uIx8MycBebBH/view?usp=sharing" TargetMode="External"/><Relationship Id="rId3" Type="http://schemas.openxmlformats.org/officeDocument/2006/relationships/hyperlink" Target="https://drive.google.com/file/d/1lV_yqYWa-krGbn6fq_38uIx8MycBebBH/view?usp=sharing" TargetMode="External"/><Relationship Id="rId4" Type="http://schemas.openxmlformats.org/officeDocument/2006/relationships/hyperlink" Target="https://drive.google.com/file/d/1lzRgGJ_7mSvF9Dse1MPBwU0SWrUUXbtB/view?usp=sharing" TargetMode="External"/><Relationship Id="rId9" Type="http://schemas.openxmlformats.org/officeDocument/2006/relationships/hyperlink" Target="https://drive.google.com/file/d/1AzNJz35Y53p0aEG6bYt5R-KzUUgnEAEr/view?usp=sharing" TargetMode="External"/><Relationship Id="rId5" Type="http://schemas.openxmlformats.org/officeDocument/2006/relationships/hyperlink" Target="https://drive.google.com/file/d/1rVKdH7SL9dNOQd6l4pofKub3Q2_xeXuO/view?usp=sharing" TargetMode="External"/><Relationship Id="rId6" Type="http://schemas.openxmlformats.org/officeDocument/2006/relationships/hyperlink" Target="https://drive.google.com/file/d/1rVKdH7SL9dNOQd6l4pofKub3Q2_xeXuO/view?usp=sharing" TargetMode="External"/><Relationship Id="rId7" Type="http://schemas.openxmlformats.org/officeDocument/2006/relationships/hyperlink" Target="https://drive.google.com/file/d/1rVKdH7SL9dNOQd6l4pofKub3Q2_xeXuO/view?usp=sharing" TargetMode="External"/><Relationship Id="rId8" Type="http://schemas.openxmlformats.org/officeDocument/2006/relationships/hyperlink" Target="https://drive.google.com/file/d/1loHNoI1W2MMuOTiLGzjg-lvN_tMyFJpZ/view?usp=sharing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2.xml"/><Relationship Id="rId11" Type="http://schemas.openxmlformats.org/officeDocument/2006/relationships/hyperlink" Target="https://drive.google.com/file/d/16bSD_ednvxKtW1WATIOiPofeFm75NRpo/view?usp=sharing" TargetMode="External"/><Relationship Id="rId10" Type="http://schemas.openxmlformats.org/officeDocument/2006/relationships/hyperlink" Target="https://drive.google.com/file/d/1Vr0yusvEi7klvji_pgEDzjW9vXTnPyuE/view?usp=sharing" TargetMode="External"/><Relationship Id="rId13" Type="http://schemas.openxmlformats.org/officeDocument/2006/relationships/hyperlink" Target="https://drive.google.com/file/d/12ZDw8gZUeV7yZPr5M-AzkLWTmeb_W6rO/view?usp=sharing" TargetMode="External"/><Relationship Id="rId12" Type="http://schemas.openxmlformats.org/officeDocument/2006/relationships/hyperlink" Target="https://drive.google.com/file/d/12ZDw8gZUeV7yZPr5M-AzkLWTmeb_W6rO/view?usp=sharing" TargetMode="External"/><Relationship Id="rId15" Type="http://schemas.openxmlformats.org/officeDocument/2006/relationships/hyperlink" Target="https://drive.google.com/file/d/1_7zsL647Zgd9F0gytOl3HqI1GroPcm9D/view?usp=sharing" TargetMode="External"/><Relationship Id="rId14" Type="http://schemas.openxmlformats.org/officeDocument/2006/relationships/hyperlink" Target="https://drive.google.com/file/d/1bn90mMAftYR5UmfK_8acv7hFJOxOYLRg/view?usp=sharing" TargetMode="External"/><Relationship Id="rId17" Type="http://schemas.openxmlformats.org/officeDocument/2006/relationships/hyperlink" Target="https://drive.google.com/file/d/1bn90mMAftYR5UmfK_8acv7hFJOxOYLRg/view?usp=sharing" TargetMode="External"/><Relationship Id="rId16" Type="http://schemas.openxmlformats.org/officeDocument/2006/relationships/hyperlink" Target="https://drive.google.com/file/d/1_O8SLQiUeea4xcQSh7i_iradSJXbRSyA/view?usp=sharing" TargetMode="External"/><Relationship Id="rId19" Type="http://schemas.openxmlformats.org/officeDocument/2006/relationships/hyperlink" Target="https://drive.google.com/file/d/1-BYCDXwv7maLPe3zUJ_1rQeGQlLERFyU/view?usp=sharing" TargetMode="External"/><Relationship Id="rId18" Type="http://schemas.openxmlformats.org/officeDocument/2006/relationships/hyperlink" Target="https://drive.google.com/file/d/1aIflc1tAkTmpNH8v6l80wN60aA4wSzmr/view?usp=sharing" TargetMode="External"/><Relationship Id="rId1" Type="http://schemas.openxmlformats.org/officeDocument/2006/relationships/hyperlink" Target="https://drive.google.com/file/d/1YHIzd3okP8I4S52x1F6sjt4-uk-wuXwi/view?usp=sharing" TargetMode="External"/><Relationship Id="rId2" Type="http://schemas.openxmlformats.org/officeDocument/2006/relationships/hyperlink" Target="https://drive.google.com/file/d/1YHIzd3okP8I4S52x1F6sjt4-uk-wuXwi/view?usp=sharing" TargetMode="External"/><Relationship Id="rId3" Type="http://schemas.openxmlformats.org/officeDocument/2006/relationships/hyperlink" Target="https://drive.google.com/file/d/1O-FbH8Z23W8Yw3MMocblMbr4F3kSKGdo/view?usp=sharing" TargetMode="External"/><Relationship Id="rId4" Type="http://schemas.openxmlformats.org/officeDocument/2006/relationships/hyperlink" Target="https://drive.google.com/file/d/1jUUbTRItLwuTh0gZR4fDKgit-OtXwALl/view?usp=sharing" TargetMode="External"/><Relationship Id="rId9" Type="http://schemas.openxmlformats.org/officeDocument/2006/relationships/hyperlink" Target="https://drive.google.com/file/d/11Yj4F1XYD0k4SIFG3WbhFH6jB2sH3KcW/view?usp=sharing" TargetMode="External"/><Relationship Id="rId5" Type="http://schemas.openxmlformats.org/officeDocument/2006/relationships/hyperlink" Target="https://drive.google.com/file/d/1kAGuHpVYTh2BjA8fiPUIqMlFGzH21_LR/view?usp=sharing" TargetMode="External"/><Relationship Id="rId6" Type="http://schemas.openxmlformats.org/officeDocument/2006/relationships/hyperlink" Target="https://drive.google.com/file/d/1MgL0P1yjjprKyeKWbrMpHLENn8KVbpj2/view?usp=sharing" TargetMode="External"/><Relationship Id="rId7" Type="http://schemas.openxmlformats.org/officeDocument/2006/relationships/hyperlink" Target="https://drive.google.com/file/d/1Hiel95ZiIcaKqVI-TL8xlYBcnAaLjc4Z/view?usp=sharing" TargetMode="External"/><Relationship Id="rId8" Type="http://schemas.openxmlformats.org/officeDocument/2006/relationships/hyperlink" Target="https://drive.google.com/file/d/1_thHVNGbZTLfPfcD6ITmygDmfxkRLfYR/view?usp=sharing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KQ5O8E0gjCCPOLcipfvnf1VbhzUiF3w/view?usp=sharing" TargetMode="External"/><Relationship Id="rId2" Type="http://schemas.openxmlformats.org/officeDocument/2006/relationships/hyperlink" Target="https://drive.google.com/file/d/1QIGUxMWL1hBpjcw3V5HmnfrY8jMRHzuf/view?usp=sharing" TargetMode="External"/><Relationship Id="rId3" Type="http://schemas.openxmlformats.org/officeDocument/2006/relationships/hyperlink" Target="https://drive.google.com/file/d/1Zx3egC893ijxfA0apmY8ZNaB664klo4I/view?usp=sharing" TargetMode="External"/><Relationship Id="rId4" Type="http://schemas.openxmlformats.org/officeDocument/2006/relationships/hyperlink" Target="https://drive.google.com/file/d/1os-jpbxOdYRrWqfwM8nOdI6iIUuse07i/view?usp=sharing" TargetMode="External"/><Relationship Id="rId5" Type="http://schemas.openxmlformats.org/officeDocument/2006/relationships/hyperlink" Target="https://drive.google.com/file/d/1_NfuaimZ1B1oLedQ2NkHPQTjPrTWX_3S/view?usp=sharing" TargetMode="External"/><Relationship Id="rId6" Type="http://schemas.openxmlformats.org/officeDocument/2006/relationships/hyperlink" Target="https://drive.google.com/file/d/1cHuqxn3gCd4Hk08mMUcn8AbvWWzRSaP4/view?usp=sharing" TargetMode="External"/><Relationship Id="rId7" Type="http://schemas.openxmlformats.org/officeDocument/2006/relationships/hyperlink" Target="https://drive.google.com/file/d/1vHILcz7Ws4eG1VzfPpcA3HAFkYDpc28d/view?usp=sharing" TargetMode="External"/><Relationship Id="rId8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6HVEuHe4uO4hYZdVWGgaubsUK5NGCtfQ/view?usp=drive_link" TargetMode="External"/><Relationship Id="rId10" Type="http://schemas.openxmlformats.org/officeDocument/2006/relationships/hyperlink" Target="https://drive.google.com/file/d/1JQ0GunGrwOMEhvfrZwo6wbhGPRSMg5qO/view?usp=drive_link" TargetMode="External"/><Relationship Id="rId12" Type="http://schemas.openxmlformats.org/officeDocument/2006/relationships/drawing" Target="../drawings/drawing14.xml"/><Relationship Id="rId1" Type="http://schemas.openxmlformats.org/officeDocument/2006/relationships/hyperlink" Target="https://drive.google.com/file/d/1fy7Yq7D1UJqOejXg7W1DDTTEAcFHFycY/view?usp=sharing" TargetMode="External"/><Relationship Id="rId2" Type="http://schemas.openxmlformats.org/officeDocument/2006/relationships/hyperlink" Target="https://drive.google.com/file/d/1YaGuy-UEsOM4LS8fd4UuQgNadA0TUYyq/view?usp=sharing" TargetMode="External"/><Relationship Id="rId3" Type="http://schemas.openxmlformats.org/officeDocument/2006/relationships/hyperlink" Target="https://drive.google.com/file/d/1u0w0Rpld6rwdF1Kp2aaCT9skqIeRLbOL/view?usp=sharing" TargetMode="External"/><Relationship Id="rId4" Type="http://schemas.openxmlformats.org/officeDocument/2006/relationships/hyperlink" Target="https://drive.google.com/file/d/1OUBLxQQCoFdXAQsfGnjvLfGLKoQrvpNF/view?usp=sharing" TargetMode="External"/><Relationship Id="rId9" Type="http://schemas.openxmlformats.org/officeDocument/2006/relationships/hyperlink" Target="https://drive.google.com/file/d/1goJuVbZjo70XNTxGcEpAa9JG2U_aHo3J/view?usp=drive_link" TargetMode="External"/><Relationship Id="rId5" Type="http://schemas.openxmlformats.org/officeDocument/2006/relationships/hyperlink" Target="https://drive.google.com/file/d/1TzpRJv8ao-JlUo2J1gv0soe54AlZF74z/view?usp=sharing" TargetMode="External"/><Relationship Id="rId6" Type="http://schemas.openxmlformats.org/officeDocument/2006/relationships/hyperlink" Target="https://drive.google.com/file/d/19DkKwpCKlLzzYk5rUGf4McjIu01oiTLt/view?usp=sharing" TargetMode="External"/><Relationship Id="rId7" Type="http://schemas.openxmlformats.org/officeDocument/2006/relationships/hyperlink" Target="https://drive.google.com/file/d/1-97KOx6na6MIT1lILELxedIXW-rI_CCP/view?usp=sharing" TargetMode="External"/><Relationship Id="rId8" Type="http://schemas.openxmlformats.org/officeDocument/2006/relationships/hyperlink" Target="https://drive.google.com/file/d/1rDcOuh-kzLLJxRQkfyEw1dhgAfEzJ8wz/view?usp=sharing" TargetMode="Externa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vm_ZqJodJhc6q71SqzHuPcq5O-y4z6Hb/view?usp=drive_link" TargetMode="External"/><Relationship Id="rId21" Type="http://schemas.openxmlformats.org/officeDocument/2006/relationships/drawing" Target="../drawings/drawing15.xml"/><Relationship Id="rId11" Type="http://schemas.openxmlformats.org/officeDocument/2006/relationships/hyperlink" Target="https://drive.google.com/file/d/1v1DWLeTaYz08Kjq3I36LoStkfFfjnZi3/view?usp=sharing" TargetMode="External"/><Relationship Id="rId10" Type="http://schemas.openxmlformats.org/officeDocument/2006/relationships/hyperlink" Target="https://drive.google.com/file/d/1dTPFhZxBC78kILOy3Ax6sXQdsXENuiF-/view?usp=sharing" TargetMode="External"/><Relationship Id="rId13" Type="http://schemas.openxmlformats.org/officeDocument/2006/relationships/hyperlink" Target="https://drive.google.com/file/d/14NPnRmil7cRetG3HES6qX7SLLDyxV7tV/view?usp=sharing" TargetMode="External"/><Relationship Id="rId12" Type="http://schemas.openxmlformats.org/officeDocument/2006/relationships/hyperlink" Target="https://drive.google.com/file/d/129lH2GfJc0o11GVM4MjC-ZsqJRZhUMS9/view?usp=sharing" TargetMode="External"/><Relationship Id="rId15" Type="http://schemas.openxmlformats.org/officeDocument/2006/relationships/hyperlink" Target="https://drive.google.com/file/d/1dP8MSgOZabx-z-pljCARjNgDJrC57-6y/view?usp=sharing" TargetMode="External"/><Relationship Id="rId14" Type="http://schemas.openxmlformats.org/officeDocument/2006/relationships/hyperlink" Target="https://drive.google.com/file/d/10dfFRp-YLMCBnm_YjQR9-xiKtrzjDy_r/view?usp=sharing" TargetMode="External"/><Relationship Id="rId17" Type="http://schemas.openxmlformats.org/officeDocument/2006/relationships/hyperlink" Target="https://drive.google.com/file/d/1YZreCDfAviTFg_yFHzS7JzvwEos8HTC4/view?usp=sharing" TargetMode="External"/><Relationship Id="rId16" Type="http://schemas.openxmlformats.org/officeDocument/2006/relationships/hyperlink" Target="https://drive.google.com/file/d/1OK118K_EVzOqU50Pn9gUe2sdjCXOxfFo/view?usp=sharing" TargetMode="External"/><Relationship Id="rId19" Type="http://schemas.openxmlformats.org/officeDocument/2006/relationships/hyperlink" Target="https://drive.google.com/file/d/1KFrjk-OH_Nxexa4pRB9wwddJPWxqRUp-/view?usp=drive_link" TargetMode="External"/><Relationship Id="rId18" Type="http://schemas.openxmlformats.org/officeDocument/2006/relationships/hyperlink" Target="https://drive.google.com/file/d/1qxQ9LtTBEbxwBrhYpuca-TGGe72UgqkR/view?usp=sharing" TargetMode="External"/><Relationship Id="rId1" Type="http://schemas.openxmlformats.org/officeDocument/2006/relationships/hyperlink" Target="https://drive.google.com/file/d/1yaJ_kegq3iPQDF6ApBMwSYXZYZfnI-8l/view?usp=sharing" TargetMode="External"/><Relationship Id="rId2" Type="http://schemas.openxmlformats.org/officeDocument/2006/relationships/hyperlink" Target="https://drive.google.com/file/d/1kRJTs1-aEI4_05c8Qih5Z00MnUrwEL2y/view?usp=sharing" TargetMode="External"/><Relationship Id="rId3" Type="http://schemas.openxmlformats.org/officeDocument/2006/relationships/hyperlink" Target="https://drive.google.com/file/d/1F0EKV_XOpftyYhU8WN_Y0heOeGiMOtyW/view?usp=sharing" TargetMode="External"/><Relationship Id="rId4" Type="http://schemas.openxmlformats.org/officeDocument/2006/relationships/hyperlink" Target="https://drive.google.com/file/d/1xMeOTPDDQDrjKSBVgkhyj0Wh1nVJdvUg/view?usp=sharing" TargetMode="External"/><Relationship Id="rId9" Type="http://schemas.openxmlformats.org/officeDocument/2006/relationships/hyperlink" Target="https://drive.google.com/file/d/1VrPAsZ14MtROq4jCvQFMSL3k14TynXOo/view?usp=sharing" TargetMode="External"/><Relationship Id="rId5" Type="http://schemas.openxmlformats.org/officeDocument/2006/relationships/hyperlink" Target="https://drive.google.com/file/d/1mPq9KoRAM9QIpLtgNTdDTwMVhvyKAZJI/view?usp=sharing" TargetMode="External"/><Relationship Id="rId6" Type="http://schemas.openxmlformats.org/officeDocument/2006/relationships/hyperlink" Target="https://drive.google.com/file/d/1ecIcuyBYZJNrNShJLEe4rdhSS5IE7ZAX/view?usp=sharing" TargetMode="External"/><Relationship Id="rId7" Type="http://schemas.openxmlformats.org/officeDocument/2006/relationships/hyperlink" Target="https://drive.google.com/file/d/17C64vpamTq7GDo4oNRGcJjetqOUxGhDO/view?usp=sharing" TargetMode="External"/><Relationship Id="rId8" Type="http://schemas.openxmlformats.org/officeDocument/2006/relationships/hyperlink" Target="https://drive.google.com/file/d/1nGnlx5q5UbinlsvZHXLuWv81BFu420c1/view?usp=sharing" TargetMode="Externa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v1DWLeTaYz08Kjq3I36LoStkfFfjnZi3/view?usp=sharing" TargetMode="External"/><Relationship Id="rId10" Type="http://schemas.openxmlformats.org/officeDocument/2006/relationships/hyperlink" Target="https://drive.google.com/file/d/1dTPFhZxBC78kILOy3Ax6sXQdsXENuiF-/view?usp=sharing" TargetMode="External"/><Relationship Id="rId13" Type="http://schemas.openxmlformats.org/officeDocument/2006/relationships/hyperlink" Target="https://drive.google.com/file/d/14NPnRmil7cRetG3HES6qX7SLLDyxV7tV/view?usp=sharing" TargetMode="External"/><Relationship Id="rId12" Type="http://schemas.openxmlformats.org/officeDocument/2006/relationships/hyperlink" Target="https://drive.google.com/file/d/129lH2GfJc0o11GVM4MjC-ZsqJRZhUMS9/view?usp=sharing" TargetMode="External"/><Relationship Id="rId15" Type="http://schemas.openxmlformats.org/officeDocument/2006/relationships/hyperlink" Target="https://drive.google.com/file/d/1dP8MSgOZabx-z-pljCARjNgDJrC57-6y/view?usp=sharing" TargetMode="External"/><Relationship Id="rId14" Type="http://schemas.openxmlformats.org/officeDocument/2006/relationships/hyperlink" Target="https://drive.google.com/file/d/10dfFRp-YLMCBnm_YjQR9-xiKtrzjDy_r/view?usp=sharing" TargetMode="External"/><Relationship Id="rId17" Type="http://schemas.openxmlformats.org/officeDocument/2006/relationships/hyperlink" Target="https://drive.google.com/file/d/1YZreCDfAviTFg_yFHzS7JzvwEos8HTC4/view?usp=sharing" TargetMode="External"/><Relationship Id="rId16" Type="http://schemas.openxmlformats.org/officeDocument/2006/relationships/hyperlink" Target="https://drive.google.com/file/d/1OK118K_EVzOqU50Pn9gUe2sdjCXOxfFo/view?usp=sharing" TargetMode="External"/><Relationship Id="rId19" Type="http://schemas.openxmlformats.org/officeDocument/2006/relationships/drawing" Target="../drawings/drawing16.xml"/><Relationship Id="rId18" Type="http://schemas.openxmlformats.org/officeDocument/2006/relationships/hyperlink" Target="https://drive.google.com/file/d/1qxQ9LtTBEbxwBrhYpuca-TGGe72UgqkR/view?usp=sharing" TargetMode="External"/><Relationship Id="rId1" Type="http://schemas.openxmlformats.org/officeDocument/2006/relationships/hyperlink" Target="https://drive.google.com/file/d/1yaJ_kegq3iPQDF6ApBMwSYXZYZfnI-8l/view?usp=sharing" TargetMode="External"/><Relationship Id="rId2" Type="http://schemas.openxmlformats.org/officeDocument/2006/relationships/hyperlink" Target="https://drive.google.com/file/d/1kRJTs1-aEI4_05c8Qih5Z00MnUrwEL2y/view?usp=sharing" TargetMode="External"/><Relationship Id="rId3" Type="http://schemas.openxmlformats.org/officeDocument/2006/relationships/hyperlink" Target="https://drive.google.com/file/d/1F0EKV_XOpftyYhU8WN_Y0heOeGiMOtyW/view?usp=sharing" TargetMode="External"/><Relationship Id="rId4" Type="http://schemas.openxmlformats.org/officeDocument/2006/relationships/hyperlink" Target="https://drive.google.com/file/d/1xMeOTPDDQDrjKSBVgkhyj0Wh1nVJdvUg/view?usp=sharing" TargetMode="External"/><Relationship Id="rId9" Type="http://schemas.openxmlformats.org/officeDocument/2006/relationships/hyperlink" Target="https://drive.google.com/file/d/1VrPAsZ14MtROq4jCvQFMSL3k14TynXOo/view?usp=sharing" TargetMode="External"/><Relationship Id="rId5" Type="http://schemas.openxmlformats.org/officeDocument/2006/relationships/hyperlink" Target="https://drive.google.com/file/d/1mPq9KoRAM9QIpLtgNTdDTwMVhvyKAZJI/view?usp=sharing" TargetMode="External"/><Relationship Id="rId6" Type="http://schemas.openxmlformats.org/officeDocument/2006/relationships/hyperlink" Target="https://drive.google.com/file/d/1ecIcuyBYZJNrNShJLEe4rdhSS5IE7ZAX/view?usp=sharing" TargetMode="External"/><Relationship Id="rId7" Type="http://schemas.openxmlformats.org/officeDocument/2006/relationships/hyperlink" Target="https://drive.google.com/file/d/17C64vpamTq7GDo4oNRGcJjetqOUxGhDO/view?usp=sharing" TargetMode="External"/><Relationship Id="rId8" Type="http://schemas.openxmlformats.org/officeDocument/2006/relationships/hyperlink" Target="https://drive.google.com/file/d/1nGnlx5q5UbinlsvZHXLuWv81BFu420c1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7.13"/>
    <col customWidth="1" min="4" max="4" width="15.63"/>
    <col customWidth="1" min="5" max="5" width="18.63"/>
    <col customWidth="1" min="6" max="6" width="26.88"/>
    <col customWidth="1" min="7" max="7" width="7.88"/>
    <col customWidth="1" min="9" max="9" width="11.5"/>
    <col customWidth="1" min="10" max="10" width="36.38"/>
    <col customWidth="1" min="11" max="11" width="32.38"/>
    <col customWidth="1" min="12" max="12" width="35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tr">
        <f>IFERROR(__xludf.DUMMYFUNCTION("QUERY({
IFERROR(FILTER({IF(ROW('1.Sweet Dessert'!A5:A979), ""1.Sweet Dessert""), '1.Sweet Dessert'!B5:I979, '1.Sweet Dessert'!J5:L979, IF(ROW('1.Sweet Dessert'!A5:A979), """")}, ('1.Sweet Dessert'!D5:D979&lt;&gt;"""")+('1.Sweet Dessert'!E5:E979&lt;&gt;"""")), {"""","&amp;""""","""","""","""","""","""","""","""","""","""","""",""""});
IFERROR(FILTER({IF(ROW('2.Fruit Drinks - Tea'!A4:A979), ""2.Fruit Drinks - Tea""), '2.Fruit Drinks - Tea'!B4:F979, '2.Fruit Drinks - Tea'!H4:M979, IF(ROW('2.Fruit Drinks - Tea'!A4:A979), """")"&amp;"}, ('2.Fruit Drinks - Tea'!D4:D979&lt;&gt;"""")+('2.Fruit Drinks - Tea'!E4:E979&lt;&gt;"""")), {"""","""","""","""","""","""","""","""","""","""","""","""",""""});
IFERROR(FILTER({IF(ROW('3.Fresh Juice'!A4:A979), ""3.Fresh Juice""), '3.Fresh Juice'!B4:I979, '3.Fresh "&amp;"Juice'!K4:K979, '3.Fresh Juice'!J4:J979, '3.Fresh Juice'!L4:L979, IF(ROW('3.Fresh Juice'!A4:A979), """")}, ('3.Fresh Juice'!D4:D979&lt;&gt;"""")+('3.Fresh Juice'!E4:E979&lt;&gt;"""")), {"""","""","""","""","""","""","""","""","""","""","""","""",""""});
IFERROR(FILTE"&amp;"R({IF(ROW('4.Smoothies'!A4:A979), ""4.Smoothies""), '4.Smoothies'!B4:L979, IF(ROW('4.Smoothies'!A4:A979), """")}, ('4.Smoothies'!D4:D979&lt;&gt;"""")+('4.Smoothies'!E4:E979&lt;&gt;"""")), {"""","""","""","""","""","""","""","""","""","""","""","""",""""});
IFERROR(FI"&amp;"LTER({IF(ROW('5.Pennywort Drinks'!A4:A979), ""5.Pennywort Drinks""), '5.Pennywort Drinks'!B4:L979, IF(ROW('5.Pennywort Drinks'!A4:A979), """")}, ('5.Pennywort Drinks'!D4:D979&lt;&gt;"""")+('5.Pennywort Drinks'!E4:E979&lt;&gt;"""")), {"""","""","""","""","""","""","""&amp;""","""","""","""","""","""",""""});
IFERROR(FILTER({IF(ROW('6.Iced Coffee'!A4:A979), ""6.Iced Coffee""), '6.Iced Coffee'!B4:L979, IF(ROW('6.Iced Coffee'!A4:A979), """")}, ('6.Iced Coffee'!D4:D979&lt;&gt;"""")+('6.Iced Coffee'!E4:E979&lt;&gt;"""")), {"""","""","""","""&amp;""","""","""","""","""","""","""","""","""",""""});
IFERROR(FILTER({IF(ROW('7.Espresso (Hot)'!A3:A979), ""7.Espresso (Hot)""), '7.Espresso (Hot)'!B3:I979, IF(ROW('7.Espresso (Hot)'!A3:A979), """"), '7.Espresso (Hot)'!J3:K979, IF(ROW('7.Espresso (Hot)'!A3:A"&amp;"979), """")}, ('7.Espresso (Hot)'!D3:D979&lt;&gt;"""")+('7.Espresso (Hot)'!E3:E979&lt;&gt;"""")), {"""","""","""","""","""","""","""","""","""","""","""","""",""""});
IFERROR(FILTER({IF(ROW('8.Ice Blended'!A4:A979), ""8.Ice Blended""), '8.Ice Blended'!B4:L979, IF(ROW"&amp;"('8.Ice Blended'!A4:A979), """")}, ('8.Ice Blended'!D4:D979&lt;&gt;"""")+('8.Ice Blended'!E4:E979&lt;&gt;"""")), {"""","""","""","""","""","""","""","""","""","""","""","""",""""});
IFERROR(FILTER({IF(ROW('9.Fruit Bowls &amp; Dessert '!A5:A979), ""9.Fruit Bowls &amp; Dessert"&amp;" ""), '9.Fruit Bowls &amp; Dessert '!B5:L979, IF(ROW('9.Fruit Bowls &amp; Dessert '!A5:A979), """")}, ('9.Fruit Bowls &amp; Dessert '!D5:D979&lt;&gt;"""")+('9.Fruit Bowls &amp; Dessert '!E5:E979&lt;&gt;"""")), {"""","""","""","""","""","""","""","""","""","""","""","""",""""});
IFER"&amp;"ROR(FILTER({IF(ROW('10.Matcha Drinks'!A4:A979), ""10.Matcha Drinks""), '10.Matcha Drinks'!B4:L979, IF(ROW('10.Matcha Drinks'!A4:A979), """")}, ('10.Matcha Drinks'!D4:D979&lt;&gt;"""")+('10.Matcha Drinks'!E4:E979&lt;&gt;"""")), {"""","""","""","""","""","""","""","""""&amp;","""","""","""","""",""""});
IFERROR(FILTER({IF(ROW('11.New drink'!A3:A979), ""11.New drink""), '11.New drink'!B3:F979, '11.New drink'!I3:K979, IF(ROW('11.New drink'!A3:A979), """"), IF(ROW('11.New drink'!A3:A979), """"), IF(ROW('11.New drink'!A3:A979), "&amp;"""""), IF(ROW('11.New drink'!A3:A979), """")}, ('11.New drink'!D3:D979&lt;&gt;"""")+('11.New drink'!E3:E979&lt;&gt;"""")), {"""","""","""","""","""","""","""","""","""","""","""","""",""""});
IFERROR(FILTER({IF(ROW('12.CABRA FOODS'!A3:A979), ""12.CABRA FOODS""), '12."&amp;"CABRA FOODS'!B3:I979, IF(ROW('12.CABRA FOODS'!A3:A979), """"), '12.CABRA FOODS'!J3:K979, IF(ROW('12.CABRA FOODS'!A3:A979), """")}, ('12.CABRA FOODS'!D3:D979&lt;&gt;"""")+('12.CABRA FOODS'!E3:E979&lt;&gt;"""")), {"""","""","""","""","""","""","""","""","""","""","""","&amp;""""",""""})
}, ""select * where Col8 is not null or Col9 is not null"")"),"1.Sweet Dessert")</f>
        <v>1.Sweet Dessert</v>
      </c>
      <c r="B2" s="6">
        <f>IFERROR(__xludf.DUMMYFUNCTION("""COMPUTED_VALUE"""),1.0)</f>
        <v>1</v>
      </c>
      <c r="C2" s="6" t="str">
        <f>IFERROR(__xludf.DUMMYFUNCTION("""COMPUTED_VALUE"""),"P0101")</f>
        <v>P0101</v>
      </c>
      <c r="D2" s="5" t="str">
        <f>IFERROR(__xludf.DUMMYFUNCTION("""COMPUTED_VALUE"""),"Chè HALO HALO")</f>
        <v>Chè HALO HALO</v>
      </c>
      <c r="E2" s="5" t="str">
        <f>IFERROR(__xludf.DUMMYFUNCTION("""COMPUTED_VALUE"""),"Halo Halo")</f>
        <v>Halo Halo</v>
      </c>
      <c r="F2" s="5" t="str">
        <f>IFERROR(__xludf.DUMMYFUNCTION("""COMPUTED_VALUE"""),"Halo Halo - Chè HALO HALO")</f>
        <v>Halo Halo - Chè HALO HALO</v>
      </c>
      <c r="G2" s="5" t="str">
        <f>IFERROR(__xludf.DUMMYFUNCTION("""COMPUTED_VALUE"""),"L")</f>
        <v>L</v>
      </c>
      <c r="H2" s="7">
        <f>IFERROR(__xludf.DUMMYFUNCTION("""COMPUTED_VALUE"""),13.5)</f>
        <v>13.5</v>
      </c>
      <c r="I2" s="8">
        <f>IFERROR(__xludf.DUMMYFUNCTION("""COMPUTED_VALUE"""),15.5)</f>
        <v>15.5</v>
      </c>
      <c r="J2" s="5" t="str">
        <f>IFERROR(__xludf.DUMMYFUNCTION("""COMPUTED_VALUE"""),"Jackfruit, rainbow jelly, herbal jelly, pandan noodle, coconut jelly, taro ice-cream, peanut, ruby chestnuts &amp; coconut milk.")</f>
        <v>Jackfruit, rainbow jelly, herbal jelly, pandan noodle, coconut jelly, taro ice-cream, peanut, ruby chestnuts &amp; coconut milk.</v>
      </c>
      <c r="K2" s="9" t="str">
        <f>IFERROR(__xludf.DUMMYFUNCTION("""COMPUTED_VALUE"""),"https://drive.google.com/file/d/1W7dZ6nngPrZUClElO7OQIKHI9FfpSIx7/view?usp=sharing")</f>
        <v>https://drive.google.com/file/d/1W7dZ6nngPrZUClElO7OQIKHI9FfpSIx7/view?usp=sharing</v>
      </c>
      <c r="L2" s="10"/>
      <c r="M2" s="1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tr">
        <f>IFERROR(__xludf.DUMMYFUNCTION("""COMPUTED_VALUE"""),"1.Sweet Dessert")</f>
        <v>1.Sweet Dessert</v>
      </c>
      <c r="B3" s="6">
        <f>IFERROR(__xludf.DUMMYFUNCTION("""COMPUTED_VALUE"""),2.0)</f>
        <v>2</v>
      </c>
      <c r="C3" s="6" t="str">
        <f>IFERROR(__xludf.DUMMYFUNCTION("""COMPUTED_VALUE"""),"P0102")</f>
        <v>P0102</v>
      </c>
      <c r="D3" s="5" t="str">
        <f>IFERROR(__xludf.DUMMYFUNCTION("""COMPUTED_VALUE"""),"Chè Sâm Bổ Lượng")</f>
        <v>Chè Sâm Bổ Lượng</v>
      </c>
      <c r="E3" s="5" t="str">
        <f>IFERROR(__xludf.DUMMYFUNCTION("""COMPUTED_VALUE"""),"Ching Bo Leung")</f>
        <v>Ching Bo Leung</v>
      </c>
      <c r="F3" s="5" t="str">
        <f>IFERROR(__xludf.DUMMYFUNCTION("""COMPUTED_VALUE"""),"Ching Bo Leung - Chè Sâm Bổ Lượng")</f>
        <v>Ching Bo Leung - Chè Sâm Bổ Lượng</v>
      </c>
      <c r="G3" s="5" t="str">
        <f>IFERROR(__xludf.DUMMYFUNCTION("""COMPUTED_VALUE"""),"L")</f>
        <v>L</v>
      </c>
      <c r="H3" s="7">
        <f>IFERROR(__xludf.DUMMYFUNCTION("""COMPUTED_VALUE"""),11.5)</f>
        <v>11.5</v>
      </c>
      <c r="I3" s="8">
        <f>IFERROR(__xludf.DUMMYFUNCTION("""COMPUTED_VALUE"""),13.5)</f>
        <v>13.5</v>
      </c>
      <c r="J3" s="5" t="str">
        <f>IFERROR(__xludf.DUMMYFUNCTION("""COMPUTED_VALUE"""),"Water chestnut, lotus root, lotus seed, longan, seaweed, noodle jelly, jujube and barley with crushed ice, mixed jelly.")</f>
        <v>Water chestnut, lotus root, lotus seed, longan, seaweed, noodle jelly, jujube and barley with crushed ice, mixed jelly.</v>
      </c>
      <c r="K3" s="9" t="str">
        <f>IFERROR(__xludf.DUMMYFUNCTION("""COMPUTED_VALUE"""),"https://drive.google.com/file/d/17Z0lWLL80uDkYQUOQ6ACvMvr7JSItTBL/view?usp=sharing")</f>
        <v>https://drive.google.com/file/d/17Z0lWLL80uDkYQUOQ6ACvMvr7JSItTBL/view?usp=sharing</v>
      </c>
      <c r="L3" s="10"/>
      <c r="M3" s="10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tr">
        <f>IFERROR(__xludf.DUMMYFUNCTION("""COMPUTED_VALUE"""),"1.Sweet Dessert")</f>
        <v>1.Sweet Dessert</v>
      </c>
      <c r="B4" s="6">
        <f>IFERROR(__xludf.DUMMYFUNCTION("""COMPUTED_VALUE"""),3.0)</f>
        <v>3</v>
      </c>
      <c r="C4" s="6" t="str">
        <f>IFERROR(__xludf.DUMMYFUNCTION("""COMPUTED_VALUE"""),"P0103")</f>
        <v>P0103</v>
      </c>
      <c r="D4" s="5" t="str">
        <f>IFERROR(__xludf.DUMMYFUNCTION("""COMPUTED_VALUE"""),"Chè Bambu Thập Cẩm")</f>
        <v>Chè Bambu Thập Cẩm</v>
      </c>
      <c r="E4" s="5" t="str">
        <f>IFERROR(__xludf.DUMMYFUNCTION("""COMPUTED_VALUE"""),"Bambu Special")</f>
        <v>Bambu Special</v>
      </c>
      <c r="F4" s="5" t="str">
        <f>IFERROR(__xludf.DUMMYFUNCTION("""COMPUTED_VALUE"""),"Bambu Special - Chè Bambu Thập Cẩm")</f>
        <v>Bambu Special - Chè Bambu Thập Cẩm</v>
      </c>
      <c r="G4" s="5" t="str">
        <f>IFERROR(__xludf.DUMMYFUNCTION("""COMPUTED_VALUE"""),"L")</f>
        <v>L</v>
      </c>
      <c r="H4" s="7">
        <f>IFERROR(__xludf.DUMMYFUNCTION("""COMPUTED_VALUE"""),13.5)</f>
        <v>13.5</v>
      </c>
      <c r="I4" s="8">
        <f>IFERROR(__xludf.DUMMYFUNCTION("""COMPUTED_VALUE"""),15.5)</f>
        <v>15.5</v>
      </c>
      <c r="J4" s="5" t="str">
        <f>IFERROR(__xludf.DUMMYFUNCTION("""COMPUTED_VALUE"""),"Jackfruit, lychee, avocado, young coconut, red bean, mung bean, tamarind seeds, attap fruit seeds, coconut milk, popping pearl &amp; mixed jelly.")</f>
        <v>Jackfruit, lychee, avocado, young coconut, red bean, mung bean, tamarind seeds, attap fruit seeds, coconut milk, popping pearl &amp; mixed jelly.</v>
      </c>
      <c r="K4" s="9" t="str">
        <f>IFERROR(__xludf.DUMMYFUNCTION("""COMPUTED_VALUE"""),"https://drive.google.com/file/d/1BR7606-IbSxdLez5yvXx5gzA1qR8hQye/view?usp=sharing")</f>
        <v>https://drive.google.com/file/d/1BR7606-IbSxdLez5yvXx5gzA1qR8hQye/view?usp=sharing</v>
      </c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tr">
        <f>IFERROR(__xludf.DUMMYFUNCTION("""COMPUTED_VALUE"""),"1.Sweet Dessert")</f>
        <v>1.Sweet Dessert</v>
      </c>
      <c r="B5" s="6">
        <f>IFERROR(__xludf.DUMMYFUNCTION("""COMPUTED_VALUE"""),4.0)</f>
        <v>4</v>
      </c>
      <c r="C5" s="6" t="str">
        <f>IFERROR(__xludf.DUMMYFUNCTION("""COMPUTED_VALUE"""),"P0104")</f>
        <v>P0104</v>
      </c>
      <c r="D5" s="5" t="str">
        <f>IFERROR(__xludf.DUMMYFUNCTION("""COMPUTED_VALUE"""),"Chè Bánh Lọt - Củ Năng")</f>
        <v>Chè Bánh Lọt - Củ Năng</v>
      </c>
      <c r="E5" s="5" t="str">
        <f>IFERROR(__xludf.DUMMYFUNCTION("""COMPUTED_VALUE"""),"Pandan Noodle Sweet")</f>
        <v>Pandan Noodle Sweet</v>
      </c>
      <c r="F5" s="5" t="str">
        <f>IFERROR(__xludf.DUMMYFUNCTION("""COMPUTED_VALUE"""),"Pandan Noodle Sweet - Chè Bánh Lọt - Củ Năng")</f>
        <v>Pandan Noodle Sweet - Chè Bánh Lọt - Củ Năng</v>
      </c>
      <c r="G5" s="5" t="str">
        <f>IFERROR(__xludf.DUMMYFUNCTION("""COMPUTED_VALUE"""),"L")</f>
        <v>L</v>
      </c>
      <c r="H5" s="7">
        <f>IFERROR(__xludf.DUMMYFUNCTION("""COMPUTED_VALUE"""),10.5)</f>
        <v>10.5</v>
      </c>
      <c r="I5" s="8">
        <f>IFERROR(__xludf.DUMMYFUNCTION("""COMPUTED_VALUE"""),11.9)</f>
        <v>11.9</v>
      </c>
      <c r="J5" s="5" t="str">
        <f>IFERROR(__xludf.DUMMYFUNCTION("""COMPUTED_VALUE"""),"Pandan noodles with crispy ruby &amp; chestnuts.")</f>
        <v>Pandan noodles with crispy ruby &amp; chestnuts.</v>
      </c>
      <c r="K5" s="9" t="str">
        <f>IFERROR(__xludf.DUMMYFUNCTION("""COMPUTED_VALUE"""),"https://drive.google.com/file/d/1wJd6Otm1nNFhHPMvywysy8xf666ZYmVq/view?usp=sharing")</f>
        <v>https://drive.google.com/file/d/1wJd6Otm1nNFhHPMvywysy8xf666ZYmVq/view?usp=sharing</v>
      </c>
      <c r="L5" s="10"/>
      <c r="M5" s="10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tr">
        <f>IFERROR(__xludf.DUMMYFUNCTION("""COMPUTED_VALUE"""),"1.Sweet Dessert")</f>
        <v>1.Sweet Dessert</v>
      </c>
      <c r="B6" s="6">
        <f>IFERROR(__xludf.DUMMYFUNCTION("""COMPUTED_VALUE"""),5.0)</f>
        <v>5</v>
      </c>
      <c r="C6" s="6" t="str">
        <f>IFERROR(__xludf.DUMMYFUNCTION("""COMPUTED_VALUE"""),"P0105")</f>
        <v>P0105</v>
      </c>
      <c r="D6" s="5" t="str">
        <f>IFERROR(__xludf.DUMMYFUNCTION("""COMPUTED_VALUE"""),"Chè 3 Màu")</f>
        <v>Chè 3 Màu</v>
      </c>
      <c r="E6" s="5" t="str">
        <f>IFERROR(__xludf.DUMMYFUNCTION("""COMPUTED_VALUE"""),"Awsom Trio")</f>
        <v>Awsom Trio</v>
      </c>
      <c r="F6" s="5" t="str">
        <f>IFERROR(__xludf.DUMMYFUNCTION("""COMPUTED_VALUE"""),"Awsom Trio - Chè 3 Màu")</f>
        <v>Awsom Trio - Chè 3 Màu</v>
      </c>
      <c r="G6" s="5" t="str">
        <f>IFERROR(__xludf.DUMMYFUNCTION("""COMPUTED_VALUE"""),"L")</f>
        <v>L</v>
      </c>
      <c r="H6" s="7">
        <f>IFERROR(__xludf.DUMMYFUNCTION("""COMPUTED_VALUE"""),12.0)</f>
        <v>12</v>
      </c>
      <c r="I6" s="8">
        <f>IFERROR(__xludf.DUMMYFUNCTION("""COMPUTED_VALUE"""),13.9)</f>
        <v>13.9</v>
      </c>
      <c r="J6" s="5" t="str">
        <f>IFERROR(__xludf.DUMMYFUNCTION("""COMPUTED_VALUE"""),"Red bean, mung bean, pandan noodle, ruby chestnuts, clear jelly, peanut &amp; coconut cream.")</f>
        <v>Red bean, mung bean, pandan noodle, ruby chestnuts, clear jelly, peanut &amp; coconut cream.</v>
      </c>
      <c r="K6" s="9" t="str">
        <f>IFERROR(__xludf.DUMMYFUNCTION("""COMPUTED_VALUE"""),"https://drive.google.com/file/d/1L2RkxqIwXXTTPKXKj0bUJlLxqL2tr5Ie/view?usp=sharing")</f>
        <v>https://drive.google.com/file/d/1L2RkxqIwXXTTPKXKj0bUJlLxqL2tr5Ie/view?usp=sharing</v>
      </c>
      <c r="L6" s="10"/>
      <c r="M6" s="1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tr">
        <f>IFERROR(__xludf.DUMMYFUNCTION("""COMPUTED_VALUE"""),"1.Sweet Dessert")</f>
        <v>1.Sweet Dessert</v>
      </c>
      <c r="B7" s="6">
        <f>IFERROR(__xludf.DUMMYFUNCTION("""COMPUTED_VALUE"""),6.0)</f>
        <v>6</v>
      </c>
      <c r="C7" s="6" t="str">
        <f>IFERROR(__xludf.DUMMYFUNCTION("""COMPUTED_VALUE"""),"P0106")</f>
        <v>P0106</v>
      </c>
      <c r="D7" s="5" t="str">
        <f>IFERROR(__xludf.DUMMYFUNCTION("""COMPUTED_VALUE"""),"Chè Sương Sa &amp; Sương Sáo")</f>
        <v>Chè Sương Sa &amp; Sương Sáo</v>
      </c>
      <c r="E7" s="5" t="str">
        <f>IFERROR(__xludf.DUMMYFUNCTION("""COMPUTED_VALUE"""),"Herbal &amp; Clear Jelly")</f>
        <v>Herbal &amp; Clear Jelly</v>
      </c>
      <c r="F7" s="5" t="str">
        <f>IFERROR(__xludf.DUMMYFUNCTION("""COMPUTED_VALUE"""),"Herbal &amp; Clear Jelly - Chè Sương Sa &amp; Sương Sáo")</f>
        <v>Herbal &amp; Clear Jelly - Chè Sương Sa &amp; Sương Sáo</v>
      </c>
      <c r="G7" s="5" t="str">
        <f>IFERROR(__xludf.DUMMYFUNCTION("""COMPUTED_VALUE"""),"L")</f>
        <v>L</v>
      </c>
      <c r="H7" s="7">
        <f>IFERROR(__xludf.DUMMYFUNCTION("""COMPUTED_VALUE"""),10.5)</f>
        <v>10.5</v>
      </c>
      <c r="I7" s="8">
        <f>IFERROR(__xludf.DUMMYFUNCTION("""COMPUTED_VALUE"""),11.9)</f>
        <v>11.9</v>
      </c>
      <c r="J7" s="5" t="str">
        <f>IFERROR(__xludf.DUMMYFUNCTION("""COMPUTED_VALUE"""),"Herbal &amp; clear jelly with basil seed, ruby chestnuts.")</f>
        <v>Herbal &amp; clear jelly with basil seed, ruby chestnuts.</v>
      </c>
      <c r="K7" s="9" t="str">
        <f>IFERROR(__xludf.DUMMYFUNCTION("""COMPUTED_VALUE"""),"https://drive.google.com/file/d/1L0tUwAVvCuhguigWTBPDOYzz-scRRL9Z/view?usp=sharing")</f>
        <v>https://drive.google.com/file/d/1L0tUwAVvCuhguigWTBPDOYzz-scRRL9Z/view?usp=sharing</v>
      </c>
      <c r="L7" s="10"/>
      <c r="M7" s="10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tr">
        <f>IFERROR(__xludf.DUMMYFUNCTION("""COMPUTED_VALUE"""),"1.Sweet Dessert")</f>
        <v>1.Sweet Dessert</v>
      </c>
      <c r="B8" s="6">
        <f>IFERROR(__xludf.DUMMYFUNCTION("""COMPUTED_VALUE"""),7.0)</f>
        <v>7</v>
      </c>
      <c r="C8" s="6" t="str">
        <f>IFERROR(__xludf.DUMMYFUNCTION("""COMPUTED_VALUE"""),"P0107")</f>
        <v>P0107</v>
      </c>
      <c r="D8" s="5" t="str">
        <f>IFERROR(__xludf.DUMMYFUNCTION("""COMPUTED_VALUE"""),"Chè Khúc Bạch")</f>
        <v>Chè Khúc Bạch</v>
      </c>
      <c r="E8" s="5" t="str">
        <f>IFERROR(__xludf.DUMMYFUNCTION("""COMPUTED_VALUE"""),"Panna Cotta")</f>
        <v>Panna Cotta</v>
      </c>
      <c r="F8" s="5" t="str">
        <f>IFERROR(__xludf.DUMMYFUNCTION("""COMPUTED_VALUE"""),"Panna Cotta - Chè Khúc Bạch")</f>
        <v>Panna Cotta - Chè Khúc Bạch</v>
      </c>
      <c r="G8" s="5" t="str">
        <f>IFERROR(__xludf.DUMMYFUNCTION("""COMPUTED_VALUE"""),"L")</f>
        <v>L</v>
      </c>
      <c r="H8" s="7">
        <f>IFERROR(__xludf.DUMMYFUNCTION("""COMPUTED_VALUE"""),12.9)</f>
        <v>12.9</v>
      </c>
      <c r="I8" s="8">
        <f>IFERROR(__xludf.DUMMYFUNCTION("""COMPUTED_VALUE"""),14.9)</f>
        <v>14.9</v>
      </c>
      <c r="J8" s="5" t="str">
        <f>IFERROR(__xludf.DUMMYFUNCTION("""COMPUTED_VALUE"""),"Mixed panna cotta, basil seed, lychee, pineapple jams, roasted almonds flakes, ruby chestnuts.")</f>
        <v>Mixed panna cotta, basil seed, lychee, pineapple jams, roasted almonds flakes, ruby chestnuts.</v>
      </c>
      <c r="K8" s="9" t="str">
        <f>IFERROR(__xludf.DUMMYFUNCTION("""COMPUTED_VALUE"""),"https://drive.google.com/file/d/1_D7QNzDjHXRopDUnwAaG2BijJKBgj-mN/view?usp=sharing")</f>
        <v>https://drive.google.com/file/d/1_D7QNzDjHXRopDUnwAaG2BijJKBgj-mN/view?usp=sharing</v>
      </c>
      <c r="L8" s="10"/>
      <c r="M8" s="10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tr">
        <f>IFERROR(__xludf.DUMMYFUNCTION("""COMPUTED_VALUE"""),"1.Sweet Dessert")</f>
        <v>1.Sweet Dessert</v>
      </c>
      <c r="B9" s="6">
        <f>IFERROR(__xludf.DUMMYFUNCTION("""COMPUTED_VALUE"""),8.0)</f>
        <v>8</v>
      </c>
      <c r="C9" s="6" t="str">
        <f>IFERROR(__xludf.DUMMYFUNCTION("""COMPUTED_VALUE"""),"P0108")</f>
        <v>P0108</v>
      </c>
      <c r="D9" s="5" t="str">
        <f>IFERROR(__xludf.DUMMYFUNCTION("""COMPUTED_VALUE"""),"Chè Bưởi Lạnh")</f>
        <v>Chè Bưởi Lạnh</v>
      </c>
      <c r="E9" s="5" t="str">
        <f>IFERROR(__xludf.DUMMYFUNCTION("""COMPUTED_VALUE"""),"Pomelo Rink")</f>
        <v>Pomelo Rink</v>
      </c>
      <c r="F9" s="5" t="str">
        <f>IFERROR(__xludf.DUMMYFUNCTION("""COMPUTED_VALUE"""),"Pomelo Rink - Chè Bưởi Lạnh")</f>
        <v>Pomelo Rink - Chè Bưởi Lạnh</v>
      </c>
      <c r="G9" s="5" t="str">
        <f>IFERROR(__xludf.DUMMYFUNCTION("""COMPUTED_VALUE"""),"L")</f>
        <v>L</v>
      </c>
      <c r="H9" s="7">
        <f>IFERROR(__xludf.DUMMYFUNCTION("""COMPUTED_VALUE"""),13.5)</f>
        <v>13.5</v>
      </c>
      <c r="I9" s="8">
        <f>IFERROR(__xludf.DUMMYFUNCTION("""COMPUTED_VALUE"""),15.5)</f>
        <v>15.5</v>
      </c>
      <c r="J9" s="5" t="str">
        <f>IFERROR(__xludf.DUMMYFUNCTION("""COMPUTED_VALUE"""),"Pomelo rind, mung beans, red bean, young coconut, tamarind seed, roasted peanut, ruby chestnuts, coconut cream.")</f>
        <v>Pomelo rind, mung beans, red bean, young coconut, tamarind seed, roasted peanut, ruby chestnuts, coconut cream.</v>
      </c>
      <c r="K9" s="9" t="str">
        <f>IFERROR(__xludf.DUMMYFUNCTION("""COMPUTED_VALUE"""),"https://drive.google.com/file/d/1NPc-FmpfC7YJ5LisY4isffyS2cazDuIP/view?usp=sharing")</f>
        <v>https://drive.google.com/file/d/1NPc-FmpfC7YJ5LisY4isffyS2cazDuIP/view?usp=sharing</v>
      </c>
      <c r="L9" s="5" t="str">
        <f>IFERROR(__xludf.DUMMYFUNCTION("""COMPUTED_VALUE"""),"Extra Durian + $4.00")</f>
        <v>Extra Durian + $4.00</v>
      </c>
      <c r="M9" s="10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tr">
        <f>IFERROR(__xludf.DUMMYFUNCTION("""COMPUTED_VALUE"""),"2.Fruit Drinks - Tea")</f>
        <v>2.Fruit Drinks - Tea</v>
      </c>
      <c r="B10" s="6">
        <f>IFERROR(__xludf.DUMMYFUNCTION("""COMPUTED_VALUE"""),1.0)</f>
        <v>1</v>
      </c>
      <c r="C10" s="6" t="str">
        <f>IFERROR(__xludf.DUMMYFUNCTION("""COMPUTED_VALUE"""),"P0201")</f>
        <v>P0201</v>
      </c>
      <c r="D10" s="5" t="str">
        <f>IFERROR(__xludf.DUMMYFUNCTION("""COMPUTED_VALUE"""),"Trà Đào Cam Sả")</f>
        <v>Trà Đào Cam Sả</v>
      </c>
      <c r="E10" s="5" t="str">
        <f>IFERROR(__xludf.DUMMYFUNCTION("""COMPUTED_VALUE"""),"Peach Orange &amp; Lemongrass Tea")</f>
        <v>Peach Orange &amp; Lemongrass Tea</v>
      </c>
      <c r="F10" s="5" t="str">
        <f>IFERROR(__xludf.DUMMYFUNCTION("""COMPUTED_VALUE"""),"Peach Orange &amp; Lemongrass Tea - Trà Đào Cam Sả")</f>
        <v>Peach Orange &amp; Lemongrass Tea - Trà Đào Cam Sả</v>
      </c>
      <c r="G10" s="5" t="str">
        <f>IFERROR(__xludf.DUMMYFUNCTION("""COMPUTED_VALUE"""),"R")</f>
        <v>R</v>
      </c>
      <c r="H10" s="7">
        <f>IFERROR(__xludf.DUMMYFUNCTION("""COMPUTED_VALUE"""),9.9)</f>
        <v>9.9</v>
      </c>
      <c r="I10" s="8">
        <f>IFERROR(__xludf.DUMMYFUNCTION("""COMPUTED_VALUE"""),11.5)</f>
        <v>11.5</v>
      </c>
      <c r="J10" s="5" t="str">
        <f>IFERROR(__xludf.DUMMYFUNCTION("""COMPUTED_VALUE"""),"Orange, Lemon, Tea, Peach Topping")</f>
        <v>Orange, Lemon, Tea, Peach Topping</v>
      </c>
      <c r="K10" s="9" t="str">
        <f>IFERROR(__xludf.DUMMYFUNCTION("""COMPUTED_VALUE"""),"https://drive.google.com/file/d/108uI4MzX3tLw34Tp-QPBUtLRNGrW2ZwJ/view?usp=sharing")</f>
        <v>https://drive.google.com/file/d/108uI4MzX3tLw34Tp-QPBUtLRNGrW2ZwJ/view?usp=sharing</v>
      </c>
      <c r="L10" s="5"/>
      <c r="M10" s="10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tr">
        <f>IFERROR(__xludf.DUMMYFUNCTION("""COMPUTED_VALUE"""),"2.Fruit Drinks - Tea")</f>
        <v>2.Fruit Drinks - Tea</v>
      </c>
      <c r="B11" s="6">
        <f>IFERROR(__xludf.DUMMYFUNCTION("""COMPUTED_VALUE"""),2.0)</f>
        <v>2</v>
      </c>
      <c r="C11" s="6" t="str">
        <f>IFERROR(__xludf.DUMMYFUNCTION("""COMPUTED_VALUE"""),"P0202")</f>
        <v>P0202</v>
      </c>
      <c r="D11" s="5" t="str">
        <f>IFERROR(__xludf.DUMMYFUNCTION("""COMPUTED_VALUE"""),"Trà Mãng Cầu")</f>
        <v>Trà Mãng Cầu</v>
      </c>
      <c r="E11" s="5" t="str">
        <f>IFERROR(__xludf.DUMMYFUNCTION("""COMPUTED_VALUE"""),"Soursop Tea")</f>
        <v>Soursop Tea</v>
      </c>
      <c r="F11" s="5" t="str">
        <f>IFERROR(__xludf.DUMMYFUNCTION("""COMPUTED_VALUE"""),"Soursop Tea - Trà Mãng Cầu")</f>
        <v>Soursop Tea - Trà Mãng Cầu</v>
      </c>
      <c r="G11" s="5" t="str">
        <f>IFERROR(__xludf.DUMMYFUNCTION("""COMPUTED_VALUE"""),"R")</f>
        <v>R</v>
      </c>
      <c r="H11" s="7">
        <f>IFERROR(__xludf.DUMMYFUNCTION("""COMPUTED_VALUE"""),9.9)</f>
        <v>9.9</v>
      </c>
      <c r="I11" s="8">
        <f>IFERROR(__xludf.DUMMYFUNCTION("""COMPUTED_VALUE"""),11.5)</f>
        <v>11.5</v>
      </c>
      <c r="J11" s="5" t="str">
        <f>IFERROR(__xludf.DUMMYFUNCTION("""COMPUTED_VALUE"""),"Soursop ,tea ,lemon")</f>
        <v>Soursop ,tea ,lemon</v>
      </c>
      <c r="K11" s="9" t="str">
        <f>IFERROR(__xludf.DUMMYFUNCTION("""COMPUTED_VALUE"""),"https://drive.google.com/file/d/1S7hGnEg4ps4Sv3lZy7FZFTlwvzHbeOzF/view?usp=sharing")</f>
        <v>https://drive.google.com/file/d/1S7hGnEg4ps4Sv3lZy7FZFTlwvzHbeOzF/view?usp=sharing</v>
      </c>
      <c r="L11" s="5"/>
      <c r="M11" s="1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tr">
        <f>IFERROR(__xludf.DUMMYFUNCTION("""COMPUTED_VALUE"""),"2.Fruit Drinks - Tea")</f>
        <v>2.Fruit Drinks - Tea</v>
      </c>
      <c r="B12" s="6">
        <f>IFERROR(__xludf.DUMMYFUNCTION("""COMPUTED_VALUE"""),3.0)</f>
        <v>3</v>
      </c>
      <c r="C12" s="6" t="str">
        <f>IFERROR(__xludf.DUMMYFUNCTION("""COMPUTED_VALUE"""),"P0203")</f>
        <v>P0203</v>
      </c>
      <c r="D12" s="5" t="str">
        <f>IFERROR(__xludf.DUMMYFUNCTION("""COMPUTED_VALUE"""),"Tắc Muối")</f>
        <v>Tắc Muối</v>
      </c>
      <c r="E12" s="5" t="str">
        <f>IFERROR(__xludf.DUMMYFUNCTION("""COMPUTED_VALUE"""),"Salted Calamansi")</f>
        <v>Salted Calamansi</v>
      </c>
      <c r="F12" s="5" t="str">
        <f>IFERROR(__xludf.DUMMYFUNCTION("""COMPUTED_VALUE"""),"Salted Calamansi - Tắc Muối")</f>
        <v>Salted Calamansi - Tắc Muối</v>
      </c>
      <c r="G12" s="5" t="str">
        <f>IFERROR(__xludf.DUMMYFUNCTION("""COMPUTED_VALUE"""),"R")</f>
        <v>R</v>
      </c>
      <c r="H12" s="7">
        <f>IFERROR(__xludf.DUMMYFUNCTION("""COMPUTED_VALUE"""),8.9)</f>
        <v>8.9</v>
      </c>
      <c r="I12" s="8">
        <f>IFERROR(__xludf.DUMMYFUNCTION("""COMPUTED_VALUE"""),10.5)</f>
        <v>10.5</v>
      </c>
      <c r="J12" s="5" t="str">
        <f>IFERROR(__xludf.DUMMYFUNCTION("""COMPUTED_VALUE"""),"Salted Calamansi, Green tea , lemon ")</f>
        <v>Salted Calamansi, Green tea , lemon </v>
      </c>
      <c r="K12" s="9" t="str">
        <f>IFERROR(__xludf.DUMMYFUNCTION("""COMPUTED_VALUE"""),"https://drive.google.com/file/d/1VipSCZ45SVBpRtBZsvTmPLGbMdsZxfRi/view?usp=sharing")</f>
        <v>https://drive.google.com/file/d/1VipSCZ45SVBpRtBZsvTmPLGbMdsZxfRi/view?usp=sharing</v>
      </c>
      <c r="L12" s="10"/>
      <c r="M12" s="10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tr">
        <f>IFERROR(__xludf.DUMMYFUNCTION("""COMPUTED_VALUE"""),"2.Fruit Drinks - Tea")</f>
        <v>2.Fruit Drinks - Tea</v>
      </c>
      <c r="D13" s="5" t="str">
        <f>IFERROR(__xludf.DUMMYFUNCTION("""COMPUTED_VALUE"""),"Tắc Muối")</f>
        <v>Tắc Muối</v>
      </c>
      <c r="E13" s="5" t="str">
        <f>IFERROR(__xludf.DUMMYFUNCTION("""COMPUTED_VALUE"""),"Salted Calamansi")</f>
        <v>Salted Calamansi</v>
      </c>
      <c r="F13" s="5" t="str">
        <f>IFERROR(__xludf.DUMMYFUNCTION("""COMPUTED_VALUE"""),"Salted Calamansi - Tắc Muối")</f>
        <v>Salted Calamansi - Tắc Muối</v>
      </c>
      <c r="G13" s="5" t="str">
        <f>IFERROR(__xludf.DUMMYFUNCTION("""COMPUTED_VALUE"""),"R")</f>
        <v>R</v>
      </c>
      <c r="H13" s="7">
        <f>IFERROR(__xludf.DUMMYFUNCTION("""COMPUTED_VALUE"""),6.5)</f>
        <v>6.5</v>
      </c>
      <c r="I13" s="8">
        <f>IFERROR(__xludf.DUMMYFUNCTION("""COMPUTED_VALUE"""),7.5)</f>
        <v>7.5</v>
      </c>
      <c r="J13" s="5" t="str">
        <f>IFERROR(__xludf.DUMMYFUNCTION("""COMPUTED_VALUE"""),"Salted Calamansi, Green tea , lemon ")</f>
        <v>Salted Calamansi, Green tea , lemon </v>
      </c>
      <c r="K13" s="11"/>
      <c r="L13" s="10"/>
      <c r="M13" s="10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tr">
        <f>IFERROR(__xludf.DUMMYFUNCTION("""COMPUTED_VALUE"""),"2.Fruit Drinks - Tea")</f>
        <v>2.Fruit Drinks - Tea</v>
      </c>
      <c r="B14" s="6">
        <f>IFERROR(__xludf.DUMMYFUNCTION("""COMPUTED_VALUE"""),4.0)</f>
        <v>4</v>
      </c>
      <c r="C14" s="6" t="str">
        <f>IFERROR(__xludf.DUMMYFUNCTION("""COMPUTED_VALUE"""),"P0204")</f>
        <v>P0204</v>
      </c>
      <c r="D14" s="5" t="str">
        <f>IFERROR(__xludf.DUMMYFUNCTION("""COMPUTED_VALUE"""),"Đá Chanh")</f>
        <v>Đá Chanh</v>
      </c>
      <c r="E14" s="5" t="str">
        <f>IFERROR(__xludf.DUMMYFUNCTION("""COMPUTED_VALUE"""),"Fresh Lemonade")</f>
        <v>Fresh Lemonade</v>
      </c>
      <c r="F14" s="5" t="str">
        <f>IFERROR(__xludf.DUMMYFUNCTION("""COMPUTED_VALUE"""),"Fresh Lemonade - Đá Chanh")</f>
        <v>Fresh Lemonade - Đá Chanh</v>
      </c>
      <c r="G14" s="5" t="str">
        <f>IFERROR(__xludf.DUMMYFUNCTION("""COMPUTED_VALUE"""),"R")</f>
        <v>R</v>
      </c>
      <c r="H14" s="7">
        <f>IFERROR(__xludf.DUMMYFUNCTION("""COMPUTED_VALUE"""),8.9)</f>
        <v>8.9</v>
      </c>
      <c r="I14" s="8">
        <f>IFERROR(__xludf.DUMMYFUNCTION("""COMPUTED_VALUE"""),10.5)</f>
        <v>10.5</v>
      </c>
      <c r="J14" s="5" t="str">
        <f>IFERROR(__xludf.DUMMYFUNCTION("""COMPUTED_VALUE"""),"Fresh Lemon Juice ")</f>
        <v>Fresh Lemon Juice </v>
      </c>
      <c r="K14" s="9" t="str">
        <f>IFERROR(__xludf.DUMMYFUNCTION("""COMPUTED_VALUE"""),"https://drive.google.com/file/d/1JYgqqdOvjiqgl2HJFv_0gz3HsDzk_o8-/view?usp=sharing")</f>
        <v>https://drive.google.com/file/d/1JYgqqdOvjiqgl2HJFv_0gz3HsDzk_o8-/view?usp=sharing</v>
      </c>
      <c r="L14" s="10"/>
      <c r="M14" s="10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tr">
        <f>IFERROR(__xludf.DUMMYFUNCTION("""COMPUTED_VALUE"""),"2.Fruit Drinks - Tea")</f>
        <v>2.Fruit Drinks - Tea</v>
      </c>
      <c r="D15" s="5" t="str">
        <f>IFERROR(__xludf.DUMMYFUNCTION("""COMPUTED_VALUE"""),"Chanh Nóng")</f>
        <v>Chanh Nóng</v>
      </c>
      <c r="E15" s="5" t="str">
        <f>IFERROR(__xludf.DUMMYFUNCTION("""COMPUTED_VALUE"""),"Hot Fresh Lemonade")</f>
        <v>Hot Fresh Lemonade</v>
      </c>
      <c r="F15" s="5" t="str">
        <f>IFERROR(__xludf.DUMMYFUNCTION("""COMPUTED_VALUE"""),"Hot Fresh Lemonade - Chanh Nóng")</f>
        <v>Hot Fresh Lemonade - Chanh Nóng</v>
      </c>
      <c r="G15" s="5" t="str">
        <f>IFERROR(__xludf.DUMMYFUNCTION("""COMPUTED_VALUE"""),"R")</f>
        <v>R</v>
      </c>
      <c r="H15" s="7">
        <f>IFERROR(__xludf.DUMMYFUNCTION("""COMPUTED_VALUE"""),6.5)</f>
        <v>6.5</v>
      </c>
      <c r="I15" s="8">
        <f>IFERROR(__xludf.DUMMYFUNCTION("""COMPUTED_VALUE"""),7.5)</f>
        <v>7.5</v>
      </c>
      <c r="J15" s="5" t="str">
        <f>IFERROR(__xludf.DUMMYFUNCTION("""COMPUTED_VALUE"""),"Fresh Lemon Juice, Hot water")</f>
        <v>Fresh Lemon Juice, Hot water</v>
      </c>
      <c r="K15" s="11"/>
      <c r="L15" s="10"/>
      <c r="M15" s="1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tr">
        <f>IFERROR(__xludf.DUMMYFUNCTION("""COMPUTED_VALUE"""),"2.Fruit Drinks - Tea")</f>
        <v>2.Fruit Drinks - Tea</v>
      </c>
      <c r="B16" s="6">
        <f>IFERROR(__xludf.DUMMYFUNCTION("""COMPUTED_VALUE"""),5.0)</f>
        <v>5</v>
      </c>
      <c r="C16" s="6" t="str">
        <f>IFERROR(__xludf.DUMMYFUNCTION("""COMPUTED_VALUE"""),"P0205")</f>
        <v>P0205</v>
      </c>
      <c r="D16" s="5" t="str">
        <f>IFERROR(__xludf.DUMMYFUNCTION("""COMPUTED_VALUE"""),"Đá Me")</f>
        <v>Đá Me</v>
      </c>
      <c r="E16" s="5" t="str">
        <f>IFERROR(__xludf.DUMMYFUNCTION("""COMPUTED_VALUE"""),"Iced Tamarind")</f>
        <v>Iced Tamarind</v>
      </c>
      <c r="F16" s="5" t="str">
        <f>IFERROR(__xludf.DUMMYFUNCTION("""COMPUTED_VALUE"""),"Iced Tamarind - Đá Me")</f>
        <v>Iced Tamarind - Đá Me</v>
      </c>
      <c r="G16" s="5" t="str">
        <f>IFERROR(__xludf.DUMMYFUNCTION("""COMPUTED_VALUE"""),"R")</f>
        <v>R</v>
      </c>
      <c r="H16" s="7">
        <f>IFERROR(__xludf.DUMMYFUNCTION("""COMPUTED_VALUE"""),11.5)</f>
        <v>11.5</v>
      </c>
      <c r="I16" s="8">
        <f>IFERROR(__xludf.DUMMYFUNCTION("""COMPUTED_VALUE"""),13.5)</f>
        <v>13.5</v>
      </c>
      <c r="J16" s="5" t="str">
        <f>IFERROR(__xludf.DUMMYFUNCTION("""COMPUTED_VALUE"""),"Pineapple jam with Temarind Seeds &amp; peanut")</f>
        <v>Pineapple jam with Temarind Seeds &amp; peanut</v>
      </c>
      <c r="K16" s="9" t="str">
        <f>IFERROR(__xludf.DUMMYFUNCTION("""COMPUTED_VALUE"""),"https://drive.google.com/file/d/1edxw6JIQ9zONy28JwRWuEgttG0roF3mD/view?usp=sharing")</f>
        <v>https://drive.google.com/file/d/1edxw6JIQ9zONy28JwRWuEgttG0roF3mD/view?usp=sharing</v>
      </c>
      <c r="L16" s="10"/>
      <c r="M16" s="10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tr">
        <f>IFERROR(__xludf.DUMMYFUNCTION("""COMPUTED_VALUE"""),"2.Fruit Drinks - Tea")</f>
        <v>2.Fruit Drinks - Tea</v>
      </c>
      <c r="B17" s="6">
        <f>IFERROR(__xludf.DUMMYFUNCTION("""COMPUTED_VALUE"""),6.0)</f>
        <v>6</v>
      </c>
      <c r="C17" s="6" t="str">
        <f>IFERROR(__xludf.DUMMYFUNCTION("""COMPUTED_VALUE"""),"P0206")</f>
        <v>P0206</v>
      </c>
      <c r="D17" s="5" t="str">
        <f>IFERROR(__xludf.DUMMYFUNCTION("""COMPUTED_VALUE"""),"Soda Hoa Đậu Biếc")</f>
        <v>Soda Hoa Đậu Biếc</v>
      </c>
      <c r="E17" s="5" t="str">
        <f>IFERROR(__xludf.DUMMYFUNCTION("""COMPUTED_VALUE"""),"Butterfly Soda")</f>
        <v>Butterfly Soda</v>
      </c>
      <c r="F17" s="5" t="str">
        <f>IFERROR(__xludf.DUMMYFUNCTION("""COMPUTED_VALUE"""),"Butterfly Soda - Soda Hoa Đậu Biếc")</f>
        <v>Butterfly Soda - Soda Hoa Đậu Biếc</v>
      </c>
      <c r="G17" s="5" t="str">
        <f>IFERROR(__xludf.DUMMYFUNCTION("""COMPUTED_VALUE"""),"R")</f>
        <v>R</v>
      </c>
      <c r="H17" s="7">
        <f>IFERROR(__xludf.DUMMYFUNCTION("""COMPUTED_VALUE"""),9.9)</f>
        <v>9.9</v>
      </c>
      <c r="I17" s="8">
        <f>IFERROR(__xludf.DUMMYFUNCTION("""COMPUTED_VALUE"""),11.5)</f>
        <v>11.5</v>
      </c>
      <c r="J17" s="5" t="str">
        <f>IFERROR(__xludf.DUMMYFUNCTION("""COMPUTED_VALUE"""),"lemon ,Butterfly flower ")</f>
        <v>lemon ,Butterfly flower </v>
      </c>
      <c r="K17" s="9" t="str">
        <f>IFERROR(__xludf.DUMMYFUNCTION("""COMPUTED_VALUE"""),"https://drive.google.com/file/d/1N-unhSIOoSte6H0wzitxEK_MP49y11jx/view?usp=sharing")</f>
        <v>https://drive.google.com/file/d/1N-unhSIOoSte6H0wzitxEK_MP49y11jx/view?usp=sharing</v>
      </c>
      <c r="L17" s="10"/>
      <c r="M17" s="10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tr">
        <f>IFERROR(__xludf.DUMMYFUNCTION("""COMPUTED_VALUE"""),"2.Fruit Drinks - Tea")</f>
        <v>2.Fruit Drinks - Tea</v>
      </c>
      <c r="B18" s="6">
        <f>IFERROR(__xludf.DUMMYFUNCTION("""COMPUTED_VALUE"""),7.0)</f>
        <v>7</v>
      </c>
      <c r="C18" s="6" t="str">
        <f>IFERROR(__xludf.DUMMYFUNCTION("""COMPUTED_VALUE"""),"P0207")</f>
        <v>P0207</v>
      </c>
      <c r="D18" s="5" t="str">
        <f>IFERROR(__xludf.DUMMYFUNCTION("""COMPUTED_VALUE"""),"Soda Hoa Hibiscus Đỏ")</f>
        <v>Soda Hoa Hibiscus Đỏ</v>
      </c>
      <c r="E18" s="5" t="str">
        <f>IFERROR(__xludf.DUMMYFUNCTION("""COMPUTED_VALUE"""),"Hibiscus Soda")</f>
        <v>Hibiscus Soda</v>
      </c>
      <c r="F18" s="5" t="str">
        <f>IFERROR(__xludf.DUMMYFUNCTION("""COMPUTED_VALUE"""),"Hibiscus Soda - Soda Hoa Hibiscus Đỏ")</f>
        <v>Hibiscus Soda - Soda Hoa Hibiscus Đỏ</v>
      </c>
      <c r="G18" s="5" t="str">
        <f>IFERROR(__xludf.DUMMYFUNCTION("""COMPUTED_VALUE"""),"R")</f>
        <v>R</v>
      </c>
      <c r="H18" s="7">
        <f>IFERROR(__xludf.DUMMYFUNCTION("""COMPUTED_VALUE"""),9.9)</f>
        <v>9.9</v>
      </c>
      <c r="I18" s="8">
        <f>IFERROR(__xludf.DUMMYFUNCTION("""COMPUTED_VALUE"""),11.5)</f>
        <v>11.5</v>
      </c>
      <c r="J18" s="5" t="str">
        <f>IFERROR(__xludf.DUMMYFUNCTION("""COMPUTED_VALUE"""),"Lemon,Hibiscus flower")</f>
        <v>Lemon,Hibiscus flower</v>
      </c>
      <c r="K18" s="9" t="str">
        <f>IFERROR(__xludf.DUMMYFUNCTION("""COMPUTED_VALUE"""),"https://drive.google.com/file/d/1Aa-7mGqpWU17sOe7I-zwqYvf_sUocLA4/view?usp=sharing")</f>
        <v>https://drive.google.com/file/d/1Aa-7mGqpWU17sOe7I-zwqYvf_sUocLA4/view?usp=sharing</v>
      </c>
      <c r="L18" s="10"/>
      <c r="M18" s="10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tr">
        <f>IFERROR(__xludf.DUMMYFUNCTION("""COMPUTED_VALUE"""),"2.Fruit Drinks - Tea")</f>
        <v>2.Fruit Drinks - Tea</v>
      </c>
      <c r="B19" s="6">
        <f>IFERROR(__xludf.DUMMYFUNCTION("""COMPUTED_VALUE"""),8.0)</f>
        <v>8</v>
      </c>
      <c r="C19" s="6" t="str">
        <f>IFERROR(__xludf.DUMMYFUNCTION("""COMPUTED_VALUE"""),"P0208")</f>
        <v>P0208</v>
      </c>
      <c r="D19" s="5" t="str">
        <f>IFERROR(__xludf.DUMMYFUNCTION("""COMPUTED_VALUE"""),"Soda Vải")</f>
        <v>Soda Vải</v>
      </c>
      <c r="E19" s="5" t="str">
        <f>IFERROR(__xludf.DUMMYFUNCTION("""COMPUTED_VALUE"""),"Lychee Soda")</f>
        <v>Lychee Soda</v>
      </c>
      <c r="F19" s="5" t="str">
        <f>IFERROR(__xludf.DUMMYFUNCTION("""COMPUTED_VALUE"""),"Lychee Soda - Soda Vải")</f>
        <v>Lychee Soda - Soda Vải</v>
      </c>
      <c r="G19" s="5" t="str">
        <f>IFERROR(__xludf.DUMMYFUNCTION("""COMPUTED_VALUE"""),"R")</f>
        <v>R</v>
      </c>
      <c r="H19" s="7">
        <f>IFERROR(__xludf.DUMMYFUNCTION("""COMPUTED_VALUE"""),9.9)</f>
        <v>9.9</v>
      </c>
      <c r="I19" s="8">
        <f>IFERROR(__xludf.DUMMYFUNCTION("""COMPUTED_VALUE"""),11.5)</f>
        <v>11.5</v>
      </c>
      <c r="J19" s="5" t="str">
        <f>IFERROR(__xludf.DUMMYFUNCTION("""COMPUTED_VALUE"""),"Lychee,Lemon ")</f>
        <v>Lychee,Lemon </v>
      </c>
      <c r="K19" s="9" t="str">
        <f>IFERROR(__xludf.DUMMYFUNCTION("""COMPUTED_VALUE"""),"https://drive.google.com/file/d/1zJCjC3XC8twqR6f78mXJ3TMsdEk1kOIt/view?usp=sharing")</f>
        <v>https://drive.google.com/file/d/1zJCjC3XC8twqR6f78mXJ3TMsdEk1kOIt/view?usp=sharing</v>
      </c>
      <c r="L19" s="10"/>
      <c r="M19" s="10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tr">
        <f>IFERROR(__xludf.DUMMYFUNCTION("""COMPUTED_VALUE"""),"2.Fruit Drinks - Tea")</f>
        <v>2.Fruit Drinks - Tea</v>
      </c>
      <c r="B20" s="6">
        <f>IFERROR(__xludf.DUMMYFUNCTION("""COMPUTED_VALUE"""),9.0)</f>
        <v>9</v>
      </c>
      <c r="C20" s="6" t="str">
        <f>IFERROR(__xludf.DUMMYFUNCTION("""COMPUTED_VALUE"""),"P0209")</f>
        <v>P0209</v>
      </c>
      <c r="D20" s="5" t="str">
        <f>IFERROR(__xludf.DUMMYFUNCTION("""COMPUTED_VALUE"""),"Soda Chanh Đường")</f>
        <v>Soda Chanh Đường</v>
      </c>
      <c r="E20" s="5" t="str">
        <f>IFERROR(__xludf.DUMMYFUNCTION("""COMPUTED_VALUE"""),"Lemon Soda")</f>
        <v>Lemon Soda</v>
      </c>
      <c r="F20" s="5" t="str">
        <f>IFERROR(__xludf.DUMMYFUNCTION("""COMPUTED_VALUE"""),"Lemon Soda - Soda Chanh Đường")</f>
        <v>Lemon Soda - Soda Chanh Đường</v>
      </c>
      <c r="G20" s="5" t="str">
        <f>IFERROR(__xludf.DUMMYFUNCTION("""COMPUTED_VALUE"""),"R")</f>
        <v>R</v>
      </c>
      <c r="H20" s="7">
        <f>IFERROR(__xludf.DUMMYFUNCTION("""COMPUTED_VALUE"""),9.9)</f>
        <v>9.9</v>
      </c>
      <c r="I20" s="8">
        <f>IFERROR(__xludf.DUMMYFUNCTION("""COMPUTED_VALUE"""),11.5)</f>
        <v>11.5</v>
      </c>
      <c r="J20" s="5" t="str">
        <f>IFERROR(__xludf.DUMMYFUNCTION("""COMPUTED_VALUE"""),"Lemon Juice with Lemon Jam")</f>
        <v>Lemon Juice with Lemon Jam</v>
      </c>
      <c r="K20" s="9" t="str">
        <f>IFERROR(__xludf.DUMMYFUNCTION("""COMPUTED_VALUE"""),"https://drive.google.com/file/d/1PHPG2_1Q-JyiCHCxYQ4U-FKtmGdnmr9A/view?usp=sharing")</f>
        <v>https://drive.google.com/file/d/1PHPG2_1Q-JyiCHCxYQ4U-FKtmGdnmr9A/view?usp=sharing</v>
      </c>
      <c r="L20" s="5"/>
      <c r="M20" s="10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 t="str">
        <f>IFERROR(__xludf.DUMMYFUNCTION("""COMPUTED_VALUE"""),"2.Fruit Drinks - Tea")</f>
        <v>2.Fruit Drinks - Tea</v>
      </c>
      <c r="B21" s="6">
        <f>IFERROR(__xludf.DUMMYFUNCTION("""COMPUTED_VALUE"""),10.0)</f>
        <v>10</v>
      </c>
      <c r="C21" s="6" t="str">
        <f>IFERROR(__xludf.DUMMYFUNCTION("""COMPUTED_VALUE"""),"P0210")</f>
        <v>P0210</v>
      </c>
      <c r="D21" s="5" t="str">
        <f>IFERROR(__xludf.DUMMYFUNCTION("""COMPUTED_VALUE"""),"Soda Dau ")</f>
        <v>Soda Dau </v>
      </c>
      <c r="E21" s="5" t="str">
        <f>IFERROR(__xludf.DUMMYFUNCTION("""COMPUTED_VALUE"""),"Strawberry Soda")</f>
        <v>Strawberry Soda</v>
      </c>
      <c r="F21" s="5" t="str">
        <f>IFERROR(__xludf.DUMMYFUNCTION("""COMPUTED_VALUE"""),"Strawberry Soda - Soda Dau ")</f>
        <v>Strawberry Soda - Soda Dau </v>
      </c>
      <c r="G21" s="5" t="str">
        <f>IFERROR(__xludf.DUMMYFUNCTION("""COMPUTED_VALUE"""),"R")</f>
        <v>R</v>
      </c>
      <c r="H21" s="7">
        <f>IFERROR(__xludf.DUMMYFUNCTION("""COMPUTED_VALUE"""),9.9)</f>
        <v>9.9</v>
      </c>
      <c r="I21" s="8">
        <f>IFERROR(__xludf.DUMMYFUNCTION("""COMPUTED_VALUE"""),11.5)</f>
        <v>11.5</v>
      </c>
      <c r="J21" s="5" t="str">
        <f>IFERROR(__xludf.DUMMYFUNCTION("""COMPUTED_VALUE"""),"Strawberry jam ")</f>
        <v>Strawberry jam </v>
      </c>
      <c r="K21" s="9" t="str">
        <f>IFERROR(__xludf.DUMMYFUNCTION("""COMPUTED_VALUE"""),"https://drive.google.com/file/d/1XQAVWW4bdZLT1lsvU2SMITig0pnXyXrO/view?usp=sharing")</f>
        <v>https://drive.google.com/file/d/1XQAVWW4bdZLT1lsvU2SMITig0pnXyXrO/view?usp=sharing</v>
      </c>
      <c r="L21" s="10"/>
      <c r="M21" s="10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 t="str">
        <f>IFERROR(__xludf.DUMMYFUNCTION("""COMPUTED_VALUE"""),"2.Fruit Drinks - Tea")</f>
        <v>2.Fruit Drinks - Tea</v>
      </c>
      <c r="B22" s="6">
        <f>IFERROR(__xludf.DUMMYFUNCTION("""COMPUTED_VALUE"""),11.0)</f>
        <v>11</v>
      </c>
      <c r="C22" s="6" t="str">
        <f>IFERROR(__xludf.DUMMYFUNCTION("""COMPUTED_VALUE"""),"P0211")</f>
        <v>P0211</v>
      </c>
      <c r="D22" s="5" t="str">
        <f>IFERROR(__xludf.DUMMYFUNCTION("""COMPUTED_VALUE"""),"Passion &amp; Salted Calamansi tea")</f>
        <v>Passion &amp; Salted Calamansi tea</v>
      </c>
      <c r="E22" s="5" t="str">
        <f>IFERROR(__xludf.DUMMYFUNCTION("""COMPUTED_VALUE"""),"Trà Chanh Dây Tắc Muối")</f>
        <v>Trà Chanh Dây Tắc Muối</v>
      </c>
      <c r="F22" s="5" t="str">
        <f>IFERROR(__xludf.DUMMYFUNCTION("""COMPUTED_VALUE"""),"Passion &amp; Salted Calamansi tea - Trà Chanh Dây Tắc Muối")</f>
        <v>Passion &amp; Salted Calamansi tea - Trà Chanh Dây Tắc Muối</v>
      </c>
      <c r="G22" s="5" t="str">
        <f>IFERROR(__xludf.DUMMYFUNCTION("""COMPUTED_VALUE"""),"R")</f>
        <v>R</v>
      </c>
      <c r="H22" s="7">
        <f>IFERROR(__xludf.DUMMYFUNCTION("""COMPUTED_VALUE"""),9.9)</f>
        <v>9.9</v>
      </c>
      <c r="I22" s="8">
        <f>IFERROR(__xludf.DUMMYFUNCTION("""COMPUTED_VALUE"""),11.5)</f>
        <v>11.5</v>
      </c>
      <c r="J22" s="5" t="str">
        <f>IFERROR(__xludf.DUMMYFUNCTION("""COMPUTED_VALUE"""),"Passion, passionfruit seed, salt calamansi &amp; tea")</f>
        <v>Passion, passionfruit seed, salt calamansi &amp; tea</v>
      </c>
      <c r="K22" s="9" t="str">
        <f>IFERROR(__xludf.DUMMYFUNCTION("""COMPUTED_VALUE"""),"https://drive.google.com/file/d/1btNVs3XO25S4dKcGX8t7QQ5JrQhPHXG3/view?usp=sharing")</f>
        <v>https://drive.google.com/file/d/1btNVs3XO25S4dKcGX8t7QQ5JrQhPHXG3/view?usp=sharing</v>
      </c>
      <c r="L22" s="10"/>
      <c r="M22" s="10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 t="str">
        <f>IFERROR(__xludf.DUMMYFUNCTION("""COMPUTED_VALUE"""),"2.Fruit Drinks - Tea")</f>
        <v>2.Fruit Drinks - Tea</v>
      </c>
      <c r="B23" s="6">
        <f>IFERROR(__xludf.DUMMYFUNCTION("""COMPUTED_VALUE"""),12.0)</f>
        <v>12</v>
      </c>
      <c r="C23" s="6" t="str">
        <f>IFERROR(__xludf.DUMMYFUNCTION("""COMPUTED_VALUE"""),"P0212")</f>
        <v>P0212</v>
      </c>
      <c r="D23" s="5" t="str">
        <f>IFERROR(__xludf.DUMMYFUNCTION("""COMPUTED_VALUE"""),"Passionfruit tea")</f>
        <v>Passionfruit tea</v>
      </c>
      <c r="E23" s="5" t="str">
        <f>IFERROR(__xludf.DUMMYFUNCTION("""COMPUTED_VALUE"""),"Trà Chanh Dây")</f>
        <v>Trà Chanh Dây</v>
      </c>
      <c r="F23" s="5" t="str">
        <f>IFERROR(__xludf.DUMMYFUNCTION("""COMPUTED_VALUE"""),"Passionfruit tea - Trà Chanh Dây")</f>
        <v>Passionfruit tea - Trà Chanh Dây</v>
      </c>
      <c r="G23" s="5" t="str">
        <f>IFERROR(__xludf.DUMMYFUNCTION("""COMPUTED_VALUE"""),"R")</f>
        <v>R</v>
      </c>
      <c r="H23" s="7">
        <f>IFERROR(__xludf.DUMMYFUNCTION("""COMPUTED_VALUE"""),8.9)</f>
        <v>8.9</v>
      </c>
      <c r="I23" s="8">
        <f>IFERROR(__xludf.DUMMYFUNCTION("""COMPUTED_VALUE"""),10.5)</f>
        <v>10.5</v>
      </c>
      <c r="J23" s="5" t="str">
        <f>IFERROR(__xludf.DUMMYFUNCTION("""COMPUTED_VALUE"""),"Passion, passionfruit seed &amp; tea")</f>
        <v>Passion, passionfruit seed &amp; tea</v>
      </c>
      <c r="K23" s="9" t="str">
        <f>IFERROR(__xludf.DUMMYFUNCTION("""COMPUTED_VALUE"""),"https://drive.google.com/file/d/16VAzfqDviwvE6cMl8CnKqbUwOjfEf57Y/view?usp=sharing")</f>
        <v>https://drive.google.com/file/d/16VAzfqDviwvE6cMl8CnKqbUwOjfEf57Y/view?usp=sharing</v>
      </c>
      <c r="L23" s="10"/>
      <c r="M23" s="10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 t="str">
        <f>IFERROR(__xludf.DUMMYFUNCTION("""COMPUTED_VALUE"""),"2.Fruit Drinks - Tea")</f>
        <v>2.Fruit Drinks - Tea</v>
      </c>
      <c r="B24" s="6">
        <f>IFERROR(__xludf.DUMMYFUNCTION("""COMPUTED_VALUE"""),13.0)</f>
        <v>13</v>
      </c>
      <c r="C24" s="6" t="str">
        <f>IFERROR(__xludf.DUMMYFUNCTION("""COMPUTED_VALUE"""),"P0213")</f>
        <v>P0213</v>
      </c>
      <c r="D24" s="5" t="str">
        <f>IFERROR(__xludf.DUMMYFUNCTION("""COMPUTED_VALUE"""),"Strawberry tea")</f>
        <v>Strawberry tea</v>
      </c>
      <c r="E24" s="5" t="str">
        <f>IFERROR(__xludf.DUMMYFUNCTION("""COMPUTED_VALUE"""),"Trà Dâu &amp; Mango Popping Pearls")</f>
        <v>Trà Dâu &amp; Mango Popping Pearls</v>
      </c>
      <c r="F24" s="5" t="str">
        <f>IFERROR(__xludf.DUMMYFUNCTION("""COMPUTED_VALUE"""),"Strawberry tea - Trà Dâu &amp; Mango Popping Pearls")</f>
        <v>Strawberry tea - Trà Dâu &amp; Mango Popping Pearls</v>
      </c>
      <c r="G24" s="5" t="str">
        <f>IFERROR(__xludf.DUMMYFUNCTION("""COMPUTED_VALUE"""),"R")</f>
        <v>R</v>
      </c>
      <c r="H24" s="7">
        <f>IFERROR(__xludf.DUMMYFUNCTION("""COMPUTED_VALUE"""),9.9)</f>
        <v>9.9</v>
      </c>
      <c r="I24" s="8">
        <f>IFERROR(__xludf.DUMMYFUNCTION("""COMPUTED_VALUE"""),11.5)</f>
        <v>11.5</v>
      </c>
      <c r="J24" s="5" t="str">
        <f>IFERROR(__xludf.DUMMYFUNCTION("""COMPUTED_VALUE"""),"strawberry, tea &amp; mango popping pearls")</f>
        <v>strawberry, tea &amp; mango popping pearls</v>
      </c>
      <c r="K24" s="9" t="str">
        <f>IFERROR(__xludf.DUMMYFUNCTION("""COMPUTED_VALUE"""),"https://drive.google.com/file/d/1ZapiQKb9PvLhbPg7tBlufS1j6q1KQPjz/view?usp=sharing")</f>
        <v>https://drive.google.com/file/d/1ZapiQKb9PvLhbPg7tBlufS1j6q1KQPjz/view?usp=sharing</v>
      </c>
      <c r="L24" s="10"/>
      <c r="M24" s="1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 t="str">
        <f>IFERROR(__xludf.DUMMYFUNCTION("""COMPUTED_VALUE"""),"2.Fruit Drinks - Tea")</f>
        <v>2.Fruit Drinks - Tea</v>
      </c>
      <c r="B25" s="6">
        <f>IFERROR(__xludf.DUMMYFUNCTION("""COMPUTED_VALUE"""),14.0)</f>
        <v>14</v>
      </c>
      <c r="C25" s="6" t="str">
        <f>IFERROR(__xludf.DUMMYFUNCTION("""COMPUTED_VALUE"""),"P0214")</f>
        <v>P0214</v>
      </c>
      <c r="D25" s="5" t="str">
        <f>IFERROR(__xludf.DUMMYFUNCTION("""COMPUTED_VALUE"""),"Peach tea")</f>
        <v>Peach tea</v>
      </c>
      <c r="E25" s="5" t="str">
        <f>IFERROR(__xludf.DUMMYFUNCTION("""COMPUTED_VALUE"""),"Trà Đào")</f>
        <v>Trà Đào</v>
      </c>
      <c r="F25" s="5" t="str">
        <f>IFERROR(__xludf.DUMMYFUNCTION("""COMPUTED_VALUE"""),"Peach tea - Trà Đào")</f>
        <v>Peach tea - Trà Đào</v>
      </c>
      <c r="G25" s="5" t="str">
        <f>IFERROR(__xludf.DUMMYFUNCTION("""COMPUTED_VALUE"""),"R")</f>
        <v>R</v>
      </c>
      <c r="H25" s="7">
        <f>IFERROR(__xludf.DUMMYFUNCTION("""COMPUTED_VALUE"""),8.9)</f>
        <v>8.9</v>
      </c>
      <c r="I25" s="8">
        <f>IFERROR(__xludf.DUMMYFUNCTION("""COMPUTED_VALUE"""),10.5)</f>
        <v>10.5</v>
      </c>
      <c r="J25" s="5" t="str">
        <f>IFERROR(__xludf.DUMMYFUNCTION("""COMPUTED_VALUE"""),"peach &amp; tea")</f>
        <v>peach &amp; tea</v>
      </c>
      <c r="K25" s="9" t="str">
        <f>IFERROR(__xludf.DUMMYFUNCTION("""COMPUTED_VALUE"""),"https://drive.google.com/file/d/1AFaA0CWuY59esFpTpLR8KydvWKtd3VhB/view?usp=sharing")</f>
        <v>https://drive.google.com/file/d/1AFaA0CWuY59esFpTpLR8KydvWKtd3VhB/view?usp=sharing</v>
      </c>
      <c r="L25" s="10"/>
      <c r="M25" s="1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 t="str">
        <f>IFERROR(__xludf.DUMMYFUNCTION("""COMPUTED_VALUE"""),"3.Fresh Juice")</f>
        <v>3.Fresh Juice</v>
      </c>
      <c r="B26" s="6">
        <f>IFERROR(__xludf.DUMMYFUNCTION("""COMPUTED_VALUE"""),1.0)</f>
        <v>1</v>
      </c>
      <c r="C26" s="6" t="str">
        <f>IFERROR(__xludf.DUMMYFUNCTION("""COMPUTED_VALUE"""),"P0301")</f>
        <v>P0301</v>
      </c>
      <c r="D26" s="5" t="str">
        <f>IFERROR(__xludf.DUMMYFUNCTION("""COMPUTED_VALUE"""),"Cóc Xí Muội")</f>
        <v>Cóc Xí Muội</v>
      </c>
      <c r="E26" s="5" t="str">
        <f>IFERROR(__xludf.DUMMYFUNCTION("""COMPUTED_VALUE"""),"Ambarella w Sweet and Sour Plum ( Seasonal)")</f>
        <v>Ambarella w Sweet and Sour Plum ( Seasonal)</v>
      </c>
      <c r="F26" s="5" t="str">
        <f>IFERROR(__xludf.DUMMYFUNCTION("""COMPUTED_VALUE"""),"Ambarella w Sweet and Sour Plum ( Seasonal) - Cóc Xí Muội")</f>
        <v>Ambarella w Sweet and Sour Plum ( Seasonal) - Cóc Xí Muội</v>
      </c>
      <c r="G26" s="5" t="str">
        <f>IFERROR(__xludf.DUMMYFUNCTION("""COMPUTED_VALUE"""),"L")</f>
        <v>L</v>
      </c>
      <c r="H26" s="7">
        <f>IFERROR(__xludf.DUMMYFUNCTION("""COMPUTED_VALUE"""),10.5)</f>
        <v>10.5</v>
      </c>
      <c r="I26" s="8">
        <f>IFERROR(__xludf.DUMMYFUNCTION("""COMPUTED_VALUE"""),11.9)</f>
        <v>11.9</v>
      </c>
      <c r="J26" s="5" t="str">
        <f>IFERROR(__xludf.DUMMYFUNCTION("""COMPUTED_VALUE"""),"Ambarella Juice with Sweet Sour Plum")</f>
        <v>Ambarella Juice with Sweet Sour Plum</v>
      </c>
      <c r="K26" s="11" t="str">
        <f>IFERROR(__xludf.DUMMYFUNCTION("""COMPUTED_VALUE"""),"24")</f>
        <v>24</v>
      </c>
      <c r="L26" s="5" t="str">
        <f>IFERROR(__xludf.DUMMYFUNCTION("""COMPUTED_VALUE"""),"KHÔNG CẦN HÌNH")</f>
        <v>KHÔNG CẦN HÌNH</v>
      </c>
      <c r="M26" s="1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 t="str">
        <f>IFERROR(__xludf.DUMMYFUNCTION("""COMPUTED_VALUE"""),"3.Fresh Juice")</f>
        <v>3.Fresh Juice</v>
      </c>
      <c r="B27" s="6">
        <f>IFERROR(__xludf.DUMMYFUNCTION("""COMPUTED_VALUE"""),2.0)</f>
        <v>2</v>
      </c>
      <c r="C27" s="6" t="str">
        <f>IFERROR(__xludf.DUMMYFUNCTION("""COMPUTED_VALUE"""),"P0302")</f>
        <v>P0302</v>
      </c>
      <c r="D27" s="5" t="str">
        <f>IFERROR(__xludf.DUMMYFUNCTION("""COMPUTED_VALUE"""),"Táo Xí Muội")</f>
        <v>Táo Xí Muội</v>
      </c>
      <c r="E27" s="5" t="str">
        <f>IFERROR(__xludf.DUMMYFUNCTION("""COMPUTED_VALUE"""),"Green Aplle w Sweet &amp; Sour Plum")</f>
        <v>Green Aplle w Sweet &amp; Sour Plum</v>
      </c>
      <c r="F27" s="5" t="str">
        <f>IFERROR(__xludf.DUMMYFUNCTION("""COMPUTED_VALUE"""),"Green Aplle w Sweet &amp; Sour Plum - Táo Xí Muội")</f>
        <v>Green Aplle w Sweet &amp; Sour Plum - Táo Xí Muội</v>
      </c>
      <c r="G27" s="5" t="str">
        <f>IFERROR(__xludf.DUMMYFUNCTION("""COMPUTED_VALUE"""),"L")</f>
        <v>L</v>
      </c>
      <c r="H27" s="7">
        <f>IFERROR(__xludf.DUMMYFUNCTION("""COMPUTED_VALUE"""),10.5)</f>
        <v>10.5</v>
      </c>
      <c r="I27" s="8">
        <f>IFERROR(__xludf.DUMMYFUNCTION("""COMPUTED_VALUE"""),11.9)</f>
        <v>11.9</v>
      </c>
      <c r="J27" s="5" t="str">
        <f>IFERROR(__xludf.DUMMYFUNCTION("""COMPUTED_VALUE"""),"Green Apple Juice with Sweet Sour Plum")</f>
        <v>Green Apple Juice with Sweet Sour Plum</v>
      </c>
      <c r="K27" s="12" t="str">
        <f>IFERROR(__xludf.DUMMYFUNCTION("""COMPUTED_VALUE"""),"25")</f>
        <v>25</v>
      </c>
      <c r="M27" s="1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 t="str">
        <f>IFERROR(__xludf.DUMMYFUNCTION("""COMPUTED_VALUE"""),"3.Fresh Juice")</f>
        <v>3.Fresh Juice</v>
      </c>
      <c r="B28" s="6">
        <f>IFERROR(__xludf.DUMMYFUNCTION("""COMPUTED_VALUE"""),3.0)</f>
        <v>3</v>
      </c>
      <c r="C28" s="6" t="str">
        <f>IFERROR(__xludf.DUMMYFUNCTION("""COMPUTED_VALUE"""),"P0303")</f>
        <v>P0303</v>
      </c>
      <c r="D28" s="5" t="str">
        <f>IFERROR(__xludf.DUMMYFUNCTION("""COMPUTED_VALUE"""),"Nước Ép Pink for Me")</f>
        <v>Nước Ép Pink for Me</v>
      </c>
      <c r="E28" s="5" t="str">
        <f>IFERROR(__xludf.DUMMYFUNCTION("""COMPUTED_VALUE"""),"Pink for Me")</f>
        <v>Pink for Me</v>
      </c>
      <c r="F28" s="5" t="str">
        <f>IFERROR(__xludf.DUMMYFUNCTION("""COMPUTED_VALUE"""),"Pink for Me ")</f>
        <v>Pink for Me </v>
      </c>
      <c r="G28" s="5" t="str">
        <f>IFERROR(__xludf.DUMMYFUNCTION("""COMPUTED_VALUE"""),"L")</f>
        <v>L</v>
      </c>
      <c r="H28" s="7">
        <f>IFERROR(__xludf.DUMMYFUNCTION("""COMPUTED_VALUE"""),9.9)</f>
        <v>9.9</v>
      </c>
      <c r="I28" s="8">
        <f>IFERROR(__xludf.DUMMYFUNCTION("""COMPUTED_VALUE"""),11.5)</f>
        <v>11.5</v>
      </c>
      <c r="J28" s="5" t="str">
        <f>IFERROR(__xludf.DUMMYFUNCTION("""COMPUTED_VALUE"""),"Watermelon, strawberry, orange and apple")</f>
        <v>Watermelon, strawberry, orange and apple</v>
      </c>
      <c r="K28" s="12" t="str">
        <f>IFERROR(__xludf.DUMMYFUNCTION("""COMPUTED_VALUE"""),"26")</f>
        <v>26</v>
      </c>
      <c r="M28" s="10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 t="str">
        <f>IFERROR(__xludf.DUMMYFUNCTION("""COMPUTED_VALUE"""),"3.Fresh Juice")</f>
        <v>3.Fresh Juice</v>
      </c>
      <c r="B29" s="6">
        <f>IFERROR(__xludf.DUMMYFUNCTION("""COMPUTED_VALUE"""),4.0)</f>
        <v>4</v>
      </c>
      <c r="C29" s="6" t="str">
        <f>IFERROR(__xludf.DUMMYFUNCTION("""COMPUTED_VALUE"""),"P0304")</f>
        <v>P0304</v>
      </c>
      <c r="D29" s="5" t="str">
        <f>IFERROR(__xludf.DUMMYFUNCTION("""COMPUTED_VALUE"""),"Nước Ép Chanh Dây")</f>
        <v>Nước Ép Chanh Dây</v>
      </c>
      <c r="E29" s="5" t="str">
        <f>IFERROR(__xludf.DUMMYFUNCTION("""COMPUTED_VALUE"""),"Passionate")</f>
        <v>Passionate</v>
      </c>
      <c r="F29" s="5" t="str">
        <f>IFERROR(__xludf.DUMMYFUNCTION("""COMPUTED_VALUE"""),"Passionate")</f>
        <v>Passionate</v>
      </c>
      <c r="G29" s="5" t="str">
        <f>IFERROR(__xludf.DUMMYFUNCTION("""COMPUTED_VALUE"""),"L")</f>
        <v>L</v>
      </c>
      <c r="H29" s="7">
        <f>IFERROR(__xludf.DUMMYFUNCTION("""COMPUTED_VALUE"""),9.9)</f>
        <v>9.9</v>
      </c>
      <c r="I29" s="8">
        <f>IFERROR(__xludf.DUMMYFUNCTION("""COMPUTED_VALUE"""),11.5)</f>
        <v>11.5</v>
      </c>
      <c r="J29" s="5" t="str">
        <f>IFERROR(__xludf.DUMMYFUNCTION("""COMPUTED_VALUE"""),"Passionfruit , Orange , Pinaapple and Carrot")</f>
        <v>Passionfruit , Orange , Pinaapple and Carrot</v>
      </c>
      <c r="K29" s="12" t="str">
        <f>IFERROR(__xludf.DUMMYFUNCTION("""COMPUTED_VALUE"""),"27")</f>
        <v>27</v>
      </c>
      <c r="M29" s="1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 t="str">
        <f>IFERROR(__xludf.DUMMYFUNCTION("""COMPUTED_VALUE"""),"3.Fresh Juice")</f>
        <v>3.Fresh Juice</v>
      </c>
      <c r="B30" s="6">
        <f>IFERROR(__xludf.DUMMYFUNCTION("""COMPUTED_VALUE"""),5.0)</f>
        <v>5</v>
      </c>
      <c r="C30" s="6" t="str">
        <f>IFERROR(__xludf.DUMMYFUNCTION("""COMPUTED_VALUE"""),"P0305")</f>
        <v>P0305</v>
      </c>
      <c r="D30" s="5" t="str">
        <f>IFERROR(__xludf.DUMMYFUNCTION("""COMPUTED_VALUE"""),"Nước ép Rau")</f>
        <v>Nước ép Rau</v>
      </c>
      <c r="E30" s="5" t="str">
        <f>IFERROR(__xludf.DUMMYFUNCTION("""COMPUTED_VALUE"""),"Healthy Green")</f>
        <v>Healthy Green</v>
      </c>
      <c r="F30" s="5" t="str">
        <f>IFERROR(__xludf.DUMMYFUNCTION("""COMPUTED_VALUE"""),"Healthy Green")</f>
        <v>Healthy Green</v>
      </c>
      <c r="G30" s="5" t="str">
        <f>IFERROR(__xludf.DUMMYFUNCTION("""COMPUTED_VALUE"""),"L")</f>
        <v>L</v>
      </c>
      <c r="H30" s="7">
        <f>IFERROR(__xludf.DUMMYFUNCTION("""COMPUTED_VALUE"""),9.9)</f>
        <v>9.9</v>
      </c>
      <c r="I30" s="8">
        <f>IFERROR(__xludf.DUMMYFUNCTION("""COMPUTED_VALUE"""),11.5)</f>
        <v>11.5</v>
      </c>
      <c r="J30" s="5" t="str">
        <f>IFERROR(__xludf.DUMMYFUNCTION("""COMPUTED_VALUE"""),"Celery, Kale, Cucumber, Green Apple and Mint")</f>
        <v>Celery, Kale, Cucumber, Green Apple and Mint</v>
      </c>
      <c r="K30" s="11" t="str">
        <f>IFERROR(__xludf.DUMMYFUNCTION("""COMPUTED_VALUE"""),"28")</f>
        <v>28</v>
      </c>
      <c r="M30" s="10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 t="str">
        <f>IFERROR(__xludf.DUMMYFUNCTION("""COMPUTED_VALUE"""),"3.Fresh Juice")</f>
        <v>3.Fresh Juice</v>
      </c>
      <c r="B31" s="6">
        <f>IFERROR(__xludf.DUMMYFUNCTION("""COMPUTED_VALUE"""),6.0)</f>
        <v>6</v>
      </c>
      <c r="C31" s="6" t="str">
        <f>IFERROR(__xludf.DUMMYFUNCTION("""COMPUTED_VALUE"""),"P0306")</f>
        <v>P0306</v>
      </c>
      <c r="D31" s="5" t="str">
        <f>IFERROR(__xludf.DUMMYFUNCTION("""COMPUTED_VALUE"""),"Nước ép tổng hợp ")</f>
        <v>Nước ép tổng hợp </v>
      </c>
      <c r="E31" s="5" t="str">
        <f>IFERROR(__xludf.DUMMYFUNCTION("""COMPUTED_VALUE"""),"Red For You")</f>
        <v>Red For You</v>
      </c>
      <c r="F31" s="5" t="str">
        <f>IFERROR(__xludf.DUMMYFUNCTION("""COMPUTED_VALUE"""),"Red For You")</f>
        <v>Red For You</v>
      </c>
      <c r="G31" s="5" t="str">
        <f>IFERROR(__xludf.DUMMYFUNCTION("""COMPUTED_VALUE"""),"L")</f>
        <v>L</v>
      </c>
      <c r="H31" s="7">
        <f>IFERROR(__xludf.DUMMYFUNCTION("""COMPUTED_VALUE"""),9.9)</f>
        <v>9.9</v>
      </c>
      <c r="I31" s="8">
        <f>IFERROR(__xludf.DUMMYFUNCTION("""COMPUTED_VALUE"""),11.5)</f>
        <v>11.5</v>
      </c>
      <c r="J31" s="5" t="str">
        <f>IFERROR(__xludf.DUMMYFUNCTION("""COMPUTED_VALUE"""),"Beetrot, Carrot, Blueberry and Red Apple")</f>
        <v>Beetrot, Carrot, Blueberry and Red Apple</v>
      </c>
      <c r="K31" s="12" t="str">
        <f>IFERROR(__xludf.DUMMYFUNCTION("""COMPUTED_VALUE"""),"29")</f>
        <v>29</v>
      </c>
      <c r="M31" s="10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 t="str">
        <f>IFERROR(__xludf.DUMMYFUNCTION("""COMPUTED_VALUE"""),"4.Smoothies")</f>
        <v>4.Smoothies</v>
      </c>
      <c r="B32" s="6">
        <f>IFERROR(__xludf.DUMMYFUNCTION("""COMPUTED_VALUE"""),1.0)</f>
        <v>1</v>
      </c>
      <c r="C32" s="6" t="str">
        <f>IFERROR(__xludf.DUMMYFUNCTION("""COMPUTED_VALUE"""),"P0401")</f>
        <v>P0401</v>
      </c>
      <c r="D32" s="5" t="str">
        <f>IFERROR(__xludf.DUMMYFUNCTION("""COMPUTED_VALUE"""),"Chanh dây và Tắc muối Đá xay ")</f>
        <v>Chanh dây và Tắc muối Đá xay </v>
      </c>
      <c r="E32" s="5" t="str">
        <f>IFERROR(__xludf.DUMMYFUNCTION("""COMPUTED_VALUE"""),"Passion &amp; Calamansi")</f>
        <v>Passion &amp; Calamansi</v>
      </c>
      <c r="F32" s="5" t="str">
        <f>IFERROR(__xludf.DUMMYFUNCTION("""COMPUTED_VALUE"""),"Passion &amp; Calamansi - Chanh dây và Tắc muối Đá xay ")</f>
        <v>Passion &amp; Calamansi - Chanh dây và Tắc muối Đá xay </v>
      </c>
      <c r="G32" s="5" t="str">
        <f>IFERROR(__xludf.DUMMYFUNCTION("""COMPUTED_VALUE"""),"R")</f>
        <v>R</v>
      </c>
      <c r="H32" s="7">
        <f>IFERROR(__xludf.DUMMYFUNCTION("""COMPUTED_VALUE"""),9.9)</f>
        <v>9.9</v>
      </c>
      <c r="I32" s="8">
        <f>IFERROR(__xludf.DUMMYFUNCTION("""COMPUTED_VALUE"""),11.5)</f>
        <v>11.5</v>
      </c>
      <c r="J32" s="5" t="str">
        <f>IFERROR(__xludf.DUMMYFUNCTION("""COMPUTED_VALUE"""),"Blended Passionfruit with calamansi pieces, lime jam")</f>
        <v>Blended Passionfruit with calamansi pieces, lime jam</v>
      </c>
      <c r="K32" s="9" t="str">
        <f>IFERROR(__xludf.DUMMYFUNCTION("""COMPUTED_VALUE"""),"https://drive.google.com/file/d/1ucFRmsq_Al4EonGX-nmmMVX-aAnL1Uut/view?usp=sharing")</f>
        <v>https://drive.google.com/file/d/1ucFRmsq_Al4EonGX-nmmMVX-aAnL1Uut/view?usp=sharing</v>
      </c>
      <c r="L32" s="10"/>
      <c r="M32" s="10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 t="str">
        <f>IFERROR(__xludf.DUMMYFUNCTION("""COMPUTED_VALUE"""),"4.Smoothies")</f>
        <v>4.Smoothies</v>
      </c>
      <c r="B33" s="6">
        <f>IFERROR(__xludf.DUMMYFUNCTION("""COMPUTED_VALUE"""),2.0)</f>
        <v>2</v>
      </c>
      <c r="C33" s="6" t="str">
        <f>IFERROR(__xludf.DUMMYFUNCTION("""COMPUTED_VALUE"""),"P0402")</f>
        <v>P0402</v>
      </c>
      <c r="D33" s="5" t="str">
        <f>IFERROR(__xludf.DUMMYFUNCTION("""COMPUTED_VALUE"""),"Dừa khom đá xay")</f>
        <v>Dừa khom đá xay</v>
      </c>
      <c r="E33" s="5" t="str">
        <f>IFERROR(__xludf.DUMMYFUNCTION("""COMPUTED_VALUE"""),"Pinacolada")</f>
        <v>Pinacolada</v>
      </c>
      <c r="F33" s="5" t="str">
        <f>IFERROR(__xludf.DUMMYFUNCTION("""COMPUTED_VALUE"""),"Pinacolada - Dừa khom đá xay")</f>
        <v>Pinacolada - Dừa khom đá xay</v>
      </c>
      <c r="G33" s="5" t="str">
        <f>IFERROR(__xludf.DUMMYFUNCTION("""COMPUTED_VALUE"""),"R")</f>
        <v>R</v>
      </c>
      <c r="H33" s="7">
        <f>IFERROR(__xludf.DUMMYFUNCTION("""COMPUTED_VALUE"""),9.9)</f>
        <v>9.9</v>
      </c>
      <c r="I33" s="8">
        <f>IFERROR(__xludf.DUMMYFUNCTION("""COMPUTED_VALUE"""),11.5)</f>
        <v>11.5</v>
      </c>
      <c r="J33" s="5" t="str">
        <f>IFERROR(__xludf.DUMMYFUNCTION("""COMPUTED_VALUE"""),"Blended Pinacolada with pineapple and coconut creamer")</f>
        <v>Blended Pinacolada with pineapple and coconut creamer</v>
      </c>
      <c r="K33" s="13" t="str">
        <f>IFERROR(__xludf.DUMMYFUNCTION("""COMPUTED_VALUE"""),"https://drive.google.com/file/d/1si1p0BXRXXkNwqDo834t1ggMSOVq9NKq/view?usp=sharing")</f>
        <v>https://drive.google.com/file/d/1si1p0BXRXXkNwqDo834t1ggMSOVq9NKq/view?usp=sharing</v>
      </c>
      <c r="L33" s="10"/>
      <c r="M33" s="10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 t="str">
        <f>IFERROR(__xludf.DUMMYFUNCTION("""COMPUTED_VALUE"""),"4.Smoothies")</f>
        <v>4.Smoothies</v>
      </c>
      <c r="B34" s="6">
        <f>IFERROR(__xludf.DUMMYFUNCTION("""COMPUTED_VALUE"""),3.0)</f>
        <v>3</v>
      </c>
      <c r="C34" s="6" t="str">
        <f>IFERROR(__xludf.DUMMYFUNCTION("""COMPUTED_VALUE"""),"P0403")</f>
        <v>P0403</v>
      </c>
      <c r="D34" s="5" t="str">
        <f>IFERROR(__xludf.DUMMYFUNCTION("""COMPUTED_VALUE"""),"Sinh Tố Dưa Hấu &amp; Vải")</f>
        <v>Sinh Tố Dưa Hấu &amp; Vải</v>
      </c>
      <c r="E34" s="5" t="str">
        <f>IFERROR(__xludf.DUMMYFUNCTION("""COMPUTED_VALUE"""),"Lychee &amp; Watermelon")</f>
        <v>Lychee &amp; Watermelon</v>
      </c>
      <c r="F34" s="5" t="str">
        <f>IFERROR(__xludf.DUMMYFUNCTION("""COMPUTED_VALUE"""),"Lychee &amp; Watermelon - Sinh Tố Dưa Hấu &amp; Vải")</f>
        <v>Lychee &amp; Watermelon - Sinh Tố Dưa Hấu &amp; Vải</v>
      </c>
      <c r="G34" s="5" t="str">
        <f>IFERROR(__xludf.DUMMYFUNCTION("""COMPUTED_VALUE"""),"R")</f>
        <v>R</v>
      </c>
      <c r="H34" s="7">
        <f>IFERROR(__xludf.DUMMYFUNCTION("""COMPUTED_VALUE"""),10.5)</f>
        <v>10.5</v>
      </c>
      <c r="I34" s="8">
        <f>IFERROR(__xludf.DUMMYFUNCTION("""COMPUTED_VALUE"""),11.9)</f>
        <v>11.9</v>
      </c>
      <c r="J34" s="5" t="str">
        <f>IFERROR(__xludf.DUMMYFUNCTION("""COMPUTED_VALUE"""),"Blended Lychee and Watermelon, fresh watermelon with creamer")</f>
        <v>Blended Lychee and Watermelon, fresh watermelon with creamer</v>
      </c>
      <c r="K34" s="13" t="str">
        <f>IFERROR(__xludf.DUMMYFUNCTION("""COMPUTED_VALUE"""),"https://drive.google.com/file/d/1aGJdM1_BMK_Bqy_ylAR3WcmeI1JffL37/view?usp=sharing")</f>
        <v>https://drive.google.com/file/d/1aGJdM1_BMK_Bqy_ylAR3WcmeI1JffL37/view?usp=sharing</v>
      </c>
      <c r="L34" s="10"/>
      <c r="M34" s="10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 t="str">
        <f>IFERROR(__xludf.DUMMYFUNCTION("""COMPUTED_VALUE"""),"4.Smoothies")</f>
        <v>4.Smoothies</v>
      </c>
      <c r="B35" s="6">
        <f>IFERROR(__xludf.DUMMYFUNCTION("""COMPUTED_VALUE"""),4.0)</f>
        <v>4</v>
      </c>
      <c r="C35" s="6" t="str">
        <f>IFERROR(__xludf.DUMMYFUNCTION("""COMPUTED_VALUE"""),"P0404")</f>
        <v>P0404</v>
      </c>
      <c r="D35" s="5" t="str">
        <f>IFERROR(__xludf.DUMMYFUNCTION("""COMPUTED_VALUE"""),"Sinh Tố Xoài Cốt Dừa")</f>
        <v>Sinh Tố Xoài Cốt Dừa</v>
      </c>
      <c r="E35" s="5" t="str">
        <f>IFERROR(__xludf.DUMMYFUNCTION("""COMPUTED_VALUE"""),"Mango Coconut")</f>
        <v>Mango Coconut</v>
      </c>
      <c r="F35" s="5" t="str">
        <f>IFERROR(__xludf.DUMMYFUNCTION("""COMPUTED_VALUE"""),"Mango Coconut - Sinh Tố Xoài Cốt Dừa")</f>
        <v>Mango Coconut - Sinh Tố Xoài Cốt Dừa</v>
      </c>
      <c r="G35" s="5" t="str">
        <f>IFERROR(__xludf.DUMMYFUNCTION("""COMPUTED_VALUE"""),"R")</f>
        <v>R</v>
      </c>
      <c r="H35" s="7">
        <f>IFERROR(__xludf.DUMMYFUNCTION("""COMPUTED_VALUE"""),11.9)</f>
        <v>11.9</v>
      </c>
      <c r="I35" s="8">
        <f>IFERROR(__xludf.DUMMYFUNCTION("""COMPUTED_VALUE"""),13.5)</f>
        <v>13.5</v>
      </c>
      <c r="J35" s="5" t="str">
        <f>IFERROR(__xludf.DUMMYFUNCTION("""COMPUTED_VALUE"""),"Blended Mango with mango cube, Coconut milk, creamer and condense milk")</f>
        <v>Blended Mango with mango cube, Coconut milk, creamer and condense milk</v>
      </c>
      <c r="K35" s="13" t="str">
        <f>IFERROR(__xludf.DUMMYFUNCTION("""COMPUTED_VALUE"""),"https://drive.google.com/file/d/1sdfdIxq75LCAHHGyJ8SqEIYgSA15pfJ2/view?usp=sharing")</f>
        <v>https://drive.google.com/file/d/1sdfdIxq75LCAHHGyJ8SqEIYgSA15pfJ2/view?usp=sharing</v>
      </c>
      <c r="L35" s="10"/>
      <c r="M35" s="10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 t="str">
        <f>IFERROR(__xludf.DUMMYFUNCTION("""COMPUTED_VALUE"""),"4.Smoothies")</f>
        <v>4.Smoothies</v>
      </c>
      <c r="B36" s="6">
        <f>IFERROR(__xludf.DUMMYFUNCTION("""COMPUTED_VALUE"""),5.0)</f>
        <v>5</v>
      </c>
      <c r="C36" s="6" t="str">
        <f>IFERROR(__xludf.DUMMYFUNCTION("""COMPUTED_VALUE"""),"P0405")</f>
        <v>P0405</v>
      </c>
      <c r="D36" s="5" t="str">
        <f>IFERROR(__xludf.DUMMYFUNCTION("""COMPUTED_VALUE"""),"Sinh Tố Dâu")</f>
        <v>Sinh Tố Dâu</v>
      </c>
      <c r="E36" s="5" t="str">
        <f>IFERROR(__xludf.DUMMYFUNCTION("""COMPUTED_VALUE"""),"Strawberry Smoothie")</f>
        <v>Strawberry Smoothie</v>
      </c>
      <c r="F36" s="5" t="str">
        <f>IFERROR(__xludf.DUMMYFUNCTION("""COMPUTED_VALUE"""),"Strawberry Smoothie - Sinh Tố Dâu")</f>
        <v>Strawberry Smoothie - Sinh Tố Dâu</v>
      </c>
      <c r="G36" s="5" t="str">
        <f>IFERROR(__xludf.DUMMYFUNCTION("""COMPUTED_VALUE"""),"R")</f>
        <v>R</v>
      </c>
      <c r="H36" s="7">
        <f>IFERROR(__xludf.DUMMYFUNCTION("""COMPUTED_VALUE"""),9.9)</f>
        <v>9.9</v>
      </c>
      <c r="I36" s="8">
        <f>IFERROR(__xludf.DUMMYFUNCTION("""COMPUTED_VALUE"""),11.5)</f>
        <v>11.5</v>
      </c>
      <c r="J36" s="5" t="str">
        <f>IFERROR(__xludf.DUMMYFUNCTION("""COMPUTED_VALUE"""),"Blended Strawberry with condense milk and Full Cream Milk")</f>
        <v>Blended Strawberry with condense milk and Full Cream Milk</v>
      </c>
      <c r="K36" s="13" t="str">
        <f>IFERROR(__xludf.DUMMYFUNCTION("""COMPUTED_VALUE"""),"https://drive.google.com/file/d/1epRZ_hu062tlI78L9OPttOzapU36-rwg/view?usp=sharing")</f>
        <v>https://drive.google.com/file/d/1epRZ_hu062tlI78L9OPttOzapU36-rwg/view?usp=sharing</v>
      </c>
      <c r="L36" s="10"/>
      <c r="M36" s="10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 t="str">
        <f>IFERROR(__xludf.DUMMYFUNCTION("""COMPUTED_VALUE"""),"4.Smoothies")</f>
        <v>4.Smoothies</v>
      </c>
      <c r="B37" s="6">
        <f>IFERROR(__xludf.DUMMYFUNCTION("""COMPUTED_VALUE"""),6.0)</f>
        <v>6</v>
      </c>
      <c r="C37" s="6" t="str">
        <f>IFERROR(__xludf.DUMMYFUNCTION("""COMPUTED_VALUE"""),"P0406")</f>
        <v>P0406</v>
      </c>
      <c r="D37" s="5" t="str">
        <f>IFERROR(__xludf.DUMMYFUNCTION("""COMPUTED_VALUE"""),"Sinh Tố Sầu Riêng")</f>
        <v>Sinh Tố Sầu Riêng</v>
      </c>
      <c r="E37" s="5" t="str">
        <f>IFERROR(__xludf.DUMMYFUNCTION("""COMPUTED_VALUE"""),"Durian Smoothie")</f>
        <v>Durian Smoothie</v>
      </c>
      <c r="F37" s="5" t="str">
        <f>IFERROR(__xludf.DUMMYFUNCTION("""COMPUTED_VALUE"""),"Durian Smoothie - Sinh Tố Sầu Riêng")</f>
        <v>Durian Smoothie - Sinh Tố Sầu Riêng</v>
      </c>
      <c r="G37" s="5" t="str">
        <f>IFERROR(__xludf.DUMMYFUNCTION("""COMPUTED_VALUE"""),"R")</f>
        <v>R</v>
      </c>
      <c r="H37" s="7">
        <f>IFERROR(__xludf.DUMMYFUNCTION("""COMPUTED_VALUE"""),12.9)</f>
        <v>12.9</v>
      </c>
      <c r="I37" s="8">
        <f>IFERROR(__xludf.DUMMYFUNCTION("""COMPUTED_VALUE"""),14.9)</f>
        <v>14.9</v>
      </c>
      <c r="J37" s="5" t="str">
        <f>IFERROR(__xludf.DUMMYFUNCTION("""COMPUTED_VALUE"""),"Blended Durian with condense milk and Full Cream Milk")</f>
        <v>Blended Durian with condense milk and Full Cream Milk</v>
      </c>
      <c r="K37" s="13" t="str">
        <f>IFERROR(__xludf.DUMMYFUNCTION("""COMPUTED_VALUE"""),"https://drive.google.com/file/d/1BavnwwNozAi1hqFiCLkrSfAnW6V51OvC/view?usp=sharing")</f>
        <v>https://drive.google.com/file/d/1BavnwwNozAi1hqFiCLkrSfAnW6V51OvC/view?usp=sharing</v>
      </c>
      <c r="L37" s="10"/>
      <c r="M37" s="10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 t="str">
        <f>IFERROR(__xludf.DUMMYFUNCTION("""COMPUTED_VALUE"""),"4.Smoothies")</f>
        <v>4.Smoothies</v>
      </c>
      <c r="B38" s="6">
        <f>IFERROR(__xludf.DUMMYFUNCTION("""COMPUTED_VALUE"""),7.0)</f>
        <v>7</v>
      </c>
      <c r="C38" s="6" t="str">
        <f>IFERROR(__xludf.DUMMYFUNCTION("""COMPUTED_VALUE"""),"P0407")</f>
        <v>P0407</v>
      </c>
      <c r="D38" s="5" t="str">
        <f>IFERROR(__xludf.DUMMYFUNCTION("""COMPUTED_VALUE"""),"Sinh tố Mãng Cầu")</f>
        <v>Sinh tố Mãng Cầu</v>
      </c>
      <c r="E38" s="5" t="str">
        <f>IFERROR(__xludf.DUMMYFUNCTION("""COMPUTED_VALUE"""),"Soursop Smoothie")</f>
        <v>Soursop Smoothie</v>
      </c>
      <c r="F38" s="5" t="str">
        <f>IFERROR(__xludf.DUMMYFUNCTION("""COMPUTED_VALUE"""),"Soursop Smoothie - Sinh tố Mãng Cầu")</f>
        <v>Soursop Smoothie - Sinh tố Mãng Cầu</v>
      </c>
      <c r="G38" s="5" t="str">
        <f>IFERROR(__xludf.DUMMYFUNCTION("""COMPUTED_VALUE"""),"R")</f>
        <v>R</v>
      </c>
      <c r="H38" s="7">
        <f>IFERROR(__xludf.DUMMYFUNCTION("""COMPUTED_VALUE"""),11.5)</f>
        <v>11.5</v>
      </c>
      <c r="I38" s="8">
        <f>IFERROR(__xludf.DUMMYFUNCTION("""COMPUTED_VALUE"""),13.5)</f>
        <v>13.5</v>
      </c>
      <c r="J38" s="5" t="str">
        <f>IFERROR(__xludf.DUMMYFUNCTION("""COMPUTED_VALUE"""),"Blended Soursop with Lemon, Full Cream Milk")</f>
        <v>Blended Soursop with Lemon, Full Cream Milk</v>
      </c>
      <c r="K38" s="13" t="str">
        <f>IFERROR(__xludf.DUMMYFUNCTION("""COMPUTED_VALUE"""),"https://drive.google.com/file/d/1CkwWYRo0Z5opTbbutVc0PQlOORXhMW3g/view?usp=drivesdk")</f>
        <v>https://drive.google.com/file/d/1CkwWYRo0Z5opTbbutVc0PQlOORXhMW3g/view?usp=drivesdk</v>
      </c>
      <c r="L38" s="10"/>
      <c r="M38" s="10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 t="str">
        <f>IFERROR(__xludf.DUMMYFUNCTION("""COMPUTED_VALUE"""),"4.Smoothies")</f>
        <v>4.Smoothies</v>
      </c>
      <c r="B39" s="6">
        <f>IFERROR(__xludf.DUMMYFUNCTION("""COMPUTED_VALUE"""),8.0)</f>
        <v>8</v>
      </c>
      <c r="C39" s="6" t="str">
        <f>IFERROR(__xludf.DUMMYFUNCTION("""COMPUTED_VALUE"""),"P0408")</f>
        <v>P0408</v>
      </c>
      <c r="D39" s="5" t="str">
        <f>IFERROR(__xludf.DUMMYFUNCTION("""COMPUTED_VALUE"""),"Sinh Tố Bơ")</f>
        <v>Sinh Tố Bơ</v>
      </c>
      <c r="E39" s="5" t="str">
        <f>IFERROR(__xludf.DUMMYFUNCTION("""COMPUTED_VALUE"""),"Avocado Smoothie")</f>
        <v>Avocado Smoothie</v>
      </c>
      <c r="F39" s="5" t="str">
        <f>IFERROR(__xludf.DUMMYFUNCTION("""COMPUTED_VALUE"""),"Avocado Smoothie - Sinh Tố Bơ")</f>
        <v>Avocado Smoothie - Sinh Tố Bơ</v>
      </c>
      <c r="G39" s="5" t="str">
        <f>IFERROR(__xludf.DUMMYFUNCTION("""COMPUTED_VALUE"""),"R")</f>
        <v>R</v>
      </c>
      <c r="H39" s="7">
        <f>IFERROR(__xludf.DUMMYFUNCTION("""COMPUTED_VALUE"""),10.5)</f>
        <v>10.5</v>
      </c>
      <c r="I39" s="14">
        <f>IFERROR(__xludf.DUMMYFUNCTION("""COMPUTED_VALUE"""),11.9)</f>
        <v>11.9</v>
      </c>
      <c r="J39" s="5" t="str">
        <f>IFERROR(__xludf.DUMMYFUNCTION("""COMPUTED_VALUE"""),"Blended Avocado with condense milk and Full Cream Milk")</f>
        <v>Blended Avocado with condense milk and Full Cream Milk</v>
      </c>
      <c r="K39" s="13" t="str">
        <f>IFERROR(__xludf.DUMMYFUNCTION("""COMPUTED_VALUE"""),"https://drive.google.com/file/d/1aQgW1Cy6GiTXA91ME-pmxtr-ycin2p-3/view?usp=sharing")</f>
        <v>https://drive.google.com/file/d/1aQgW1Cy6GiTXA91ME-pmxtr-ycin2p-3/view?usp=sharing</v>
      </c>
      <c r="L39" s="10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 t="str">
        <f>IFERROR(__xludf.DUMMYFUNCTION("""COMPUTED_VALUE"""),"4.Smoothies")</f>
        <v>4.Smoothies</v>
      </c>
      <c r="B40" s="6">
        <f>IFERROR(__xludf.DUMMYFUNCTION("""COMPUTED_VALUE"""),9.0)</f>
        <v>9</v>
      </c>
      <c r="C40" s="6" t="str">
        <f>IFERROR(__xludf.DUMMYFUNCTION("""COMPUTED_VALUE"""),"P0409")</f>
        <v>P0409</v>
      </c>
      <c r="D40" s="5" t="str">
        <f>IFERROR(__xludf.DUMMYFUNCTION("""COMPUTED_VALUE"""),"Sinh Tố Bơ Dừa &amp; Mè Đen")</f>
        <v>Sinh Tố Bơ Dừa &amp; Mè Đen</v>
      </c>
      <c r="E40" s="5" t="str">
        <f>IFERROR(__xludf.DUMMYFUNCTION("""COMPUTED_VALUE"""),"Avocado, Coconut &amp; Black Sesame")</f>
        <v>Avocado, Coconut &amp; Black Sesame</v>
      </c>
      <c r="F40" s="5" t="str">
        <f>IFERROR(__xludf.DUMMYFUNCTION("""COMPUTED_VALUE"""),"Avocado, Coconut &amp; Black Sesame - Sinh Tố Bơ Dừa &amp; Mè Đen")</f>
        <v>Avocado, Coconut &amp; Black Sesame - Sinh Tố Bơ Dừa &amp; Mè Đen</v>
      </c>
      <c r="G40" s="5" t="str">
        <f>IFERROR(__xludf.DUMMYFUNCTION("""COMPUTED_VALUE"""),"R")</f>
        <v>R</v>
      </c>
      <c r="H40" s="7">
        <f>IFERROR(__xludf.DUMMYFUNCTION("""COMPUTED_VALUE"""),13.9)</f>
        <v>13.9</v>
      </c>
      <c r="I40" s="14">
        <f>IFERROR(__xludf.DUMMYFUNCTION("""COMPUTED_VALUE"""),15.9)</f>
        <v>15.9</v>
      </c>
      <c r="J40" s="5" t="str">
        <f>IFERROR(__xludf.DUMMYFUNCTION("""COMPUTED_VALUE"""),"Blended Avocado, young Coconut &amp; Sesame with coconut cream")</f>
        <v>Blended Avocado, young Coconut &amp; Sesame with coconut cream</v>
      </c>
      <c r="K40" s="13" t="str">
        <f>IFERROR(__xludf.DUMMYFUNCTION("""COMPUTED_VALUE"""),"https://drive.google.com/file/d/1hCSUC2KgOet8fn9rcre9987IZOE-Z0Vr/view?usp=sharing")</f>
        <v>https://drive.google.com/file/d/1hCSUC2KgOet8fn9rcre9987IZOE-Z0Vr/view?usp=sharing</v>
      </c>
      <c r="L40" s="10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tr">
        <f>IFERROR(__xludf.DUMMYFUNCTION("""COMPUTED_VALUE"""),"4.Smoothies")</f>
        <v>4.Smoothies</v>
      </c>
      <c r="B41" s="6">
        <f>IFERROR(__xludf.DUMMYFUNCTION("""COMPUTED_VALUE"""),10.0)</f>
        <v>10</v>
      </c>
      <c r="C41" s="6" t="str">
        <f>IFERROR(__xludf.DUMMYFUNCTION("""COMPUTED_VALUE"""),"P0410")</f>
        <v>P0410</v>
      </c>
      <c r="D41" s="5" t="str">
        <f>IFERROR(__xludf.DUMMYFUNCTION("""COMPUTED_VALUE"""),"Sinh Tố Bơ Cà Phê")</f>
        <v>Sinh Tố Bơ Cà Phê</v>
      </c>
      <c r="E41" s="5" t="str">
        <f>IFERROR(__xludf.DUMMYFUNCTION("""COMPUTED_VALUE"""),"Avocado &amp; Coffee")</f>
        <v>Avocado &amp; Coffee</v>
      </c>
      <c r="F41" s="5" t="str">
        <f>IFERROR(__xludf.DUMMYFUNCTION("""COMPUTED_VALUE"""),"Avocado &amp; Coffee - Sinh Tố Bơ Cà Phê")</f>
        <v>Avocado &amp; Coffee - Sinh Tố Bơ Cà Phê</v>
      </c>
      <c r="G41" s="5" t="str">
        <f>IFERROR(__xludf.DUMMYFUNCTION("""COMPUTED_VALUE"""),"R")</f>
        <v>R</v>
      </c>
      <c r="H41" s="7">
        <f>IFERROR(__xludf.DUMMYFUNCTION("""COMPUTED_VALUE"""),10.5)</f>
        <v>10.5</v>
      </c>
      <c r="I41" s="14">
        <f>IFERROR(__xludf.DUMMYFUNCTION("""COMPUTED_VALUE"""),11.9)</f>
        <v>11.9</v>
      </c>
      <c r="J41" s="5" t="str">
        <f>IFERROR(__xludf.DUMMYFUNCTION("""COMPUTED_VALUE"""),"Blended Avocado with condense milk , Full Cream Milk &amp; Coffee")</f>
        <v>Blended Avocado with condense milk , Full Cream Milk &amp; Coffee</v>
      </c>
      <c r="K41" s="13" t="str">
        <f>IFERROR(__xludf.DUMMYFUNCTION("""COMPUTED_VALUE"""),"https://drive.google.com/file/d/1vbp98bm7qNMDqKlMBkq7DC4uLNyen1LD/view?usp=sharing")</f>
        <v>https://drive.google.com/file/d/1vbp98bm7qNMDqKlMBkq7DC4uLNyen1LD/view?usp=sharing</v>
      </c>
      <c r="L41" s="10"/>
      <c r="M41" s="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 t="str">
        <f>IFERROR(__xludf.DUMMYFUNCTION("""COMPUTED_VALUE"""),"4.Smoothies")</f>
        <v>4.Smoothies</v>
      </c>
      <c r="B42" s="6">
        <f>IFERROR(__xludf.DUMMYFUNCTION("""COMPUTED_VALUE"""),11.0)</f>
        <v>11</v>
      </c>
      <c r="C42" s="6" t="str">
        <f>IFERROR(__xludf.DUMMYFUNCTION("""COMPUTED_VALUE"""),"P0411")</f>
        <v>P0411</v>
      </c>
      <c r="D42" s="5" t="str">
        <f>IFERROR(__xludf.DUMMYFUNCTION("""COMPUTED_VALUE"""),"Sinh Tố Bơ Dừa")</f>
        <v>Sinh Tố Bơ Dừa</v>
      </c>
      <c r="E42" s="5" t="str">
        <f>IFERROR(__xludf.DUMMYFUNCTION("""COMPUTED_VALUE"""),"Avocado &amp; Coconut")</f>
        <v>Avocado &amp; Coconut</v>
      </c>
      <c r="F42" s="5" t="str">
        <f>IFERROR(__xludf.DUMMYFUNCTION("""COMPUTED_VALUE"""),"Avocado &amp; Coconut - Sinh Tố Bơ Dừa")</f>
        <v>Avocado &amp; Coconut - Sinh Tố Bơ Dừa</v>
      </c>
      <c r="G42" s="5" t="str">
        <f>IFERROR(__xludf.DUMMYFUNCTION("""COMPUTED_VALUE"""),"R")</f>
        <v>R</v>
      </c>
      <c r="H42" s="7">
        <f>IFERROR(__xludf.DUMMYFUNCTION("""COMPUTED_VALUE"""),11.5)</f>
        <v>11.5</v>
      </c>
      <c r="I42" s="14">
        <f>IFERROR(__xludf.DUMMYFUNCTION("""COMPUTED_VALUE"""),13.5)</f>
        <v>13.5</v>
      </c>
      <c r="J42" s="5" t="str">
        <f>IFERROR(__xludf.DUMMYFUNCTION("""COMPUTED_VALUE"""),"Blended Avocado &amp; young Coconut with Coconut Cream and condense milke")</f>
        <v>Blended Avocado &amp; young Coconut with Coconut Cream and condense milke</v>
      </c>
      <c r="K42" s="13" t="str">
        <f>IFERROR(__xludf.DUMMYFUNCTION("""COMPUTED_VALUE"""),"https://drive.google.com/file/d/1NhYcQ_yeFrGhD3C89spp-taw-ybo68Ql/view?usp=sharing")</f>
        <v>https://drive.google.com/file/d/1NhYcQ_yeFrGhD3C89spp-taw-ybo68Ql/view?usp=sharing</v>
      </c>
      <c r="L42" s="10"/>
      <c r="M42" s="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 t="str">
        <f>IFERROR(__xludf.DUMMYFUNCTION("""COMPUTED_VALUE"""),"4.Smoothies")</f>
        <v>4.Smoothies</v>
      </c>
      <c r="B43" s="6">
        <f>IFERROR(__xludf.DUMMYFUNCTION("""COMPUTED_VALUE"""),12.0)</f>
        <v>12</v>
      </c>
      <c r="C43" s="6" t="str">
        <f>IFERROR(__xludf.DUMMYFUNCTION("""COMPUTED_VALUE"""),"P0412")</f>
        <v>P0412</v>
      </c>
      <c r="D43" s="5" t="str">
        <f>IFERROR(__xludf.DUMMYFUNCTION("""COMPUTED_VALUE"""),"Sinh Tố Bơ Sầu Riêng")</f>
        <v>Sinh Tố Bơ Sầu Riêng</v>
      </c>
      <c r="E43" s="5" t="str">
        <f>IFERROR(__xludf.DUMMYFUNCTION("""COMPUTED_VALUE"""),"Avocado Durian")</f>
        <v>Avocado Durian</v>
      </c>
      <c r="F43" s="5" t="str">
        <f>IFERROR(__xludf.DUMMYFUNCTION("""COMPUTED_VALUE"""),"Avocado Durian - Sinh Tố Bơ Sầu Riêng")</f>
        <v>Avocado Durian - Sinh Tố Bơ Sầu Riêng</v>
      </c>
      <c r="G43" s="5" t="str">
        <f>IFERROR(__xludf.DUMMYFUNCTION("""COMPUTED_VALUE"""),"R")</f>
        <v>R</v>
      </c>
      <c r="H43" s="7">
        <f>IFERROR(__xludf.DUMMYFUNCTION("""COMPUTED_VALUE"""),12.9)</f>
        <v>12.9</v>
      </c>
      <c r="I43" s="8">
        <f>IFERROR(__xludf.DUMMYFUNCTION("""COMPUTED_VALUE"""),14.9)</f>
        <v>14.9</v>
      </c>
      <c r="J43" s="5" t="str">
        <f>IFERROR(__xludf.DUMMYFUNCTION("""COMPUTED_VALUE"""),"Blended Avocado &amp; Durian with condense milk and Full Cream Milk")</f>
        <v>Blended Avocado &amp; Durian with condense milk and Full Cream Milk</v>
      </c>
      <c r="K43" s="9" t="str">
        <f>IFERROR(__xludf.DUMMYFUNCTION("""COMPUTED_VALUE"""),"https://drive.google.com/file/d/1Xe34dlgErsYNiV86pYxvpisDnu_qJoWt/view?usp=sharing")</f>
        <v>https://drive.google.com/file/d/1Xe34dlgErsYNiV86pYxvpisDnu_qJoWt/view?usp=sharing</v>
      </c>
      <c r="L43" s="10"/>
      <c r="M43" s="10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 t="str">
        <f>IFERROR(__xludf.DUMMYFUNCTION("""COMPUTED_VALUE"""),"5.Pennywort Drinks")</f>
        <v>5.Pennywort Drinks</v>
      </c>
      <c r="B44" s="6">
        <f>IFERROR(__xludf.DUMMYFUNCTION("""COMPUTED_VALUE"""),1.0)</f>
        <v>1</v>
      </c>
      <c r="C44" s="6" t="str">
        <f>IFERROR(__xludf.DUMMYFUNCTION("""COMPUTED_VALUE"""),"P0501")</f>
        <v>P0501</v>
      </c>
      <c r="D44" s="5" t="str">
        <f>IFERROR(__xludf.DUMMYFUNCTION("""COMPUTED_VALUE"""),"Rau Má Cốt Dừa Đậu Xanh")</f>
        <v>Rau Má Cốt Dừa Đậu Xanh</v>
      </c>
      <c r="E44" s="5" t="str">
        <f>IFERROR(__xludf.DUMMYFUNCTION("""COMPUTED_VALUE"""),"Pennywort &amp; Coconut  w Mungbean")</f>
        <v>Pennywort &amp; Coconut  w Mungbean</v>
      </c>
      <c r="F44" s="5" t="str">
        <f>IFERROR(__xludf.DUMMYFUNCTION("""COMPUTED_VALUE"""),"Pennywort &amp; Coconut  w Mungbean - Rau Má Cốt Dừa Đậu Xanh")</f>
        <v>Pennywort &amp; Coconut  w Mungbean - Rau Má Cốt Dừa Đậu Xanh</v>
      </c>
      <c r="G44" s="5"/>
      <c r="H44" s="7">
        <f>IFERROR(__xludf.DUMMYFUNCTION("""COMPUTED_VALUE"""),9.9)</f>
        <v>9.9</v>
      </c>
      <c r="I44" s="8">
        <f>IFERROR(__xludf.DUMMYFUNCTION("""COMPUTED_VALUE"""),11.5)</f>
        <v>11.5</v>
      </c>
      <c r="J44" s="5" t="str">
        <f>IFERROR(__xludf.DUMMYFUNCTION("""COMPUTED_VALUE"""),"Pennywort Juice with coconut milk and mung bean")</f>
        <v>Pennywort Juice with coconut milk and mung bean</v>
      </c>
      <c r="K44" s="9" t="str">
        <f>IFERROR(__xludf.DUMMYFUNCTION("""COMPUTED_VALUE"""),"https://drive.google.com/file/d/1LO6NiPDZ-nikNo3FPzCTI-x2EByYjX_w/view?usp=sharing")</f>
        <v>https://drive.google.com/file/d/1LO6NiPDZ-nikNo3FPzCTI-x2EByYjX_w/view?usp=sharing</v>
      </c>
      <c r="L44" s="10"/>
      <c r="M44" s="10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 t="str">
        <f>IFERROR(__xludf.DUMMYFUNCTION("""COMPUTED_VALUE"""),"5.Pennywort Drinks")</f>
        <v>5.Pennywort Drinks</v>
      </c>
      <c r="B45" s="6">
        <f>IFERROR(__xludf.DUMMYFUNCTION("""COMPUTED_VALUE"""),2.0)</f>
        <v>2</v>
      </c>
      <c r="C45" s="6" t="str">
        <f>IFERROR(__xludf.DUMMYFUNCTION("""COMPUTED_VALUE"""),"P0502")</f>
        <v>P0502</v>
      </c>
      <c r="D45" s="5" t="str">
        <f>IFERROR(__xludf.DUMMYFUNCTION("""COMPUTED_VALUE"""),"Rau Má Nước Dừa/ Rau má đậu xanh")</f>
        <v>Rau Má Nước Dừa/ Rau má đậu xanh</v>
      </c>
      <c r="E45" s="5" t="str">
        <f>IFERROR(__xludf.DUMMYFUNCTION("""COMPUTED_VALUE"""),"Pennywort &amp; Coconut / Pennywort &amp; Mungbean")</f>
        <v>Pennywort &amp; Coconut / Pennywort &amp; Mungbean</v>
      </c>
      <c r="F45" s="5" t="str">
        <f>IFERROR(__xludf.DUMMYFUNCTION("""COMPUTED_VALUE"""),"Pennywort &amp; Coconut / Pennywort &amp; Mungbean - Rau Má Nước Dừa/ Rau má đậu xanh")</f>
        <v>Pennywort &amp; Coconut / Pennywort &amp; Mungbean - Rau Má Nước Dừa/ Rau má đậu xanh</v>
      </c>
      <c r="G45" s="5"/>
      <c r="H45" s="7">
        <f>IFERROR(__xludf.DUMMYFUNCTION("""COMPUTED_VALUE"""),9.9)</f>
        <v>9.9</v>
      </c>
      <c r="I45" s="8">
        <f>IFERROR(__xludf.DUMMYFUNCTION("""COMPUTED_VALUE"""),11.5)</f>
        <v>11.5</v>
      </c>
      <c r="J45" s="5" t="str">
        <f>IFERROR(__xludf.DUMMYFUNCTION("""COMPUTED_VALUE"""),"Pennywort Juice with Coconut juice and mung bean")</f>
        <v>Pennywort Juice with Coconut juice and mung bean</v>
      </c>
      <c r="K45" s="9" t="str">
        <f>IFERROR(__xludf.DUMMYFUNCTION("""COMPUTED_VALUE"""),"https://drive.google.com/file/d/1gkfAGuRM2TV6tCT4rTlecSvlJzBG6Xh8/view?usp=sharing")</f>
        <v>https://drive.google.com/file/d/1gkfAGuRM2TV6tCT4rTlecSvlJzBG6Xh8/view?usp=sharing</v>
      </c>
      <c r="L45" s="10"/>
      <c r="M45" s="10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 t="str">
        <f>IFERROR(__xludf.DUMMYFUNCTION("""COMPUTED_VALUE"""),"5.Pennywort Drinks")</f>
        <v>5.Pennywort Drinks</v>
      </c>
      <c r="B46" s="6">
        <f>IFERROR(__xludf.DUMMYFUNCTION("""COMPUTED_VALUE"""),3.0)</f>
        <v>3</v>
      </c>
      <c r="C46" s="6" t="str">
        <f>IFERROR(__xludf.DUMMYFUNCTION("""COMPUTED_VALUE"""),"P0503")</f>
        <v>P0503</v>
      </c>
      <c r="D46" s="5" t="str">
        <f>IFERROR(__xludf.DUMMYFUNCTION("""COMPUTED_VALUE"""),"Rau Má")</f>
        <v>Rau Má</v>
      </c>
      <c r="E46" s="5" t="str">
        <f>IFERROR(__xludf.DUMMYFUNCTION("""COMPUTED_VALUE"""),"Pennywort Juice")</f>
        <v>Pennywort Juice</v>
      </c>
      <c r="F46" s="5" t="str">
        <f>IFERROR(__xludf.DUMMYFUNCTION("""COMPUTED_VALUE"""),"Pennywort Juice - Rau Má")</f>
        <v>Pennywort Juice - Rau Má</v>
      </c>
      <c r="G46" s="5"/>
      <c r="H46" s="7">
        <f>IFERROR(__xludf.DUMMYFUNCTION("""COMPUTED_VALUE"""),8.5)</f>
        <v>8.5</v>
      </c>
      <c r="I46" s="8">
        <f>IFERROR(__xludf.DUMMYFUNCTION("""COMPUTED_VALUE"""),9.9)</f>
        <v>9.9</v>
      </c>
      <c r="J46" s="5" t="str">
        <f>IFERROR(__xludf.DUMMYFUNCTION("""COMPUTED_VALUE"""),"Pennywort Juice")</f>
        <v>Pennywort Juice</v>
      </c>
      <c r="K46" s="9" t="str">
        <f>IFERROR(__xludf.DUMMYFUNCTION("""COMPUTED_VALUE"""),"https://drive.google.com/file/d/1P5BZOPLvYPC9LWyWCwv1vJHhPzWxd4ud/view?usp=sharing")</f>
        <v>https://drive.google.com/file/d/1P5BZOPLvYPC9LWyWCwv1vJHhPzWxd4ud/view?usp=sharing</v>
      </c>
      <c r="L46" s="10"/>
      <c r="M46" s="10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 t="str">
        <f>IFERROR(__xludf.DUMMYFUNCTION("""COMPUTED_VALUE"""),"6.Iced Coffee")</f>
        <v>6.Iced Coffee</v>
      </c>
      <c r="B47" s="6">
        <f>IFERROR(__xludf.DUMMYFUNCTION("""COMPUTED_VALUE"""),1.0)</f>
        <v>1</v>
      </c>
      <c r="C47" s="6" t="str">
        <f>IFERROR(__xludf.DUMMYFUNCTION("""COMPUTED_VALUE"""),"P0601")</f>
        <v>P0601</v>
      </c>
      <c r="D47" s="5" t="str">
        <f>IFERROR(__xludf.DUMMYFUNCTION("""COMPUTED_VALUE"""),"Cà Phê Muối (Đá)")</f>
        <v>Cà Phê Muối (Đá)</v>
      </c>
      <c r="E47" s="5" t="str">
        <f>IFERROR(__xludf.DUMMYFUNCTION("""COMPUTED_VALUE"""),"Vietnamese Salted Coffee (Iced)")</f>
        <v>Vietnamese Salted Coffee (Iced)</v>
      </c>
      <c r="F47" s="5" t="str">
        <f>IFERROR(__xludf.DUMMYFUNCTION("""COMPUTED_VALUE"""),"Vietnamese Salted Coffee (Iced) - Cà Phê Muối (Đá)")</f>
        <v>Vietnamese Salted Coffee (Iced) - Cà Phê Muối (Đá)</v>
      </c>
      <c r="G47" s="5" t="str">
        <f>IFERROR(__xludf.DUMMYFUNCTION("""COMPUTED_VALUE"""),"R")</f>
        <v>R</v>
      </c>
      <c r="H47" s="7">
        <f>IFERROR(__xludf.DUMMYFUNCTION("""COMPUTED_VALUE"""),10.0)</f>
        <v>10</v>
      </c>
      <c r="I47" s="8">
        <f>IFERROR(__xludf.DUMMYFUNCTION("""COMPUTED_VALUE"""),11.5)</f>
        <v>11.5</v>
      </c>
      <c r="J47" s="5" t="str">
        <f>IFERROR(__xludf.DUMMYFUNCTION("""COMPUTED_VALUE"""),"Condensed milk cofee and salted cream")</f>
        <v>Condensed milk cofee and salted cream</v>
      </c>
      <c r="K47" s="9" t="str">
        <f>IFERROR(__xludf.DUMMYFUNCTION("""COMPUTED_VALUE"""),"https://drive.google.com/file/d/1D3ct4Pc9Dyec1b-8pq2oTzon4oeKx23I/view?usp=sharing")</f>
        <v>https://drive.google.com/file/d/1D3ct4Pc9Dyec1b-8pq2oTzon4oeKx23I/view?usp=sharing</v>
      </c>
      <c r="L47" s="10"/>
      <c r="M47" s="10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 t="str">
        <f>IFERROR(__xludf.DUMMYFUNCTION("""COMPUTED_VALUE"""),"6.Iced Coffee")</f>
        <v>6.Iced Coffee</v>
      </c>
      <c r="D48" s="5" t="str">
        <f>IFERROR(__xludf.DUMMYFUNCTION("""COMPUTED_VALUE"""),"Cà Phê Muối (Đá)")</f>
        <v>Cà Phê Muối (Đá)</v>
      </c>
      <c r="E48" s="5" t="str">
        <f>IFERROR(__xludf.DUMMYFUNCTION("""COMPUTED_VALUE"""),"Vietnamese Salted Coffee (Iced)")</f>
        <v>Vietnamese Salted Coffee (Iced)</v>
      </c>
      <c r="F48" s="5" t="str">
        <f>IFERROR(__xludf.DUMMYFUNCTION("""COMPUTED_VALUE"""),"Vietnamese Salted Coffee (Iced) - Cà Phê Muối (Đá)")</f>
        <v>Vietnamese Salted Coffee (Iced) - Cà Phê Muối (Đá)</v>
      </c>
      <c r="G48" s="5" t="str">
        <f>IFERROR(__xludf.DUMMYFUNCTION("""COMPUTED_VALUE"""),"L")</f>
        <v>L</v>
      </c>
      <c r="H48" s="7">
        <f>IFERROR(__xludf.DUMMYFUNCTION("""COMPUTED_VALUE"""),12.9)</f>
        <v>12.9</v>
      </c>
      <c r="I48" s="8">
        <f>IFERROR(__xludf.DUMMYFUNCTION("""COMPUTED_VALUE"""),14.9)</f>
        <v>14.9</v>
      </c>
      <c r="J48" s="5" t="str">
        <f>IFERROR(__xludf.DUMMYFUNCTION("""COMPUTED_VALUE"""),"Condensed milk cofee and salted cream")</f>
        <v>Condensed milk cofee and salted cream</v>
      </c>
      <c r="K48" s="11"/>
      <c r="L48" s="10"/>
      <c r="M48" s="10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 t="str">
        <f>IFERROR(__xludf.DUMMYFUNCTION("""COMPUTED_VALUE"""),"6.Iced Coffee")</f>
        <v>6.Iced Coffee</v>
      </c>
      <c r="B49" s="6">
        <f>IFERROR(__xludf.DUMMYFUNCTION("""COMPUTED_VALUE"""),2.0)</f>
        <v>2</v>
      </c>
      <c r="C49" s="6" t="str">
        <f>IFERROR(__xludf.DUMMYFUNCTION("""COMPUTED_VALUE"""),"P0602")</f>
        <v>P0602</v>
      </c>
      <c r="D49" s="5" t="str">
        <f>IFERROR(__xludf.DUMMYFUNCTION("""COMPUTED_VALUE"""),"Cà Phê Muối (Frap)")</f>
        <v>Cà Phê Muối (Frap)</v>
      </c>
      <c r="E49" s="5" t="str">
        <f>IFERROR(__xludf.DUMMYFUNCTION("""COMPUTED_VALUE"""),"Iced Frap (Coffee)")</f>
        <v>Iced Frap (Coffee)</v>
      </c>
      <c r="F49" s="5" t="str">
        <f>IFERROR(__xludf.DUMMYFUNCTION("""COMPUTED_VALUE"""),"Iced Frap (Coffee) - Cà Phê Muối (Frap)")</f>
        <v>Iced Frap (Coffee) - Cà Phê Muối (Frap)</v>
      </c>
      <c r="G49" s="5" t="str">
        <f>IFERROR(__xludf.DUMMYFUNCTION("""COMPUTED_VALUE"""),"R")</f>
        <v>R</v>
      </c>
      <c r="H49" s="7">
        <f>IFERROR(__xludf.DUMMYFUNCTION("""COMPUTED_VALUE"""),9.9)</f>
        <v>9.9</v>
      </c>
      <c r="I49" s="8">
        <f>IFERROR(__xludf.DUMMYFUNCTION("""COMPUTED_VALUE"""),11.5)</f>
        <v>11.5</v>
      </c>
      <c r="J49" s="5" t="str">
        <f>IFERROR(__xludf.DUMMYFUNCTION("""COMPUTED_VALUE"""),"Blended Condensed Milk Coffee and Salted cream")</f>
        <v>Blended Condensed Milk Coffee and Salted cream</v>
      </c>
      <c r="K49" s="11"/>
      <c r="L49" s="10"/>
      <c r="M49" s="10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 t="str">
        <f>IFERROR(__xludf.DUMMYFUNCTION("""COMPUTED_VALUE"""),"6.Iced Coffee")</f>
        <v>6.Iced Coffee</v>
      </c>
      <c r="D50" s="5" t="str">
        <f>IFERROR(__xludf.DUMMYFUNCTION("""COMPUTED_VALUE"""),"Cà Phê Muối (Frap)")</f>
        <v>Cà Phê Muối (Frap)</v>
      </c>
      <c r="E50" s="5" t="str">
        <f>IFERROR(__xludf.DUMMYFUNCTION("""COMPUTED_VALUE"""),"Iced Frap (Coffee)")</f>
        <v>Iced Frap (Coffee)</v>
      </c>
      <c r="F50" s="5" t="str">
        <f>IFERROR(__xludf.DUMMYFUNCTION("""COMPUTED_VALUE"""),"Iced Frap (Coffee) - Cà Phê Muối (Frap)")</f>
        <v>Iced Frap (Coffee) - Cà Phê Muối (Frap)</v>
      </c>
      <c r="G50" s="5" t="str">
        <f>IFERROR(__xludf.DUMMYFUNCTION("""COMPUTED_VALUE"""),"L")</f>
        <v>L</v>
      </c>
      <c r="H50" s="7">
        <f>IFERROR(__xludf.DUMMYFUNCTION("""COMPUTED_VALUE"""),11.9)</f>
        <v>11.9</v>
      </c>
      <c r="I50" s="8">
        <f>IFERROR(__xludf.DUMMYFUNCTION("""COMPUTED_VALUE"""),13.5)</f>
        <v>13.5</v>
      </c>
      <c r="J50" s="5" t="str">
        <f>IFERROR(__xludf.DUMMYFUNCTION("""COMPUTED_VALUE"""),"Blended Condensed Milk Coffee and Salted cream")</f>
        <v>Blended Condensed Milk Coffee and Salted cream</v>
      </c>
      <c r="K50" s="11"/>
      <c r="L50" s="10"/>
      <c r="M50" s="10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 t="str">
        <f>IFERROR(__xludf.DUMMYFUNCTION("""COMPUTED_VALUE"""),"6.Iced Coffee")</f>
        <v>6.Iced Coffee</v>
      </c>
      <c r="B51" s="6">
        <f>IFERROR(__xludf.DUMMYFUNCTION("""COMPUTED_VALUE"""),3.0)</f>
        <v>3</v>
      </c>
      <c r="C51" s="6" t="str">
        <f>IFERROR(__xludf.DUMMYFUNCTION("""COMPUTED_VALUE"""),"P0603")</f>
        <v>P0603</v>
      </c>
      <c r="D51" s="5" t="str">
        <f>IFERROR(__xludf.DUMMYFUNCTION("""COMPUTED_VALUE"""),"Cà Phê Dừa (Đá)")</f>
        <v>Cà Phê Dừa (Đá)</v>
      </c>
      <c r="E51" s="5" t="str">
        <f>IFERROR(__xludf.DUMMYFUNCTION("""COMPUTED_VALUE"""),"Vietnamese Coconut Coffee (Iced)")</f>
        <v>Vietnamese Coconut Coffee (Iced)</v>
      </c>
      <c r="F51" s="5" t="str">
        <f>IFERROR(__xludf.DUMMYFUNCTION("""COMPUTED_VALUE"""),"Vietnamese Coconut Coffee (Iced) - Cà Phê Dừa (Đá)")</f>
        <v>Vietnamese Coconut Coffee (Iced) - Cà Phê Dừa (Đá)</v>
      </c>
      <c r="G51" s="5" t="str">
        <f>IFERROR(__xludf.DUMMYFUNCTION("""COMPUTED_VALUE"""),"R")</f>
        <v>R</v>
      </c>
      <c r="H51" s="7">
        <f>IFERROR(__xludf.DUMMYFUNCTION("""COMPUTED_VALUE"""),8.9)</f>
        <v>8.9</v>
      </c>
      <c r="I51" s="8">
        <f>IFERROR(__xludf.DUMMYFUNCTION("""COMPUTED_VALUE"""),10.5)</f>
        <v>10.5</v>
      </c>
      <c r="J51" s="5" t="str">
        <f>IFERROR(__xludf.DUMMYFUNCTION("""COMPUTED_VALUE"""),"Condensed Milk Coffee and coconut cream")</f>
        <v>Condensed Milk Coffee and coconut cream</v>
      </c>
      <c r="K51" s="9" t="str">
        <f>IFERROR(__xludf.DUMMYFUNCTION("""COMPUTED_VALUE"""),"https://drive.google.com/file/d/1PVCXX1A0pGD9571_gFEjQWBVSD9Y5-4a/view?usp=sharing")</f>
        <v>https://drive.google.com/file/d/1PVCXX1A0pGD9571_gFEjQWBVSD9Y5-4a/view?usp=sharing</v>
      </c>
      <c r="L51" s="10"/>
      <c r="M51" s="10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 t="str">
        <f>IFERROR(__xludf.DUMMYFUNCTION("""COMPUTED_VALUE"""),"6.Iced Coffee")</f>
        <v>6.Iced Coffee</v>
      </c>
      <c r="D52" s="5" t="str">
        <f>IFERROR(__xludf.DUMMYFUNCTION("""COMPUTED_VALUE"""),"Cà Phê Dừa (Đá)")</f>
        <v>Cà Phê Dừa (Đá)</v>
      </c>
      <c r="E52" s="5" t="str">
        <f>IFERROR(__xludf.DUMMYFUNCTION("""COMPUTED_VALUE"""),"Vietnamese Coconut Coffee (Iced)")</f>
        <v>Vietnamese Coconut Coffee (Iced)</v>
      </c>
      <c r="F52" s="5" t="str">
        <f>IFERROR(__xludf.DUMMYFUNCTION("""COMPUTED_VALUE"""),"Vietnamese Coconut Coffee (Iced) - Cà Phê Dừa (Đá)")</f>
        <v>Vietnamese Coconut Coffee (Iced) - Cà Phê Dừa (Đá)</v>
      </c>
      <c r="G52" s="5" t="str">
        <f>IFERROR(__xludf.DUMMYFUNCTION("""COMPUTED_VALUE"""),"L")</f>
        <v>L</v>
      </c>
      <c r="H52" s="7">
        <f>IFERROR(__xludf.DUMMYFUNCTION("""COMPUTED_VALUE"""),10.9)</f>
        <v>10.9</v>
      </c>
      <c r="I52" s="8">
        <f>IFERROR(__xludf.DUMMYFUNCTION("""COMPUTED_VALUE"""),12.5)</f>
        <v>12.5</v>
      </c>
      <c r="J52" s="5" t="str">
        <f>IFERROR(__xludf.DUMMYFUNCTION("""COMPUTED_VALUE"""),"Condensed Milk Coffee and coconut cream")</f>
        <v>Condensed Milk Coffee and coconut cream</v>
      </c>
      <c r="K52" s="13" t="str">
        <f>IFERROR(__xludf.DUMMYFUNCTION("""COMPUTED_VALUE"""),"https://drive.google.com/file/d/1PVCXX1A0pGD9571_gFEjQWBVSD9Y5-4a/view?usp=sharing")</f>
        <v>https://drive.google.com/file/d/1PVCXX1A0pGD9571_gFEjQWBVSD9Y5-4a/view?usp=sharing</v>
      </c>
      <c r="L52" s="10"/>
      <c r="M52" s="1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 t="str">
        <f>IFERROR(__xludf.DUMMYFUNCTION("""COMPUTED_VALUE"""),"6.Iced Coffee")</f>
        <v>6.Iced Coffee</v>
      </c>
      <c r="B53" s="6">
        <f>IFERROR(__xludf.DUMMYFUNCTION("""COMPUTED_VALUE"""),4.0)</f>
        <v>4</v>
      </c>
      <c r="C53" s="6" t="str">
        <f>IFERROR(__xludf.DUMMYFUNCTION("""COMPUTED_VALUE"""),"P0604")</f>
        <v>P0604</v>
      </c>
      <c r="D53" s="5" t="str">
        <f>IFERROR(__xludf.DUMMYFUNCTION("""COMPUTED_VALUE"""),"Cà Phê Bạc Xỉu (Đá)")</f>
        <v>Cà Phê Bạc Xỉu (Đá)</v>
      </c>
      <c r="E53" s="5" t="str">
        <f>IFERROR(__xludf.DUMMYFUNCTION("""COMPUTED_VALUE"""),"Vietnamese White Coffee")</f>
        <v>Vietnamese White Coffee</v>
      </c>
      <c r="F53" s="5" t="str">
        <f>IFERROR(__xludf.DUMMYFUNCTION("""COMPUTED_VALUE"""),"Vietnamese White Coffee - Cà Phê Bạc Xỉu (Đá)")</f>
        <v>Vietnamese White Coffee - Cà Phê Bạc Xỉu (Đá)</v>
      </c>
      <c r="G53" s="5" t="str">
        <f>IFERROR(__xludf.DUMMYFUNCTION("""COMPUTED_VALUE"""),"S")</f>
        <v>S</v>
      </c>
      <c r="H53" s="7">
        <f>IFERROR(__xludf.DUMMYFUNCTION("""COMPUTED_VALUE"""),6.0)</f>
        <v>6</v>
      </c>
      <c r="I53" s="8">
        <f>IFERROR(__xludf.DUMMYFUNCTION("""COMPUTED_VALUE"""),6.9)</f>
        <v>6.9</v>
      </c>
      <c r="J53" s="5" t="str">
        <f>IFERROR(__xludf.DUMMYFUNCTION("""COMPUTED_VALUE"""),"Condensed Milk Coffee with Creamy Fresh Milk")</f>
        <v>Condensed Milk Coffee with Creamy Fresh Milk</v>
      </c>
      <c r="K53" s="9" t="str">
        <f>IFERROR(__xludf.DUMMYFUNCTION("""COMPUTED_VALUE"""),"https://drive.google.com/file/d/1V_J5eQXpylKRp45jb2nf91PlXEliBVHT/view?usp=sharing")</f>
        <v>https://drive.google.com/file/d/1V_J5eQXpylKRp45jb2nf91PlXEliBVHT/view?usp=sharing</v>
      </c>
      <c r="L53" s="10"/>
      <c r="M53" s="10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 t="str">
        <f>IFERROR(__xludf.DUMMYFUNCTION("""COMPUTED_VALUE"""),"6.Iced Coffee")</f>
        <v>6.Iced Coffee</v>
      </c>
      <c r="D54" s="5" t="str">
        <f>IFERROR(__xludf.DUMMYFUNCTION("""COMPUTED_VALUE"""),"Cà Phê Bạc Xỉu (Đá)")</f>
        <v>Cà Phê Bạc Xỉu (Đá)</v>
      </c>
      <c r="E54" s="5" t="str">
        <f>IFERROR(__xludf.DUMMYFUNCTION("""COMPUTED_VALUE"""),"Vietnamese White Coffee")</f>
        <v>Vietnamese White Coffee</v>
      </c>
      <c r="F54" s="5" t="str">
        <f>IFERROR(__xludf.DUMMYFUNCTION("""COMPUTED_VALUE"""),"Vietnamese White Coffee - Cà Phê Bạc Xỉu (Đá)")</f>
        <v>Vietnamese White Coffee - Cà Phê Bạc Xỉu (Đá)</v>
      </c>
      <c r="G54" s="5" t="str">
        <f>IFERROR(__xludf.DUMMYFUNCTION("""COMPUTED_VALUE"""),"R")</f>
        <v>R</v>
      </c>
      <c r="H54" s="7">
        <f>IFERROR(__xludf.DUMMYFUNCTION("""COMPUTED_VALUE"""),7.5)</f>
        <v>7.5</v>
      </c>
      <c r="I54" s="8">
        <f>IFERROR(__xludf.DUMMYFUNCTION("""COMPUTED_VALUE"""),8.5)</f>
        <v>8.5</v>
      </c>
      <c r="J54" s="5" t="str">
        <f>IFERROR(__xludf.DUMMYFUNCTION("""COMPUTED_VALUE"""),"Condensed Milk Coffee with Creamy Fresh Milk")</f>
        <v>Condensed Milk Coffee with Creamy Fresh Milk</v>
      </c>
      <c r="K54" s="11"/>
      <c r="L54" s="10"/>
      <c r="M54" s="10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 t="str">
        <f>IFERROR(__xludf.DUMMYFUNCTION("""COMPUTED_VALUE"""),"6.Iced Coffee")</f>
        <v>6.Iced Coffee</v>
      </c>
      <c r="D55" s="5" t="str">
        <f>IFERROR(__xludf.DUMMYFUNCTION("""COMPUTED_VALUE"""),"Cà Phê Bạc Xỉu (Đá)")</f>
        <v>Cà Phê Bạc Xỉu (Đá)</v>
      </c>
      <c r="E55" s="5" t="str">
        <f>IFERROR(__xludf.DUMMYFUNCTION("""COMPUTED_VALUE"""),"Vietnamese White Coffee")</f>
        <v>Vietnamese White Coffee</v>
      </c>
      <c r="F55" s="5" t="str">
        <f>IFERROR(__xludf.DUMMYFUNCTION("""COMPUTED_VALUE"""),"Vietnamese White Coffee - Cà Phê Bạc Xỉu (Đá)")</f>
        <v>Vietnamese White Coffee - Cà Phê Bạc Xỉu (Đá)</v>
      </c>
      <c r="G55" s="5" t="str">
        <f>IFERROR(__xludf.DUMMYFUNCTION("""COMPUTED_VALUE"""),"L")</f>
        <v>L</v>
      </c>
      <c r="H55" s="7">
        <f>IFERROR(__xludf.DUMMYFUNCTION("""COMPUTED_VALUE"""),9.5)</f>
        <v>9.5</v>
      </c>
      <c r="I55" s="8">
        <f>IFERROR(__xludf.DUMMYFUNCTION("""COMPUTED_VALUE"""),10.9)</f>
        <v>10.9</v>
      </c>
      <c r="J55" s="5" t="str">
        <f>IFERROR(__xludf.DUMMYFUNCTION("""COMPUTED_VALUE"""),"Condensed Milk Coffee with Creamy Fresh Milk")</f>
        <v>Condensed Milk Coffee with Creamy Fresh Milk</v>
      </c>
      <c r="K55" s="11"/>
      <c r="L55" s="10"/>
      <c r="M55" s="10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 t="str">
        <f>IFERROR(__xludf.DUMMYFUNCTION("""COMPUTED_VALUE"""),"6.Iced Coffee")</f>
        <v>6.Iced Coffee</v>
      </c>
      <c r="B56" s="6">
        <f>IFERROR(__xludf.DUMMYFUNCTION("""COMPUTED_VALUE"""),5.0)</f>
        <v>5</v>
      </c>
      <c r="C56" s="6" t="str">
        <f>IFERROR(__xludf.DUMMYFUNCTION("""COMPUTED_VALUE"""),"P0605")</f>
        <v>P0605</v>
      </c>
      <c r="D56" s="5" t="str">
        <f>IFERROR(__xludf.DUMMYFUNCTION("""COMPUTED_VALUE"""),"Cà Phê Đen ( Đá )")</f>
        <v>Cà Phê Đen ( Đá )</v>
      </c>
      <c r="E56" s="5" t="str">
        <f>IFERROR(__xludf.DUMMYFUNCTION("""COMPUTED_VALUE"""),"Vietnamese Black Coffee")</f>
        <v>Vietnamese Black Coffee</v>
      </c>
      <c r="F56" s="5" t="str">
        <f>IFERROR(__xludf.DUMMYFUNCTION("""COMPUTED_VALUE"""),"Vietnamese Black Coffee - Cà Phê Đen ( Đá )")</f>
        <v>Vietnamese Black Coffee - Cà Phê Đen ( Đá )</v>
      </c>
      <c r="G56" s="5" t="str">
        <f>IFERROR(__xludf.DUMMYFUNCTION("""COMPUTED_VALUE"""),"S")</f>
        <v>S</v>
      </c>
      <c r="H56" s="7">
        <f>IFERROR(__xludf.DUMMYFUNCTION("""COMPUTED_VALUE"""),6.0)</f>
        <v>6</v>
      </c>
      <c r="I56" s="8">
        <f>IFERROR(__xludf.DUMMYFUNCTION("""COMPUTED_VALUE"""),6.9)</f>
        <v>6.9</v>
      </c>
      <c r="J56" s="10"/>
      <c r="K56" s="11"/>
      <c r="L56" s="10"/>
      <c r="M56" s="10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 t="str">
        <f>IFERROR(__xludf.DUMMYFUNCTION("""COMPUTED_VALUE"""),"6.Iced Coffee")</f>
        <v>6.Iced Coffee</v>
      </c>
      <c r="D57" s="5" t="str">
        <f>IFERROR(__xludf.DUMMYFUNCTION("""COMPUTED_VALUE"""),"Cà Phê Đen ( Đá )")</f>
        <v>Cà Phê Đen ( Đá )</v>
      </c>
      <c r="E57" s="5" t="str">
        <f>IFERROR(__xludf.DUMMYFUNCTION("""COMPUTED_VALUE"""),"Vietnamese Black Coffee")</f>
        <v>Vietnamese Black Coffee</v>
      </c>
      <c r="F57" s="5" t="str">
        <f>IFERROR(__xludf.DUMMYFUNCTION("""COMPUTED_VALUE"""),"Vietnamese Black Coffee - Cà Phê Đen ( Đá )")</f>
        <v>Vietnamese Black Coffee - Cà Phê Đen ( Đá )</v>
      </c>
      <c r="G57" s="5" t="str">
        <f>IFERROR(__xludf.DUMMYFUNCTION("""COMPUTED_VALUE"""),"R")</f>
        <v>R</v>
      </c>
      <c r="H57" s="7">
        <f>IFERROR(__xludf.DUMMYFUNCTION("""COMPUTED_VALUE"""),7.5)</f>
        <v>7.5</v>
      </c>
      <c r="I57" s="8">
        <f>IFERROR(__xludf.DUMMYFUNCTION("""COMPUTED_VALUE"""),8.5)</f>
        <v>8.5</v>
      </c>
      <c r="J57" s="10"/>
      <c r="K57" s="12"/>
      <c r="L57" s="10"/>
      <c r="M57" s="10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 t="str">
        <f>IFERROR(__xludf.DUMMYFUNCTION("""COMPUTED_VALUE"""),"6.Iced Coffee")</f>
        <v>6.Iced Coffee</v>
      </c>
      <c r="D58" s="5" t="str">
        <f>IFERROR(__xludf.DUMMYFUNCTION("""COMPUTED_VALUE"""),"Cà Phê Đen ( Đá )")</f>
        <v>Cà Phê Đen ( Đá )</v>
      </c>
      <c r="E58" s="5" t="str">
        <f>IFERROR(__xludf.DUMMYFUNCTION("""COMPUTED_VALUE"""),"Vietnamese Black Coffee")</f>
        <v>Vietnamese Black Coffee</v>
      </c>
      <c r="F58" s="5" t="str">
        <f>IFERROR(__xludf.DUMMYFUNCTION("""COMPUTED_VALUE"""),"Vietnamese Black Coffee - Cà Phê Đen ( Đá )")</f>
        <v>Vietnamese Black Coffee - Cà Phê Đen ( Đá )</v>
      </c>
      <c r="G58" s="5" t="str">
        <f>IFERROR(__xludf.DUMMYFUNCTION("""COMPUTED_VALUE"""),"L")</f>
        <v>L</v>
      </c>
      <c r="H58" s="7">
        <f>IFERROR(__xludf.DUMMYFUNCTION("""COMPUTED_VALUE"""),9.5)</f>
        <v>9.5</v>
      </c>
      <c r="I58" s="8">
        <f>IFERROR(__xludf.DUMMYFUNCTION("""COMPUTED_VALUE"""),10.9)</f>
        <v>10.9</v>
      </c>
      <c r="J58" s="10"/>
      <c r="K58" s="12"/>
      <c r="L58" s="10"/>
      <c r="M58" s="10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 t="str">
        <f>IFERROR(__xludf.DUMMYFUNCTION("""COMPUTED_VALUE"""),"6.Iced Coffee")</f>
        <v>6.Iced Coffee</v>
      </c>
      <c r="B59" s="6">
        <f>IFERROR(__xludf.DUMMYFUNCTION("""COMPUTED_VALUE"""),6.0)</f>
        <v>6</v>
      </c>
      <c r="C59" s="6" t="str">
        <f>IFERROR(__xludf.DUMMYFUNCTION("""COMPUTED_VALUE"""),"P0606")</f>
        <v>P0606</v>
      </c>
      <c r="D59" s="5" t="str">
        <f>IFERROR(__xludf.DUMMYFUNCTION("""COMPUTED_VALUE"""),"Cà Phê Sữa ( Đá )")</f>
        <v>Cà Phê Sữa ( Đá )</v>
      </c>
      <c r="E59" s="5" t="str">
        <f>IFERROR(__xludf.DUMMYFUNCTION("""COMPUTED_VALUE"""),"Condensed Milk Coffee")</f>
        <v>Condensed Milk Coffee</v>
      </c>
      <c r="F59" s="5" t="str">
        <f>IFERROR(__xludf.DUMMYFUNCTION("""COMPUTED_VALUE"""),"Condensed Milk Coffee - Cà Phê Sữa ( Đá )")</f>
        <v>Condensed Milk Coffee - Cà Phê Sữa ( Đá )</v>
      </c>
      <c r="G59" s="5" t="str">
        <f>IFERROR(__xludf.DUMMYFUNCTION("""COMPUTED_VALUE"""),"S")</f>
        <v>S</v>
      </c>
      <c r="H59" s="7">
        <f>IFERROR(__xludf.DUMMYFUNCTION("""COMPUTED_VALUE"""),6.0)</f>
        <v>6</v>
      </c>
      <c r="I59" s="8">
        <f>IFERROR(__xludf.DUMMYFUNCTION("""COMPUTED_VALUE"""),6.9)</f>
        <v>6.9</v>
      </c>
      <c r="J59" s="5" t="str">
        <f>IFERROR(__xludf.DUMMYFUNCTION("""COMPUTED_VALUE"""),"Condensed Milk with Vietnamese Coffee ")</f>
        <v>Condensed Milk with Vietnamese Coffee </v>
      </c>
      <c r="K59" s="12"/>
      <c r="L59" s="10"/>
      <c r="M59" s="1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 t="str">
        <f>IFERROR(__xludf.DUMMYFUNCTION("""COMPUTED_VALUE"""),"6.Iced Coffee")</f>
        <v>6.Iced Coffee</v>
      </c>
      <c r="D60" s="5" t="str">
        <f>IFERROR(__xludf.DUMMYFUNCTION("""COMPUTED_VALUE"""),"Cà Phê Sữa ( Đá )")</f>
        <v>Cà Phê Sữa ( Đá )</v>
      </c>
      <c r="E60" s="5" t="str">
        <f>IFERROR(__xludf.DUMMYFUNCTION("""COMPUTED_VALUE"""),"Condensed Milk Coffee")</f>
        <v>Condensed Milk Coffee</v>
      </c>
      <c r="F60" s="5" t="str">
        <f>IFERROR(__xludf.DUMMYFUNCTION("""COMPUTED_VALUE"""),"Condensed Milk Coffee - Cà Phê Sữa ( Đá )")</f>
        <v>Condensed Milk Coffee - Cà Phê Sữa ( Đá )</v>
      </c>
      <c r="G60" s="5" t="str">
        <f>IFERROR(__xludf.DUMMYFUNCTION("""COMPUTED_VALUE"""),"R")</f>
        <v>R</v>
      </c>
      <c r="H60" s="7">
        <f>IFERROR(__xludf.DUMMYFUNCTION("""COMPUTED_VALUE"""),7.5)</f>
        <v>7.5</v>
      </c>
      <c r="I60" s="8">
        <f>IFERROR(__xludf.DUMMYFUNCTION("""COMPUTED_VALUE"""),8.5)</f>
        <v>8.5</v>
      </c>
      <c r="J60" s="5" t="str">
        <f>IFERROR(__xludf.DUMMYFUNCTION("""COMPUTED_VALUE"""),"Condensed Milk with Vietnamese Coffee ")</f>
        <v>Condensed Milk with Vietnamese Coffee </v>
      </c>
      <c r="K60" s="11"/>
      <c r="L60" s="10"/>
      <c r="M60" s="10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 t="str">
        <f>IFERROR(__xludf.DUMMYFUNCTION("""COMPUTED_VALUE"""),"6.Iced Coffee")</f>
        <v>6.Iced Coffee</v>
      </c>
      <c r="D61" s="5" t="str">
        <f>IFERROR(__xludf.DUMMYFUNCTION("""COMPUTED_VALUE"""),"Cà Phê Sữa ( Đá )")</f>
        <v>Cà Phê Sữa ( Đá )</v>
      </c>
      <c r="E61" s="5" t="str">
        <f>IFERROR(__xludf.DUMMYFUNCTION("""COMPUTED_VALUE"""),"Condensed Milk Coffee")</f>
        <v>Condensed Milk Coffee</v>
      </c>
      <c r="F61" s="5" t="str">
        <f>IFERROR(__xludf.DUMMYFUNCTION("""COMPUTED_VALUE"""),"Condensed Milk Coffee - Cà Phê Sữa ( Đá )")</f>
        <v>Condensed Milk Coffee - Cà Phê Sữa ( Đá )</v>
      </c>
      <c r="G61" s="5" t="str">
        <f>IFERROR(__xludf.DUMMYFUNCTION("""COMPUTED_VALUE"""),"L")</f>
        <v>L</v>
      </c>
      <c r="H61" s="7">
        <f>IFERROR(__xludf.DUMMYFUNCTION("""COMPUTED_VALUE"""),9.5)</f>
        <v>9.5</v>
      </c>
      <c r="I61" s="8">
        <f>IFERROR(__xludf.DUMMYFUNCTION("""COMPUTED_VALUE"""),10.9)</f>
        <v>10.9</v>
      </c>
      <c r="J61" s="5" t="str">
        <f>IFERROR(__xludf.DUMMYFUNCTION("""COMPUTED_VALUE"""),"Condensed Milk with Vietnamese Coffee ")</f>
        <v>Condensed Milk with Vietnamese Coffee </v>
      </c>
      <c r="K61" s="11"/>
      <c r="L61" s="10"/>
      <c r="M61" s="10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 t="str">
        <f>IFERROR(__xludf.DUMMYFUNCTION("""COMPUTED_VALUE"""),"6.Iced Coffee")</f>
        <v>6.Iced Coffee</v>
      </c>
      <c r="B62" s="6">
        <f>IFERROR(__xludf.DUMMYFUNCTION("""COMPUTED_VALUE"""),7.0)</f>
        <v>7</v>
      </c>
      <c r="C62" s="6" t="str">
        <f>IFERROR(__xludf.DUMMYFUNCTION("""COMPUTED_VALUE"""),"P0607")</f>
        <v>P0607</v>
      </c>
      <c r="D62" s="5" t="str">
        <f>IFERROR(__xludf.DUMMYFUNCTION("""COMPUTED_VALUE"""),"Cà Phê Sữa Tươi Đá")</f>
        <v>Cà Phê Sữa Tươi Đá</v>
      </c>
      <c r="E62" s="5" t="str">
        <f>IFERROR(__xludf.DUMMYFUNCTION("""COMPUTED_VALUE"""),"Iced Latte")</f>
        <v>Iced Latte</v>
      </c>
      <c r="F62" s="5" t="str">
        <f>IFERROR(__xludf.DUMMYFUNCTION("""COMPUTED_VALUE"""),"Iced Latte - Cà Phê Sữa Tươi Đá")</f>
        <v>Iced Latte - Cà Phê Sữa Tươi Đá</v>
      </c>
      <c r="G62" s="5" t="str">
        <f>IFERROR(__xludf.DUMMYFUNCTION("""COMPUTED_VALUE"""),"R")</f>
        <v>R</v>
      </c>
      <c r="H62" s="7">
        <f>IFERROR(__xludf.DUMMYFUNCTION("""COMPUTED_VALUE"""),8.0)</f>
        <v>8</v>
      </c>
      <c r="I62" s="8">
        <f>IFERROR(__xludf.DUMMYFUNCTION("""COMPUTED_VALUE"""),8.9)</f>
        <v>8.9</v>
      </c>
      <c r="J62" s="5"/>
      <c r="K62" s="11"/>
      <c r="L62" s="10"/>
      <c r="M62" s="10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 t="str">
        <f>IFERROR(__xludf.DUMMYFUNCTION("""COMPUTED_VALUE"""),"6.Iced Coffee")</f>
        <v>6.Iced Coffee</v>
      </c>
      <c r="D63" s="5" t="str">
        <f>IFERROR(__xludf.DUMMYFUNCTION("""COMPUTED_VALUE"""),"Cà Phê Sữa Tươi Đá")</f>
        <v>Cà Phê Sữa Tươi Đá</v>
      </c>
      <c r="E63" s="5" t="str">
        <f>IFERROR(__xludf.DUMMYFUNCTION("""COMPUTED_VALUE"""),"Iced Latte")</f>
        <v>Iced Latte</v>
      </c>
      <c r="F63" s="5" t="str">
        <f>IFERROR(__xludf.DUMMYFUNCTION("""COMPUTED_VALUE"""),"Iced Latte - Cà Phê Sữa Tươi Đá")</f>
        <v>Iced Latte - Cà Phê Sữa Tươi Đá</v>
      </c>
      <c r="G63" s="5" t="str">
        <f>IFERROR(__xludf.DUMMYFUNCTION("""COMPUTED_VALUE"""),"L")</f>
        <v>L</v>
      </c>
      <c r="H63" s="7">
        <f>IFERROR(__xludf.DUMMYFUNCTION("""COMPUTED_VALUE"""),9.0)</f>
        <v>9</v>
      </c>
      <c r="I63" s="8">
        <f>IFERROR(__xludf.DUMMYFUNCTION("""COMPUTED_VALUE"""),10.5)</f>
        <v>10.5</v>
      </c>
      <c r="J63" s="5"/>
      <c r="K63" s="11"/>
      <c r="L63" s="10"/>
      <c r="M63" s="10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 t="str">
        <f>IFERROR(__xludf.DUMMYFUNCTION("""COMPUTED_VALUE"""),"6.Iced Coffee")</f>
        <v>6.Iced Coffee</v>
      </c>
      <c r="B64" s="6">
        <f>IFERROR(__xludf.DUMMYFUNCTION("""COMPUTED_VALUE"""),8.0)</f>
        <v>8</v>
      </c>
      <c r="C64" s="6" t="str">
        <f>IFERROR(__xludf.DUMMYFUNCTION("""COMPUTED_VALUE"""),"P0608")</f>
        <v>P0608</v>
      </c>
      <c r="D64" s="5" t="str">
        <f>IFERROR(__xludf.DUMMYFUNCTION("""COMPUTED_VALUE"""),"Cà Phê Hazelnut")</f>
        <v>Cà Phê Hazelnut</v>
      </c>
      <c r="E64" s="5" t="str">
        <f>IFERROR(__xludf.DUMMYFUNCTION("""COMPUTED_VALUE"""),"Iced Hazelnut Latte")</f>
        <v>Iced Hazelnut Latte</v>
      </c>
      <c r="F64" s="5" t="str">
        <f>IFERROR(__xludf.DUMMYFUNCTION("""COMPUTED_VALUE"""),"Iced Hazelnut Latte - Cà Phê Hazelnut")</f>
        <v>Iced Hazelnut Latte - Cà Phê Hazelnut</v>
      </c>
      <c r="G64" s="5" t="str">
        <f>IFERROR(__xludf.DUMMYFUNCTION("""COMPUTED_VALUE"""),"R")</f>
        <v>R</v>
      </c>
      <c r="H64" s="7">
        <f>IFERROR(__xludf.DUMMYFUNCTION("""COMPUTED_VALUE"""),8.5)</f>
        <v>8.5</v>
      </c>
      <c r="I64" s="8">
        <f>IFERROR(__xludf.DUMMYFUNCTION("""COMPUTED_VALUE"""),9.9)</f>
        <v>9.9</v>
      </c>
      <c r="J64" s="5"/>
      <c r="K64" s="11"/>
      <c r="L64" s="10"/>
      <c r="M64" s="10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 t="str">
        <f>IFERROR(__xludf.DUMMYFUNCTION("""COMPUTED_VALUE"""),"6.Iced Coffee")</f>
        <v>6.Iced Coffee</v>
      </c>
      <c r="D65" s="5" t="str">
        <f>IFERROR(__xludf.DUMMYFUNCTION("""COMPUTED_VALUE"""),"Cà Phê Hazelnut")</f>
        <v>Cà Phê Hazelnut</v>
      </c>
      <c r="E65" s="5" t="str">
        <f>IFERROR(__xludf.DUMMYFUNCTION("""COMPUTED_VALUE"""),"Iced Hazelnut Latte")</f>
        <v>Iced Hazelnut Latte</v>
      </c>
      <c r="F65" s="5" t="str">
        <f>IFERROR(__xludf.DUMMYFUNCTION("""COMPUTED_VALUE"""),"Iced Hazelnut Latte - Cà Phê Hazelnut")</f>
        <v>Iced Hazelnut Latte - Cà Phê Hazelnut</v>
      </c>
      <c r="G65" s="5" t="str">
        <f>IFERROR(__xludf.DUMMYFUNCTION("""COMPUTED_VALUE"""),"L")</f>
        <v>L</v>
      </c>
      <c r="H65" s="7">
        <f>IFERROR(__xludf.DUMMYFUNCTION("""COMPUTED_VALUE"""),9.5)</f>
        <v>9.5</v>
      </c>
      <c r="I65" s="8">
        <f>IFERROR(__xludf.DUMMYFUNCTION("""COMPUTED_VALUE"""),10.9)</f>
        <v>10.9</v>
      </c>
      <c r="J65" s="5"/>
      <c r="K65" s="11"/>
      <c r="L65" s="10"/>
      <c r="M65" s="10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 t="str">
        <f>IFERROR(__xludf.DUMMYFUNCTION("""COMPUTED_VALUE"""),"6.Iced Coffee")</f>
        <v>6.Iced Coffee</v>
      </c>
      <c r="B66" s="6">
        <f>IFERROR(__xludf.DUMMYFUNCTION("""COMPUTED_VALUE"""),9.0)</f>
        <v>9</v>
      </c>
      <c r="C66" s="6" t="str">
        <f>IFERROR(__xludf.DUMMYFUNCTION("""COMPUTED_VALUE"""),"P0609")</f>
        <v>P0609</v>
      </c>
      <c r="D66" s="5" t="str">
        <f>IFERROR(__xludf.DUMMYFUNCTION("""COMPUTED_VALUE"""),"Mocha đá")</f>
        <v>Mocha đá</v>
      </c>
      <c r="E66" s="5" t="str">
        <f>IFERROR(__xludf.DUMMYFUNCTION("""COMPUTED_VALUE"""),"Iced Mocha")</f>
        <v>Iced Mocha</v>
      </c>
      <c r="F66" s="5" t="str">
        <f>IFERROR(__xludf.DUMMYFUNCTION("""COMPUTED_VALUE"""),"Iced Mocha - Mocha đá")</f>
        <v>Iced Mocha - Mocha đá</v>
      </c>
      <c r="G66" s="5" t="str">
        <f>IFERROR(__xludf.DUMMYFUNCTION("""COMPUTED_VALUE"""),"R")</f>
        <v>R</v>
      </c>
      <c r="H66" s="7">
        <f>IFERROR(__xludf.DUMMYFUNCTION("""COMPUTED_VALUE"""),9.0)</f>
        <v>9</v>
      </c>
      <c r="I66" s="8">
        <f>IFERROR(__xludf.DUMMYFUNCTION("""COMPUTED_VALUE"""),10.5)</f>
        <v>10.5</v>
      </c>
      <c r="J66" s="5"/>
      <c r="K66" s="11"/>
      <c r="L66" s="10"/>
      <c r="M66" s="10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 t="str">
        <f>IFERROR(__xludf.DUMMYFUNCTION("""COMPUTED_VALUE"""),"6.Iced Coffee")</f>
        <v>6.Iced Coffee</v>
      </c>
      <c r="D67" s="5" t="str">
        <f>IFERROR(__xludf.DUMMYFUNCTION("""COMPUTED_VALUE"""),"Mocha đá")</f>
        <v>Mocha đá</v>
      </c>
      <c r="E67" s="5" t="str">
        <f>IFERROR(__xludf.DUMMYFUNCTION("""COMPUTED_VALUE"""),"Iced Mocha")</f>
        <v>Iced Mocha</v>
      </c>
      <c r="F67" s="5" t="str">
        <f>IFERROR(__xludf.DUMMYFUNCTION("""COMPUTED_VALUE"""),"Iced Mocha - Mocha đá")</f>
        <v>Iced Mocha - Mocha đá</v>
      </c>
      <c r="G67" s="5" t="str">
        <f>IFERROR(__xludf.DUMMYFUNCTION("""COMPUTED_VALUE"""),"L")</f>
        <v>L</v>
      </c>
      <c r="H67" s="7">
        <f>IFERROR(__xludf.DUMMYFUNCTION("""COMPUTED_VALUE"""),9.5)</f>
        <v>9.5</v>
      </c>
      <c r="I67" s="8">
        <f>IFERROR(__xludf.DUMMYFUNCTION("""COMPUTED_VALUE"""),10.9)</f>
        <v>10.9</v>
      </c>
      <c r="J67" s="5"/>
      <c r="K67" s="11"/>
      <c r="L67" s="10"/>
      <c r="M67" s="1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 t="str">
        <f>IFERROR(__xludf.DUMMYFUNCTION("""COMPUTED_VALUE"""),"6.Iced Coffee")</f>
        <v>6.Iced Coffee</v>
      </c>
      <c r="B68" s="6">
        <f>IFERROR(__xludf.DUMMYFUNCTION("""COMPUTED_VALUE"""),10.0)</f>
        <v>10</v>
      </c>
      <c r="C68" s="6" t="str">
        <f>IFERROR(__xludf.DUMMYFUNCTION("""COMPUTED_VALUE"""),"P0610")</f>
        <v>P0610</v>
      </c>
      <c r="D68" s="5" t="str">
        <f>IFERROR(__xludf.DUMMYFUNCTION("""COMPUTED_VALUE"""),"Chocolate đá")</f>
        <v>Chocolate đá</v>
      </c>
      <c r="E68" s="5" t="str">
        <f>IFERROR(__xludf.DUMMYFUNCTION("""COMPUTED_VALUE"""),"Iced Chocolate Latte")</f>
        <v>Iced Chocolate Latte</v>
      </c>
      <c r="F68" s="5" t="str">
        <f>IFERROR(__xludf.DUMMYFUNCTION("""COMPUTED_VALUE"""),"Iced Chocolate Latte - Chocolate đá")</f>
        <v>Iced Chocolate Latte - Chocolate đá</v>
      </c>
      <c r="G68" s="5" t="str">
        <f>IFERROR(__xludf.DUMMYFUNCTION("""COMPUTED_VALUE"""),"R")</f>
        <v>R</v>
      </c>
      <c r="H68" s="7">
        <f>IFERROR(__xludf.DUMMYFUNCTION("""COMPUTED_VALUE"""),8.5)</f>
        <v>8.5</v>
      </c>
      <c r="I68" s="8">
        <f>IFERROR(__xludf.DUMMYFUNCTION("""COMPUTED_VALUE"""),9.9)</f>
        <v>9.9</v>
      </c>
      <c r="J68" s="5"/>
      <c r="K68" s="11"/>
      <c r="L68" s="10"/>
      <c r="M68" s="1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 t="str">
        <f>IFERROR(__xludf.DUMMYFUNCTION("""COMPUTED_VALUE"""),"6.Iced Coffee")</f>
        <v>6.Iced Coffee</v>
      </c>
      <c r="D69" s="5" t="str">
        <f>IFERROR(__xludf.DUMMYFUNCTION("""COMPUTED_VALUE"""),"Chocolate đá")</f>
        <v>Chocolate đá</v>
      </c>
      <c r="E69" s="5" t="str">
        <f>IFERROR(__xludf.DUMMYFUNCTION("""COMPUTED_VALUE"""),"Iced Chocolate Latte")</f>
        <v>Iced Chocolate Latte</v>
      </c>
      <c r="F69" s="5" t="str">
        <f>IFERROR(__xludf.DUMMYFUNCTION("""COMPUTED_VALUE"""),"Iced Chocolate Latte - Chocolate đá")</f>
        <v>Iced Chocolate Latte - Chocolate đá</v>
      </c>
      <c r="G69" s="5" t="str">
        <f>IFERROR(__xludf.DUMMYFUNCTION("""COMPUTED_VALUE"""),"L")</f>
        <v>L</v>
      </c>
      <c r="H69" s="7">
        <f>IFERROR(__xludf.DUMMYFUNCTION("""COMPUTED_VALUE"""),9.0)</f>
        <v>9</v>
      </c>
      <c r="I69" s="8">
        <f>IFERROR(__xludf.DUMMYFUNCTION("""COMPUTED_VALUE"""),10.5)</f>
        <v>10.5</v>
      </c>
      <c r="J69" s="5"/>
      <c r="K69" s="11"/>
      <c r="L69" s="10"/>
      <c r="M69" s="10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 t="str">
        <f>IFERROR(__xludf.DUMMYFUNCTION("""COMPUTED_VALUE"""),"6.Iced Coffee")</f>
        <v>6.Iced Coffee</v>
      </c>
      <c r="B70" s="6">
        <f>IFERROR(__xludf.DUMMYFUNCTION("""COMPUTED_VALUE"""),11.0)</f>
        <v>11</v>
      </c>
      <c r="C70" s="6" t="str">
        <f>IFERROR(__xludf.DUMMYFUNCTION("""COMPUTED_VALUE"""),"P0611")</f>
        <v>P0611</v>
      </c>
      <c r="D70" s="5" t="str">
        <f>IFERROR(__xludf.DUMMYFUNCTION("""COMPUTED_VALUE"""),"Cà Phê Đá")</f>
        <v>Cà Phê Đá</v>
      </c>
      <c r="E70" s="5" t="str">
        <f>IFERROR(__xludf.DUMMYFUNCTION("""COMPUTED_VALUE"""),"Iced Long Black")</f>
        <v>Iced Long Black</v>
      </c>
      <c r="F70" s="5" t="str">
        <f>IFERROR(__xludf.DUMMYFUNCTION("""COMPUTED_VALUE"""),"Iced Long Black - Cà Phê Đá")</f>
        <v>Iced Long Black - Cà Phê Đá</v>
      </c>
      <c r="G70" s="5" t="str">
        <f>IFERROR(__xludf.DUMMYFUNCTION("""COMPUTED_VALUE"""),"R")</f>
        <v>R</v>
      </c>
      <c r="H70" s="7">
        <f>IFERROR(__xludf.DUMMYFUNCTION("""COMPUTED_VALUE"""),6.9)</f>
        <v>6.9</v>
      </c>
      <c r="I70" s="8">
        <f>IFERROR(__xludf.DUMMYFUNCTION("""COMPUTED_VALUE"""),7.9)</f>
        <v>7.9</v>
      </c>
      <c r="J70" s="5"/>
      <c r="K70" s="11"/>
      <c r="L70" s="10"/>
      <c r="M70" s="10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 t="str">
        <f>IFERROR(__xludf.DUMMYFUNCTION("""COMPUTED_VALUE"""),"6.Iced Coffee")</f>
        <v>6.Iced Coffee</v>
      </c>
      <c r="D71" s="5" t="str">
        <f>IFERROR(__xludf.DUMMYFUNCTION("""COMPUTED_VALUE"""),"Cà Phê Đá")</f>
        <v>Cà Phê Đá</v>
      </c>
      <c r="E71" s="5" t="str">
        <f>IFERROR(__xludf.DUMMYFUNCTION("""COMPUTED_VALUE"""),"Iced Long Black")</f>
        <v>Iced Long Black</v>
      </c>
      <c r="F71" s="5" t="str">
        <f>IFERROR(__xludf.DUMMYFUNCTION("""COMPUTED_VALUE"""),"Iced Long Black - Cà Phê Đá")</f>
        <v>Iced Long Black - Cà Phê Đá</v>
      </c>
      <c r="G71" s="5" t="str">
        <f>IFERROR(__xludf.DUMMYFUNCTION("""COMPUTED_VALUE"""),"L")</f>
        <v>L</v>
      </c>
      <c r="H71" s="7">
        <f>IFERROR(__xludf.DUMMYFUNCTION("""COMPUTED_VALUE"""),8.9)</f>
        <v>8.9</v>
      </c>
      <c r="I71" s="8">
        <f>IFERROR(__xludf.DUMMYFUNCTION("""COMPUTED_VALUE"""),10.5)</f>
        <v>10.5</v>
      </c>
      <c r="J71" s="5"/>
      <c r="K71" s="11"/>
      <c r="L71" s="10"/>
      <c r="M71" s="10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 t="str">
        <f>IFERROR(__xludf.DUMMYFUNCTION("""COMPUTED_VALUE"""),"6.Iced Coffee")</f>
        <v>6.Iced Coffee</v>
      </c>
      <c r="B72" s="6">
        <f>IFERROR(__xludf.DUMMYFUNCTION("""COMPUTED_VALUE"""),12.0)</f>
        <v>12</v>
      </c>
      <c r="C72" s="6" t="str">
        <f>IFERROR(__xludf.DUMMYFUNCTION("""COMPUTED_VALUE"""),"P0612")</f>
        <v>P0612</v>
      </c>
      <c r="D72" s="5" t="str">
        <f>IFERROR(__xludf.DUMMYFUNCTION("""COMPUTED_VALUE"""),"Cà Phê Đá Vanilla")</f>
        <v>Cà Phê Đá Vanilla</v>
      </c>
      <c r="E72" s="5" t="str">
        <f>IFERROR(__xludf.DUMMYFUNCTION("""COMPUTED_VALUE"""),"Vanilla Ice Latte")</f>
        <v>Vanilla Ice Latte</v>
      </c>
      <c r="F72" s="5" t="str">
        <f>IFERROR(__xludf.DUMMYFUNCTION("""COMPUTED_VALUE"""),"Vanilla Ice Latte - Cà Phê Đá Vanilla")</f>
        <v>Vanilla Ice Latte - Cà Phê Đá Vanilla</v>
      </c>
      <c r="G72" s="5" t="str">
        <f>IFERROR(__xludf.DUMMYFUNCTION("""COMPUTED_VALUE"""),"R")</f>
        <v>R</v>
      </c>
      <c r="H72" s="7">
        <f>IFERROR(__xludf.DUMMYFUNCTION("""COMPUTED_VALUE"""),8.5)</f>
        <v>8.5</v>
      </c>
      <c r="I72" s="8">
        <f>IFERROR(__xludf.DUMMYFUNCTION("""COMPUTED_VALUE"""),9.9)</f>
        <v>9.9</v>
      </c>
      <c r="J72" s="5"/>
      <c r="K72" s="11"/>
      <c r="L72" s="10"/>
      <c r="M72" s="10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 t="str">
        <f>IFERROR(__xludf.DUMMYFUNCTION("""COMPUTED_VALUE"""),"6.Iced Coffee")</f>
        <v>6.Iced Coffee</v>
      </c>
      <c r="D73" s="5" t="str">
        <f>IFERROR(__xludf.DUMMYFUNCTION("""COMPUTED_VALUE"""),"Cà Phê Đá Vanilla")</f>
        <v>Cà Phê Đá Vanilla</v>
      </c>
      <c r="E73" s="5" t="str">
        <f>IFERROR(__xludf.DUMMYFUNCTION("""COMPUTED_VALUE"""),"Vanilla Ice Latte")</f>
        <v>Vanilla Ice Latte</v>
      </c>
      <c r="F73" s="5" t="str">
        <f>IFERROR(__xludf.DUMMYFUNCTION("""COMPUTED_VALUE"""),"Vanilla Ice Latte - Cà Phê Đá Vanilla")</f>
        <v>Vanilla Ice Latte - Cà Phê Đá Vanilla</v>
      </c>
      <c r="G73" s="5" t="str">
        <f>IFERROR(__xludf.DUMMYFUNCTION("""COMPUTED_VALUE"""),"L")</f>
        <v>L</v>
      </c>
      <c r="H73" s="7">
        <f>IFERROR(__xludf.DUMMYFUNCTION("""COMPUTED_VALUE"""),9.5)</f>
        <v>9.5</v>
      </c>
      <c r="I73" s="8">
        <f>IFERROR(__xludf.DUMMYFUNCTION("""COMPUTED_VALUE"""),10.9)</f>
        <v>10.9</v>
      </c>
      <c r="J73" s="5"/>
      <c r="K73" s="11"/>
      <c r="L73" s="10"/>
      <c r="M73" s="1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 t="str">
        <f>IFERROR(__xludf.DUMMYFUNCTION("""COMPUTED_VALUE"""),"6.Iced Coffee")</f>
        <v>6.Iced Coffee</v>
      </c>
      <c r="B74" s="6">
        <f>IFERROR(__xludf.DUMMYFUNCTION("""COMPUTED_VALUE"""),13.0)</f>
        <v>13</v>
      </c>
      <c r="C74" s="6" t="str">
        <f>IFERROR(__xludf.DUMMYFUNCTION("""COMPUTED_VALUE"""),"P0613")</f>
        <v>P0613</v>
      </c>
      <c r="D74" s="5" t="str">
        <f>IFERROR(__xludf.DUMMYFUNCTION("""COMPUTED_VALUE"""),"Chai Latte")</f>
        <v>Chai Latte</v>
      </c>
      <c r="E74" s="5" t="str">
        <f>IFERROR(__xludf.DUMMYFUNCTION("""COMPUTED_VALUE"""),"Chai Latte")</f>
        <v>Chai Latte</v>
      </c>
      <c r="F74" s="5" t="str">
        <f>IFERROR(__xludf.DUMMYFUNCTION("""COMPUTED_VALUE"""),"Chai Latte - Chai Latte")</f>
        <v>Chai Latte - Chai Latte</v>
      </c>
      <c r="G74" s="5" t="str">
        <f>IFERROR(__xludf.DUMMYFUNCTION("""COMPUTED_VALUE"""),"R")</f>
        <v>R</v>
      </c>
      <c r="H74" s="7">
        <f>IFERROR(__xludf.DUMMYFUNCTION("""COMPUTED_VALUE"""),8.5)</f>
        <v>8.5</v>
      </c>
      <c r="I74" s="8">
        <f>IFERROR(__xludf.DUMMYFUNCTION("""COMPUTED_VALUE"""),9.9)</f>
        <v>9.9</v>
      </c>
      <c r="J74" s="5"/>
      <c r="K74" s="11"/>
      <c r="L74" s="10"/>
      <c r="M74" s="10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 t="str">
        <f>IFERROR(__xludf.DUMMYFUNCTION("""COMPUTED_VALUE"""),"6.Iced Coffee")</f>
        <v>6.Iced Coffee</v>
      </c>
      <c r="D75" s="5" t="str">
        <f>IFERROR(__xludf.DUMMYFUNCTION("""COMPUTED_VALUE"""),"Chai Latte")</f>
        <v>Chai Latte</v>
      </c>
      <c r="E75" s="5" t="str">
        <f>IFERROR(__xludf.DUMMYFUNCTION("""COMPUTED_VALUE"""),"Chai Latte")</f>
        <v>Chai Latte</v>
      </c>
      <c r="F75" s="5" t="str">
        <f>IFERROR(__xludf.DUMMYFUNCTION("""COMPUTED_VALUE"""),"Chai Latte - Chai Latte")</f>
        <v>Chai Latte - Chai Latte</v>
      </c>
      <c r="G75" s="5" t="str">
        <f>IFERROR(__xludf.DUMMYFUNCTION("""COMPUTED_VALUE"""),"L")</f>
        <v>L</v>
      </c>
      <c r="H75" s="7">
        <f>IFERROR(__xludf.DUMMYFUNCTION("""COMPUTED_VALUE"""),9.5)</f>
        <v>9.5</v>
      </c>
      <c r="I75" s="8">
        <f>IFERROR(__xludf.DUMMYFUNCTION("""COMPUTED_VALUE"""),10.9)</f>
        <v>10.9</v>
      </c>
      <c r="J75" s="5"/>
      <c r="K75" s="11"/>
      <c r="L75" s="10"/>
      <c r="M75" s="10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 t="str">
        <f>IFERROR(__xludf.DUMMYFUNCTION("""COMPUTED_VALUE"""),"6.Iced Coffee")</f>
        <v>6.Iced Coffee</v>
      </c>
      <c r="B76" s="6">
        <f>IFERROR(__xludf.DUMMYFUNCTION("""COMPUTED_VALUE"""),14.0)</f>
        <v>14</v>
      </c>
      <c r="C76" s="6" t="str">
        <f>IFERROR(__xludf.DUMMYFUNCTION("""COMPUTED_VALUE"""),"P0614")</f>
        <v>P0614</v>
      </c>
      <c r="D76" s="5" t="str">
        <f>IFERROR(__xludf.DUMMYFUNCTION("""COMPUTED_VALUE"""),"Cà Phê Chai")</f>
        <v>Cà Phê Chai</v>
      </c>
      <c r="E76" s="5" t="str">
        <f>IFERROR(__xludf.DUMMYFUNCTION("""COMPUTED_VALUE"""),"Dirty Chai Latte")</f>
        <v>Dirty Chai Latte</v>
      </c>
      <c r="F76" s="5" t="str">
        <f>IFERROR(__xludf.DUMMYFUNCTION("""COMPUTED_VALUE"""),"Dirty Chai Latte - Cà Phê Chai")</f>
        <v>Dirty Chai Latte - Cà Phê Chai</v>
      </c>
      <c r="G76" s="5" t="str">
        <f>IFERROR(__xludf.DUMMYFUNCTION("""COMPUTED_VALUE"""),"R")</f>
        <v>R</v>
      </c>
      <c r="H76" s="7">
        <f>IFERROR(__xludf.DUMMYFUNCTION("""COMPUTED_VALUE"""),9.0)</f>
        <v>9</v>
      </c>
      <c r="I76" s="8">
        <f>IFERROR(__xludf.DUMMYFUNCTION("""COMPUTED_VALUE"""),10.5)</f>
        <v>10.5</v>
      </c>
      <c r="J76" s="5"/>
      <c r="K76" s="11"/>
      <c r="L76" s="10"/>
      <c r="M76" s="1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 t="str">
        <f>IFERROR(__xludf.DUMMYFUNCTION("""COMPUTED_VALUE"""),"6.Iced Coffee")</f>
        <v>6.Iced Coffee</v>
      </c>
      <c r="D77" s="5" t="str">
        <f>IFERROR(__xludf.DUMMYFUNCTION("""COMPUTED_VALUE"""),"Cà Phê Chai")</f>
        <v>Cà Phê Chai</v>
      </c>
      <c r="E77" s="5" t="str">
        <f>IFERROR(__xludf.DUMMYFUNCTION("""COMPUTED_VALUE"""),"Dirty Chai Latte")</f>
        <v>Dirty Chai Latte</v>
      </c>
      <c r="F77" s="5" t="str">
        <f>IFERROR(__xludf.DUMMYFUNCTION("""COMPUTED_VALUE"""),"Dirty Chai Latte - Cà Phê Chai")</f>
        <v>Dirty Chai Latte - Cà Phê Chai</v>
      </c>
      <c r="G77" s="5" t="str">
        <f>IFERROR(__xludf.DUMMYFUNCTION("""COMPUTED_VALUE"""),"L")</f>
        <v>L</v>
      </c>
      <c r="H77" s="7">
        <f>IFERROR(__xludf.DUMMYFUNCTION("""COMPUTED_VALUE"""),9.5)</f>
        <v>9.5</v>
      </c>
      <c r="I77" s="8">
        <f>IFERROR(__xludf.DUMMYFUNCTION("""COMPUTED_VALUE"""),10.9)</f>
        <v>10.9</v>
      </c>
      <c r="J77" s="5"/>
      <c r="K77" s="12"/>
      <c r="L77" s="5"/>
      <c r="M77" s="10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 t="str">
        <f>IFERROR(__xludf.DUMMYFUNCTION("""COMPUTED_VALUE"""),"6.Iced Coffee")</f>
        <v>6.Iced Coffee</v>
      </c>
      <c r="B78" s="6"/>
      <c r="C78" s="6"/>
      <c r="D78" s="5" t="str">
        <f>IFERROR(__xludf.DUMMYFUNCTION("""COMPUTED_VALUE"""),"Thêm cà phê Decaf")</f>
        <v>Thêm cà phê Decaf</v>
      </c>
      <c r="E78" s="5" t="str">
        <f>IFERROR(__xludf.DUMMYFUNCTION("""COMPUTED_VALUE"""),"Decaf")</f>
        <v>Decaf</v>
      </c>
      <c r="F78" s="5"/>
      <c r="G78" s="10" t="str">
        <f>IFERROR(__xludf.DUMMYFUNCTION("""COMPUTED_VALUE"""),"0.5")</f>
        <v>0.5</v>
      </c>
      <c r="H78" s="7">
        <f>IFERROR(__xludf.DUMMYFUNCTION("""COMPUTED_VALUE"""),0.5)</f>
        <v>0.5</v>
      </c>
      <c r="I78" s="8">
        <f>IFERROR(__xludf.DUMMYFUNCTION("""COMPUTED_VALUE"""),0.5)</f>
        <v>0.5</v>
      </c>
      <c r="J78" s="5"/>
      <c r="K78" s="11"/>
      <c r="L78" s="5"/>
      <c r="M78" s="10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 t="str">
        <f>IFERROR(__xludf.DUMMYFUNCTION("""COMPUTED_VALUE"""),"6.Iced Coffee")</f>
        <v>6.Iced Coffee</v>
      </c>
      <c r="B79" s="6"/>
      <c r="C79" s="6"/>
      <c r="D79" s="5" t="str">
        <f>IFERROR(__xludf.DUMMYFUNCTION("""COMPUTED_VALUE"""),"Thêm shot Espresso")</f>
        <v>Thêm shot Espresso</v>
      </c>
      <c r="E79" s="5" t="str">
        <f>IFERROR(__xludf.DUMMYFUNCTION("""COMPUTED_VALUE"""),"Extra Shot")</f>
        <v>Extra Shot</v>
      </c>
      <c r="F79" s="5"/>
      <c r="G79" s="5" t="str">
        <f>IFERROR(__xludf.DUMMYFUNCTION("""COMPUTED_VALUE"""),"0.5")</f>
        <v>0.5</v>
      </c>
      <c r="H79" s="7">
        <f>IFERROR(__xludf.DUMMYFUNCTION("""COMPUTED_VALUE"""),0.5)</f>
        <v>0.5</v>
      </c>
      <c r="I79" s="8">
        <f>IFERROR(__xludf.DUMMYFUNCTION("""COMPUTED_VALUE"""),0.5)</f>
        <v>0.5</v>
      </c>
      <c r="J79" s="5"/>
      <c r="K79" s="11"/>
      <c r="L79" s="10"/>
      <c r="M79" s="10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 t="str">
        <f>IFERROR(__xludf.DUMMYFUNCTION("""COMPUTED_VALUE"""),"6.Iced Coffee")</f>
        <v>6.Iced Coffee</v>
      </c>
      <c r="B80" s="6"/>
      <c r="C80" s="6"/>
      <c r="D80" s="5" t="str">
        <f>IFERROR(__xludf.DUMMYFUNCTION("""COMPUTED_VALUE"""),"Thêm Caramel/Hazelnut/Vanilla")</f>
        <v>Thêm Caramel/Hazelnut/Vanilla</v>
      </c>
      <c r="E80" s="5" t="str">
        <f>IFERROR(__xludf.DUMMYFUNCTION("""COMPUTED_VALUE"""),"Caramel/Hazelnut/Vanilla")</f>
        <v>Caramel/Hazelnut/Vanilla</v>
      </c>
      <c r="F80" s="5"/>
      <c r="G80" s="5" t="str">
        <f>IFERROR(__xludf.DUMMYFUNCTION("""COMPUTED_VALUE"""),"0.5")</f>
        <v>0.5</v>
      </c>
      <c r="H80" s="7">
        <f>IFERROR(__xludf.DUMMYFUNCTION("""COMPUTED_VALUE"""),0.5)</f>
        <v>0.5</v>
      </c>
      <c r="I80" s="8">
        <f>IFERROR(__xludf.DUMMYFUNCTION("""COMPUTED_VALUE"""),0.5)</f>
        <v>0.5</v>
      </c>
      <c r="J80" s="5"/>
      <c r="K80" s="11"/>
      <c r="L80" s="10"/>
      <c r="M80" s="10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 t="str">
        <f>IFERROR(__xludf.DUMMYFUNCTION("""COMPUTED_VALUE"""),"6.Iced Coffee")</f>
        <v>6.Iced Coffee</v>
      </c>
      <c r="B81" s="6"/>
      <c r="C81" s="6"/>
      <c r="D81" s="5" t="str">
        <f>IFERROR(__xludf.DUMMYFUNCTION("""COMPUTED_VALUE"""),"Sữa hạt (Đậu nành/Hạnh nhân/Yến mạch/Không lactose)")</f>
        <v>Sữa hạt (Đậu nành/Hạnh nhân/Yến mạch/Không lactose)</v>
      </c>
      <c r="E81" s="5" t="str">
        <f>IFERROR(__xludf.DUMMYFUNCTION("""COMPUTED_VALUE"""),"Soy / Almond / Oat / Lactose Free")</f>
        <v>Soy / Almond / Oat / Lactose Free</v>
      </c>
      <c r="F81" s="5"/>
      <c r="G81" s="5" t="str">
        <f>IFERROR(__xludf.DUMMYFUNCTION("""COMPUTED_VALUE"""),"0.8")</f>
        <v>0.8</v>
      </c>
      <c r="H81" s="7">
        <f>IFERROR(__xludf.DUMMYFUNCTION("""COMPUTED_VALUE"""),0.9)</f>
        <v>0.9</v>
      </c>
      <c r="I81" s="8">
        <f>IFERROR(__xludf.DUMMYFUNCTION("""COMPUTED_VALUE"""),0.9)</f>
        <v>0.9</v>
      </c>
      <c r="J81" s="5"/>
      <c r="K81" s="11"/>
      <c r="L81" s="10"/>
      <c r="M81" s="10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 t="str">
        <f>IFERROR(__xludf.DUMMYFUNCTION("""COMPUTED_VALUE"""),"7.Espresso (Hot)")</f>
        <v>7.Espresso (Hot)</v>
      </c>
      <c r="B82" s="6">
        <f>IFERROR(__xludf.DUMMYFUNCTION("""COMPUTED_VALUE"""),1.0)</f>
        <v>1</v>
      </c>
      <c r="C82" s="6" t="str">
        <f>IFERROR(__xludf.DUMMYFUNCTION("""COMPUTED_VALUE"""),"P0701")</f>
        <v>P0701</v>
      </c>
      <c r="D82" s="5" t="str">
        <f>IFERROR(__xludf.DUMMYFUNCTION("""COMPUTED_VALUE"""),"Cà Phê Đen Nóng")</f>
        <v>Cà Phê Đen Nóng</v>
      </c>
      <c r="E82" s="5" t="str">
        <f>IFERROR(__xludf.DUMMYFUNCTION("""COMPUTED_VALUE"""),"Vietnamese Black (Hot)")</f>
        <v>Vietnamese Black (Hot)</v>
      </c>
      <c r="F82" s="5" t="str">
        <f>IFERROR(__xludf.DUMMYFUNCTION("""COMPUTED_VALUE"""),"Vietnamese Black (Hot) - Cà Phê Đen Nóng")</f>
        <v>Vietnamese Black (Hot) - Cà Phê Đen Nóng</v>
      </c>
      <c r="G82" s="5" t="str">
        <f>IFERROR(__xludf.DUMMYFUNCTION("""COMPUTED_VALUE"""),"R")</f>
        <v>R</v>
      </c>
      <c r="H82" s="7">
        <f>IFERROR(__xludf.DUMMYFUNCTION("""COMPUTED_VALUE"""),6.0)</f>
        <v>6</v>
      </c>
      <c r="I82" s="8">
        <f>IFERROR(__xludf.DUMMYFUNCTION("""COMPUTED_VALUE"""),6.9)</f>
        <v>6.9</v>
      </c>
      <c r="J82" s="5"/>
      <c r="K82" s="11"/>
      <c r="L82" s="10"/>
      <c r="M82" s="10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 t="str">
        <f>IFERROR(__xludf.DUMMYFUNCTION("""COMPUTED_VALUE"""),"7.Espresso (Hot)")</f>
        <v>7.Espresso (Hot)</v>
      </c>
      <c r="D83" s="5" t="str">
        <f>IFERROR(__xludf.DUMMYFUNCTION("""COMPUTED_VALUE"""),"Cà Phê Đen Nóng")</f>
        <v>Cà Phê Đen Nóng</v>
      </c>
      <c r="E83" s="5" t="str">
        <f>IFERROR(__xludf.DUMMYFUNCTION("""COMPUTED_VALUE"""),"Vietnamese Black (Hot)")</f>
        <v>Vietnamese Black (Hot)</v>
      </c>
      <c r="F83" s="5" t="str">
        <f>IFERROR(__xludf.DUMMYFUNCTION("""COMPUTED_VALUE"""),"Vietnamese Black (Hot) - Cà Phê Đen Nóng")</f>
        <v>Vietnamese Black (Hot) - Cà Phê Đen Nóng</v>
      </c>
      <c r="G83" s="5" t="str">
        <f>IFERROR(__xludf.DUMMYFUNCTION("""COMPUTED_VALUE"""),"L")</f>
        <v>L</v>
      </c>
      <c r="H83" s="7">
        <f>IFERROR(__xludf.DUMMYFUNCTION("""COMPUTED_VALUE"""),6.5)</f>
        <v>6.5</v>
      </c>
      <c r="I83" s="8">
        <f>IFERROR(__xludf.DUMMYFUNCTION("""COMPUTED_VALUE"""),7.5)</f>
        <v>7.5</v>
      </c>
      <c r="J83" s="5"/>
      <c r="K83" s="11"/>
      <c r="L83" s="10"/>
      <c r="M83" s="10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 t="str">
        <f>IFERROR(__xludf.DUMMYFUNCTION("""COMPUTED_VALUE"""),"7.Espresso (Hot)")</f>
        <v>7.Espresso (Hot)</v>
      </c>
      <c r="B84" s="6">
        <f>IFERROR(__xludf.DUMMYFUNCTION("""COMPUTED_VALUE"""),2.0)</f>
        <v>2</v>
      </c>
      <c r="C84" s="6" t="str">
        <f>IFERROR(__xludf.DUMMYFUNCTION("""COMPUTED_VALUE"""),"P0702")</f>
        <v>P0702</v>
      </c>
      <c r="D84" s="5" t="str">
        <f>IFERROR(__xludf.DUMMYFUNCTION("""COMPUTED_VALUE"""),"Cà Phê Sữa Nóng")</f>
        <v>Cà Phê Sữa Nóng</v>
      </c>
      <c r="E84" s="5" t="str">
        <f>IFERROR(__xludf.DUMMYFUNCTION("""COMPUTED_VALUE"""),"Vietnamese White (Hot)")</f>
        <v>Vietnamese White (Hot)</v>
      </c>
      <c r="F84" s="5" t="str">
        <f>IFERROR(__xludf.DUMMYFUNCTION("""COMPUTED_VALUE"""),"Vietnamese White (Hot) - Cà Phê Sữa Nóng")</f>
        <v>Vietnamese White (Hot) - Cà Phê Sữa Nóng</v>
      </c>
      <c r="G84" s="5" t="str">
        <f>IFERROR(__xludf.DUMMYFUNCTION("""COMPUTED_VALUE"""),"R")</f>
        <v>R</v>
      </c>
      <c r="H84" s="7">
        <f>IFERROR(__xludf.DUMMYFUNCTION("""COMPUTED_VALUE"""),6.5)</f>
        <v>6.5</v>
      </c>
      <c r="I84" s="8">
        <f>IFERROR(__xludf.DUMMYFUNCTION("""COMPUTED_VALUE"""),7.5)</f>
        <v>7.5</v>
      </c>
      <c r="J84" s="5"/>
      <c r="K84" s="11"/>
      <c r="L84" s="10"/>
      <c r="M84" s="10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 t="str">
        <f>IFERROR(__xludf.DUMMYFUNCTION("""COMPUTED_VALUE"""),"7.Espresso (Hot)")</f>
        <v>7.Espresso (Hot)</v>
      </c>
      <c r="D85" s="5" t="str">
        <f>IFERROR(__xludf.DUMMYFUNCTION("""COMPUTED_VALUE"""),"Cà Phê Sữa Nóng")</f>
        <v>Cà Phê Sữa Nóng</v>
      </c>
      <c r="E85" s="5" t="str">
        <f>IFERROR(__xludf.DUMMYFUNCTION("""COMPUTED_VALUE"""),"Vietnamese White (Hot)")</f>
        <v>Vietnamese White (Hot)</v>
      </c>
      <c r="F85" s="5" t="str">
        <f>IFERROR(__xludf.DUMMYFUNCTION("""COMPUTED_VALUE"""),"Vietnamese White (Hot) - Cà Phê Sữa Nóng")</f>
        <v>Vietnamese White (Hot) - Cà Phê Sữa Nóng</v>
      </c>
      <c r="G85" s="5" t="str">
        <f>IFERROR(__xludf.DUMMYFUNCTION("""COMPUTED_VALUE"""),"L")</f>
        <v>L</v>
      </c>
      <c r="H85" s="7">
        <f>IFERROR(__xludf.DUMMYFUNCTION("""COMPUTED_VALUE"""),7.0)</f>
        <v>7</v>
      </c>
      <c r="I85" s="8">
        <f>IFERROR(__xludf.DUMMYFUNCTION("""COMPUTED_VALUE"""),7.9)</f>
        <v>7.9</v>
      </c>
      <c r="J85" s="5"/>
      <c r="K85" s="11"/>
      <c r="L85" s="10"/>
      <c r="M85" s="10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 t="str">
        <f>IFERROR(__xludf.DUMMYFUNCTION("""COMPUTED_VALUE"""),"7.Espresso (Hot)")</f>
        <v>7.Espresso (Hot)</v>
      </c>
      <c r="B86" s="6">
        <f>IFERROR(__xludf.DUMMYFUNCTION("""COMPUTED_VALUE"""),3.0)</f>
        <v>3</v>
      </c>
      <c r="C86" s="6" t="str">
        <f>IFERROR(__xludf.DUMMYFUNCTION("""COMPUTED_VALUE"""),"P0703")</f>
        <v>P0703</v>
      </c>
      <c r="D86" s="5" t="str">
        <f>IFERROR(__xludf.DUMMYFUNCTION("""COMPUTED_VALUE"""),"Bạc Xỉu Nóng")</f>
        <v>Bạc Xỉu Nóng</v>
      </c>
      <c r="E86" s="5" t="str">
        <f>IFERROR(__xludf.DUMMYFUNCTION("""COMPUTED_VALUE"""),"Condensed Milk Coffee (Hot)")</f>
        <v>Condensed Milk Coffee (Hot)</v>
      </c>
      <c r="F86" s="5" t="str">
        <f>IFERROR(__xludf.DUMMYFUNCTION("""COMPUTED_VALUE"""),"Condensed Milk Coffee (Hot) - Bạc Xỉu Nóng")</f>
        <v>Condensed Milk Coffee (Hot) - Bạc Xỉu Nóng</v>
      </c>
      <c r="G86" s="5" t="str">
        <f>IFERROR(__xludf.DUMMYFUNCTION("""COMPUTED_VALUE"""),"R")</f>
        <v>R</v>
      </c>
      <c r="H86" s="7">
        <f>IFERROR(__xludf.DUMMYFUNCTION("""COMPUTED_VALUE"""),6.5)</f>
        <v>6.5</v>
      </c>
      <c r="I86" s="8">
        <f>IFERROR(__xludf.DUMMYFUNCTION("""COMPUTED_VALUE"""),7.5)</f>
        <v>7.5</v>
      </c>
      <c r="J86" s="5"/>
      <c r="K86" s="11"/>
      <c r="L86" s="10"/>
      <c r="M86" s="1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 t="str">
        <f>IFERROR(__xludf.DUMMYFUNCTION("""COMPUTED_VALUE"""),"7.Espresso (Hot)")</f>
        <v>7.Espresso (Hot)</v>
      </c>
      <c r="D87" s="5" t="str">
        <f>IFERROR(__xludf.DUMMYFUNCTION("""COMPUTED_VALUE"""),"Bạc Xỉu Nóng")</f>
        <v>Bạc Xỉu Nóng</v>
      </c>
      <c r="E87" s="5" t="str">
        <f>IFERROR(__xludf.DUMMYFUNCTION("""COMPUTED_VALUE"""),"Condensed Milk Coffee (Hot)")</f>
        <v>Condensed Milk Coffee (Hot)</v>
      </c>
      <c r="F87" s="5" t="str">
        <f>IFERROR(__xludf.DUMMYFUNCTION("""COMPUTED_VALUE"""),"Condensed Milk Coffee (Hot) - Bạc Xỉu Nóng")</f>
        <v>Condensed Milk Coffee (Hot) - Bạc Xỉu Nóng</v>
      </c>
      <c r="G87" s="5" t="str">
        <f>IFERROR(__xludf.DUMMYFUNCTION("""COMPUTED_VALUE"""),"L")</f>
        <v>L</v>
      </c>
      <c r="H87" s="7">
        <f>IFERROR(__xludf.DUMMYFUNCTION("""COMPUTED_VALUE"""),7.0)</f>
        <v>7</v>
      </c>
      <c r="I87" s="8">
        <f>IFERROR(__xludf.DUMMYFUNCTION("""COMPUTED_VALUE"""),7.9)</f>
        <v>7.9</v>
      </c>
      <c r="J87" s="5"/>
      <c r="K87" s="11"/>
      <c r="L87" s="10"/>
      <c r="M87" s="10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 t="str">
        <f>IFERROR(__xludf.DUMMYFUNCTION("""COMPUTED_VALUE"""),"7.Espresso (Hot)")</f>
        <v>7.Espresso (Hot)</v>
      </c>
      <c r="B88" s="6">
        <f>IFERROR(__xludf.DUMMYFUNCTION("""COMPUTED_VALUE"""),4.0)</f>
        <v>4</v>
      </c>
      <c r="C88" s="6" t="str">
        <f>IFERROR(__xludf.DUMMYFUNCTION("""COMPUTED_VALUE"""),"P0704")</f>
        <v>P0704</v>
      </c>
      <c r="D88" s="5" t="str">
        <f>IFERROR(__xludf.DUMMYFUNCTION("""COMPUTED_VALUE"""),"Espresso / Short Black")</f>
        <v>Espresso / Short Black</v>
      </c>
      <c r="E88" s="5" t="str">
        <f>IFERROR(__xludf.DUMMYFUNCTION("""COMPUTED_VALUE"""),"Espresso / Short Black")</f>
        <v>Espresso / Short Black</v>
      </c>
      <c r="F88" s="5" t="str">
        <f>IFERROR(__xludf.DUMMYFUNCTION("""COMPUTED_VALUE"""),"Espresso / Short Black - Espresso / Short Black")</f>
        <v>Espresso / Short Black - Espresso / Short Black</v>
      </c>
      <c r="G88" s="5" t="str">
        <f>IFERROR(__xludf.DUMMYFUNCTION("""COMPUTED_VALUE"""),"R")</f>
        <v>R</v>
      </c>
      <c r="H88" s="7">
        <f>IFERROR(__xludf.DUMMYFUNCTION("""COMPUTED_VALUE"""),4.0)</f>
        <v>4</v>
      </c>
      <c r="I88" s="8">
        <f>IFERROR(__xludf.DUMMYFUNCTION("""COMPUTED_VALUE"""),4.5)</f>
        <v>4.5</v>
      </c>
      <c r="J88" s="5"/>
      <c r="K88" s="11"/>
      <c r="L88" s="5"/>
      <c r="M88" s="10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 t="str">
        <f>IFERROR(__xludf.DUMMYFUNCTION("""COMPUTED_VALUE"""),"7.Espresso (Hot)")</f>
        <v>7.Espresso (Hot)</v>
      </c>
      <c r="B89" s="6">
        <f>IFERROR(__xludf.DUMMYFUNCTION("""COMPUTED_VALUE"""),5.0)</f>
        <v>5</v>
      </c>
      <c r="C89" s="6" t="str">
        <f>IFERROR(__xludf.DUMMYFUNCTION("""COMPUTED_VALUE"""),"P0705")</f>
        <v>P0705</v>
      </c>
      <c r="D89" s="5" t="str">
        <f>IFERROR(__xludf.DUMMYFUNCTION("""COMPUTED_VALUE"""),"Piccolo")</f>
        <v>Piccolo</v>
      </c>
      <c r="E89" s="5" t="str">
        <f>IFERROR(__xludf.DUMMYFUNCTION("""COMPUTED_VALUE"""),"Piccolo")</f>
        <v>Piccolo</v>
      </c>
      <c r="F89" s="5" t="str">
        <f>IFERROR(__xludf.DUMMYFUNCTION("""COMPUTED_VALUE"""),"Piccolo - Piccolo")</f>
        <v>Piccolo - Piccolo</v>
      </c>
      <c r="G89" s="5" t="str">
        <f>IFERROR(__xludf.DUMMYFUNCTION("""COMPUTED_VALUE"""),"R")</f>
        <v>R</v>
      </c>
      <c r="H89" s="7">
        <f>IFERROR(__xludf.DUMMYFUNCTION("""COMPUTED_VALUE"""),4.5)</f>
        <v>4.5</v>
      </c>
      <c r="I89" s="8">
        <f>IFERROR(__xludf.DUMMYFUNCTION("""COMPUTED_VALUE"""),4.9)</f>
        <v>4.9</v>
      </c>
      <c r="J89" s="5"/>
      <c r="K89" s="11"/>
      <c r="L89" s="5"/>
      <c r="M89" s="10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 t="str">
        <f>IFERROR(__xludf.DUMMYFUNCTION("""COMPUTED_VALUE"""),"7.Espresso (Hot)")</f>
        <v>7.Espresso (Hot)</v>
      </c>
      <c r="B90" s="6">
        <f>IFERROR(__xludf.DUMMYFUNCTION("""COMPUTED_VALUE"""),6.0)</f>
        <v>6</v>
      </c>
      <c r="C90" s="6" t="str">
        <f>IFERROR(__xludf.DUMMYFUNCTION("""COMPUTED_VALUE"""),"P0706")</f>
        <v>P0706</v>
      </c>
      <c r="D90" s="5" t="str">
        <f>IFERROR(__xludf.DUMMYFUNCTION("""COMPUTED_VALUE"""),"Macchiato")</f>
        <v>Macchiato</v>
      </c>
      <c r="E90" s="5" t="str">
        <f>IFERROR(__xludf.DUMMYFUNCTION("""COMPUTED_VALUE"""),"Macchiato")</f>
        <v>Macchiato</v>
      </c>
      <c r="F90" s="5" t="str">
        <f>IFERROR(__xludf.DUMMYFUNCTION("""COMPUTED_VALUE"""),"Macchiato - Macchiato")</f>
        <v>Macchiato - Macchiato</v>
      </c>
      <c r="G90" s="5" t="str">
        <f>IFERROR(__xludf.DUMMYFUNCTION("""COMPUTED_VALUE"""),"R")</f>
        <v>R</v>
      </c>
      <c r="H90" s="7">
        <f>IFERROR(__xludf.DUMMYFUNCTION("""COMPUTED_VALUE"""),4.5)</f>
        <v>4.5</v>
      </c>
      <c r="I90" s="8">
        <f>IFERROR(__xludf.DUMMYFUNCTION("""COMPUTED_VALUE"""),4.9)</f>
        <v>4.9</v>
      </c>
      <c r="J90" s="5"/>
      <c r="K90" s="11"/>
      <c r="L90" s="10"/>
      <c r="M90" s="10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5" t="str">
        <f>IFERROR(__xludf.DUMMYFUNCTION("""COMPUTED_VALUE"""),"7.Espresso (Hot)")</f>
        <v>7.Espresso (Hot)</v>
      </c>
      <c r="B91" s="16">
        <f>IFERROR(__xludf.DUMMYFUNCTION("""COMPUTED_VALUE"""),8.0)</f>
        <v>8</v>
      </c>
      <c r="C91" s="16" t="str">
        <f>IFERROR(__xludf.DUMMYFUNCTION("""COMPUTED_VALUE"""),"P0708")</f>
        <v>P0708</v>
      </c>
      <c r="D91" s="15" t="str">
        <f>IFERROR(__xludf.DUMMYFUNCTION("""COMPUTED_VALUE"""),"Long Black")</f>
        <v>Long Black</v>
      </c>
      <c r="E91" s="15" t="str">
        <f>IFERROR(__xludf.DUMMYFUNCTION("""COMPUTED_VALUE"""),"Long Black")</f>
        <v>Long Black</v>
      </c>
      <c r="F91" s="15" t="str">
        <f>IFERROR(__xludf.DUMMYFUNCTION("""COMPUTED_VALUE"""),"Long Black - Long Black")</f>
        <v>Long Black - Long Black</v>
      </c>
      <c r="G91" s="15" t="str">
        <f>IFERROR(__xludf.DUMMYFUNCTION("""COMPUTED_VALUE"""),"R")</f>
        <v>R</v>
      </c>
      <c r="H91" s="17">
        <f>IFERROR(__xludf.DUMMYFUNCTION("""COMPUTED_VALUE"""),5.5)</f>
        <v>5.5</v>
      </c>
      <c r="I91" s="18">
        <f>IFERROR(__xludf.DUMMYFUNCTION("""COMPUTED_VALUE"""),6.5)</f>
        <v>6.5</v>
      </c>
      <c r="J91" s="15"/>
      <c r="K91" s="11"/>
      <c r="L91" s="19"/>
      <c r="M91" s="19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5" t="str">
        <f>IFERROR(__xludf.DUMMYFUNCTION("""COMPUTED_VALUE"""),"7.Espresso (Hot)")</f>
        <v>7.Espresso (Hot)</v>
      </c>
      <c r="D92" s="15" t="str">
        <f>IFERROR(__xludf.DUMMYFUNCTION("""COMPUTED_VALUE"""),"Long Black")</f>
        <v>Long Black</v>
      </c>
      <c r="E92" s="15" t="str">
        <f>IFERROR(__xludf.DUMMYFUNCTION("""COMPUTED_VALUE"""),"Long Black")</f>
        <v>Long Black</v>
      </c>
      <c r="F92" s="15" t="str">
        <f>IFERROR(__xludf.DUMMYFUNCTION("""COMPUTED_VALUE"""),"Long Black - Long Black")</f>
        <v>Long Black - Long Black</v>
      </c>
      <c r="G92" s="15" t="str">
        <f>IFERROR(__xludf.DUMMYFUNCTION("""COMPUTED_VALUE"""),"L")</f>
        <v>L</v>
      </c>
      <c r="H92" s="17">
        <f>IFERROR(__xludf.DUMMYFUNCTION("""COMPUTED_VALUE"""),6.0)</f>
        <v>6</v>
      </c>
      <c r="I92" s="18">
        <f>IFERROR(__xludf.DUMMYFUNCTION("""COMPUTED_VALUE"""),6.9)</f>
        <v>6.9</v>
      </c>
      <c r="J92" s="15"/>
      <c r="K92" s="11"/>
      <c r="L92" s="19"/>
      <c r="M92" s="19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5" t="str">
        <f>IFERROR(__xludf.DUMMYFUNCTION("""COMPUTED_VALUE"""),"7.Espresso (Hot)")</f>
        <v>7.Espresso (Hot)</v>
      </c>
      <c r="B93" s="16">
        <f>IFERROR(__xludf.DUMMYFUNCTION("""COMPUTED_VALUE"""),10.0)</f>
        <v>10</v>
      </c>
      <c r="C93" s="16" t="str">
        <f>IFERROR(__xludf.DUMMYFUNCTION("""COMPUTED_VALUE"""),"P0710")</f>
        <v>P0710</v>
      </c>
      <c r="D93" s="15" t="str">
        <f>IFERROR(__xludf.DUMMYFUNCTION("""COMPUTED_VALUE"""),"Latte")</f>
        <v>Latte</v>
      </c>
      <c r="E93" s="15" t="str">
        <f>IFERROR(__xludf.DUMMYFUNCTION("""COMPUTED_VALUE"""),"Latte")</f>
        <v>Latte</v>
      </c>
      <c r="F93" s="15" t="str">
        <f>IFERROR(__xludf.DUMMYFUNCTION("""COMPUTED_VALUE"""),"Latte - Latte")</f>
        <v>Latte - Latte</v>
      </c>
      <c r="G93" s="15" t="str">
        <f>IFERROR(__xludf.DUMMYFUNCTION("""COMPUTED_VALUE"""),"R")</f>
        <v>R</v>
      </c>
      <c r="H93" s="17">
        <f>IFERROR(__xludf.DUMMYFUNCTION("""COMPUTED_VALUE"""),5.5)</f>
        <v>5.5</v>
      </c>
      <c r="I93" s="18">
        <f>IFERROR(__xludf.DUMMYFUNCTION("""COMPUTED_VALUE"""),6.5)</f>
        <v>6.5</v>
      </c>
      <c r="J93" s="15"/>
      <c r="K93" s="11"/>
      <c r="L93" s="19"/>
      <c r="M93" s="19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5" t="str">
        <f>IFERROR(__xludf.DUMMYFUNCTION("""COMPUTED_VALUE"""),"7.Espresso (Hot)")</f>
        <v>7.Espresso (Hot)</v>
      </c>
      <c r="D94" s="15" t="str">
        <f>IFERROR(__xludf.DUMMYFUNCTION("""COMPUTED_VALUE"""),"Latte")</f>
        <v>Latte</v>
      </c>
      <c r="E94" s="15" t="str">
        <f>IFERROR(__xludf.DUMMYFUNCTION("""COMPUTED_VALUE"""),"Latte")</f>
        <v>Latte</v>
      </c>
      <c r="F94" s="15" t="str">
        <f>IFERROR(__xludf.DUMMYFUNCTION("""COMPUTED_VALUE"""),"Latte - Latte")</f>
        <v>Latte - Latte</v>
      </c>
      <c r="G94" s="15" t="str">
        <f>IFERROR(__xludf.DUMMYFUNCTION("""COMPUTED_VALUE"""),"L")</f>
        <v>L</v>
      </c>
      <c r="H94" s="17">
        <f>IFERROR(__xludf.DUMMYFUNCTION("""COMPUTED_VALUE"""),6.0)</f>
        <v>6</v>
      </c>
      <c r="I94" s="18">
        <f>IFERROR(__xludf.DUMMYFUNCTION("""COMPUTED_VALUE"""),6.9)</f>
        <v>6.9</v>
      </c>
      <c r="J94" s="19"/>
      <c r="K94" s="11"/>
      <c r="L94" s="19"/>
      <c r="M94" s="19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5" t="str">
        <f>IFERROR(__xludf.DUMMYFUNCTION("""COMPUTED_VALUE"""),"7.Espresso (Hot)")</f>
        <v>7.Espresso (Hot)</v>
      </c>
      <c r="B95" s="16">
        <f>IFERROR(__xludf.DUMMYFUNCTION("""COMPUTED_VALUE"""),11.0)</f>
        <v>11</v>
      </c>
      <c r="C95" s="16" t="str">
        <f>IFERROR(__xludf.DUMMYFUNCTION("""COMPUTED_VALUE"""),"P0711")</f>
        <v>P0711</v>
      </c>
      <c r="D95" s="15" t="str">
        <f>IFERROR(__xludf.DUMMYFUNCTION("""COMPUTED_VALUE"""),"Flat White")</f>
        <v>Flat White</v>
      </c>
      <c r="E95" s="15" t="str">
        <f>IFERROR(__xludf.DUMMYFUNCTION("""COMPUTED_VALUE"""),"Flat White")</f>
        <v>Flat White</v>
      </c>
      <c r="F95" s="15" t="str">
        <f>IFERROR(__xludf.DUMMYFUNCTION("""COMPUTED_VALUE"""),"Flat White - Flat White")</f>
        <v>Flat White - Flat White</v>
      </c>
      <c r="G95" s="15" t="str">
        <f>IFERROR(__xludf.DUMMYFUNCTION("""COMPUTED_VALUE"""),"R")</f>
        <v>R</v>
      </c>
      <c r="H95" s="17">
        <f>IFERROR(__xludf.DUMMYFUNCTION("""COMPUTED_VALUE"""),5.5)</f>
        <v>5.5</v>
      </c>
      <c r="I95" s="18">
        <f>IFERROR(__xludf.DUMMYFUNCTION("""COMPUTED_VALUE"""),6.5)</f>
        <v>6.5</v>
      </c>
      <c r="J95" s="15"/>
      <c r="K95" s="11"/>
      <c r="L95" s="19"/>
      <c r="M95" s="19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5" t="str">
        <f>IFERROR(__xludf.DUMMYFUNCTION("""COMPUTED_VALUE"""),"7.Espresso (Hot)")</f>
        <v>7.Espresso (Hot)</v>
      </c>
      <c r="D96" s="15" t="str">
        <f>IFERROR(__xludf.DUMMYFUNCTION("""COMPUTED_VALUE"""),"Flat White")</f>
        <v>Flat White</v>
      </c>
      <c r="E96" s="15" t="str">
        <f>IFERROR(__xludf.DUMMYFUNCTION("""COMPUTED_VALUE"""),"Flat White")</f>
        <v>Flat White</v>
      </c>
      <c r="F96" s="15" t="str">
        <f>IFERROR(__xludf.DUMMYFUNCTION("""COMPUTED_VALUE"""),"Flat White - Flat White")</f>
        <v>Flat White - Flat White</v>
      </c>
      <c r="G96" s="15" t="str">
        <f>IFERROR(__xludf.DUMMYFUNCTION("""COMPUTED_VALUE"""),"L")</f>
        <v>L</v>
      </c>
      <c r="H96" s="17">
        <f>IFERROR(__xludf.DUMMYFUNCTION("""COMPUTED_VALUE"""),6.0)</f>
        <v>6</v>
      </c>
      <c r="I96" s="18">
        <f>IFERROR(__xludf.DUMMYFUNCTION("""COMPUTED_VALUE"""),6.9)</f>
        <v>6.9</v>
      </c>
      <c r="J96" s="15"/>
      <c r="K96" s="11"/>
      <c r="L96" s="19"/>
      <c r="M96" s="19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5" t="str">
        <f>IFERROR(__xludf.DUMMYFUNCTION("""COMPUTED_VALUE"""),"7.Espresso (Hot)")</f>
        <v>7.Espresso (Hot)</v>
      </c>
      <c r="B97" s="16">
        <f>IFERROR(__xludf.DUMMYFUNCTION("""COMPUTED_VALUE"""),12.0)</f>
        <v>12</v>
      </c>
      <c r="C97" s="16" t="str">
        <f>IFERROR(__xludf.DUMMYFUNCTION("""COMPUTED_VALUE"""),"P0712")</f>
        <v>P0712</v>
      </c>
      <c r="D97" s="15" t="str">
        <f>IFERROR(__xludf.DUMMYFUNCTION("""COMPUTED_VALUE"""),"Cappuccino")</f>
        <v>Cappuccino</v>
      </c>
      <c r="E97" s="15" t="str">
        <f>IFERROR(__xludf.DUMMYFUNCTION("""COMPUTED_VALUE"""),"Cappuccino")</f>
        <v>Cappuccino</v>
      </c>
      <c r="F97" s="15" t="str">
        <f>IFERROR(__xludf.DUMMYFUNCTION("""COMPUTED_VALUE"""),"Cappuccino - Cappuccino")</f>
        <v>Cappuccino - Cappuccino</v>
      </c>
      <c r="G97" s="15" t="str">
        <f>IFERROR(__xludf.DUMMYFUNCTION("""COMPUTED_VALUE"""),"R")</f>
        <v>R</v>
      </c>
      <c r="H97" s="17">
        <f>IFERROR(__xludf.DUMMYFUNCTION("""COMPUTED_VALUE"""),5.5)</f>
        <v>5.5</v>
      </c>
      <c r="I97" s="18">
        <f>IFERROR(__xludf.DUMMYFUNCTION("""COMPUTED_VALUE"""),6.5)</f>
        <v>6.5</v>
      </c>
      <c r="J97" s="15"/>
      <c r="K97" s="11"/>
      <c r="L97" s="19"/>
      <c r="M97" s="19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5" t="str">
        <f>IFERROR(__xludf.DUMMYFUNCTION("""COMPUTED_VALUE"""),"7.Espresso (Hot)")</f>
        <v>7.Espresso (Hot)</v>
      </c>
      <c r="D98" s="15" t="str">
        <f>IFERROR(__xludf.DUMMYFUNCTION("""COMPUTED_VALUE"""),"Cappuccino")</f>
        <v>Cappuccino</v>
      </c>
      <c r="E98" s="15" t="str">
        <f>IFERROR(__xludf.DUMMYFUNCTION("""COMPUTED_VALUE"""),"Cappuccino")</f>
        <v>Cappuccino</v>
      </c>
      <c r="F98" s="15" t="str">
        <f>IFERROR(__xludf.DUMMYFUNCTION("""COMPUTED_VALUE"""),"Cappuccino - Cappuccino")</f>
        <v>Cappuccino - Cappuccino</v>
      </c>
      <c r="G98" s="15" t="str">
        <f>IFERROR(__xludf.DUMMYFUNCTION("""COMPUTED_VALUE"""),"L")</f>
        <v>L</v>
      </c>
      <c r="H98" s="17">
        <f>IFERROR(__xludf.DUMMYFUNCTION("""COMPUTED_VALUE"""),6.0)</f>
        <v>6</v>
      </c>
      <c r="I98" s="18">
        <f>IFERROR(__xludf.DUMMYFUNCTION("""COMPUTED_VALUE"""),6.9)</f>
        <v>6.9</v>
      </c>
      <c r="J98" s="15"/>
      <c r="K98" s="11"/>
      <c r="L98" s="15"/>
      <c r="M98" s="19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5" t="str">
        <f>IFERROR(__xludf.DUMMYFUNCTION("""COMPUTED_VALUE"""),"7.Espresso (Hot)")</f>
        <v>7.Espresso (Hot)</v>
      </c>
      <c r="B99" s="16">
        <f>IFERROR(__xludf.DUMMYFUNCTION("""COMPUTED_VALUE"""),13.0)</f>
        <v>13</v>
      </c>
      <c r="C99" s="16" t="str">
        <f>IFERROR(__xludf.DUMMYFUNCTION("""COMPUTED_VALUE"""),"P0713")</f>
        <v>P0713</v>
      </c>
      <c r="D99" s="15" t="str">
        <f>IFERROR(__xludf.DUMMYFUNCTION("""COMPUTED_VALUE"""),"Mocha")</f>
        <v>Mocha</v>
      </c>
      <c r="E99" s="15" t="str">
        <f>IFERROR(__xludf.DUMMYFUNCTION("""COMPUTED_VALUE"""),"Mocha")</f>
        <v>Mocha</v>
      </c>
      <c r="F99" s="15" t="str">
        <f>IFERROR(__xludf.DUMMYFUNCTION("""COMPUTED_VALUE"""),"Mocha - Mocha")</f>
        <v>Mocha - Mocha</v>
      </c>
      <c r="G99" s="15" t="str">
        <f>IFERROR(__xludf.DUMMYFUNCTION("""COMPUTED_VALUE"""),"R")</f>
        <v>R</v>
      </c>
      <c r="H99" s="17">
        <f>IFERROR(__xludf.DUMMYFUNCTION("""COMPUTED_VALUE"""),6.0)</f>
        <v>6</v>
      </c>
      <c r="I99" s="18">
        <f>IFERROR(__xludf.DUMMYFUNCTION("""COMPUTED_VALUE"""),6.9)</f>
        <v>6.9</v>
      </c>
      <c r="J99" s="15"/>
      <c r="K99" s="11"/>
      <c r="L99" s="19"/>
      <c r="M99" s="19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5" t="str">
        <f>IFERROR(__xludf.DUMMYFUNCTION("""COMPUTED_VALUE"""),"7.Espresso (Hot)")</f>
        <v>7.Espresso (Hot)</v>
      </c>
      <c r="D100" s="15" t="str">
        <f>IFERROR(__xludf.DUMMYFUNCTION("""COMPUTED_VALUE"""),"Mocha")</f>
        <v>Mocha</v>
      </c>
      <c r="E100" s="15" t="str">
        <f>IFERROR(__xludf.DUMMYFUNCTION("""COMPUTED_VALUE"""),"Mocha")</f>
        <v>Mocha</v>
      </c>
      <c r="F100" s="15" t="str">
        <f>IFERROR(__xludf.DUMMYFUNCTION("""COMPUTED_VALUE"""),"Mocha - Mocha")</f>
        <v>Mocha - Mocha</v>
      </c>
      <c r="G100" s="15" t="str">
        <f>IFERROR(__xludf.DUMMYFUNCTION("""COMPUTED_VALUE"""),"L")</f>
        <v>L</v>
      </c>
      <c r="H100" s="17">
        <f>IFERROR(__xludf.DUMMYFUNCTION("""COMPUTED_VALUE"""),6.5)</f>
        <v>6.5</v>
      </c>
      <c r="I100" s="18">
        <f>IFERROR(__xludf.DUMMYFUNCTION("""COMPUTED_VALUE"""),7.5)</f>
        <v>7.5</v>
      </c>
      <c r="J100" s="15"/>
      <c r="K100" s="11"/>
      <c r="L100" s="19"/>
      <c r="M100" s="19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5" t="str">
        <f>IFERROR(__xludf.DUMMYFUNCTION("""COMPUTED_VALUE"""),"7.Espresso (Hot)")</f>
        <v>7.Espresso (Hot)</v>
      </c>
      <c r="B101" s="16">
        <f>IFERROR(__xludf.DUMMYFUNCTION("""COMPUTED_VALUE"""),14.0)</f>
        <v>14</v>
      </c>
      <c r="C101" s="16" t="str">
        <f>IFERROR(__xludf.DUMMYFUNCTION("""COMPUTED_VALUE"""),"P0714")</f>
        <v>P0714</v>
      </c>
      <c r="D101" s="15" t="str">
        <f>IFERROR(__xludf.DUMMYFUNCTION("""COMPUTED_VALUE"""),"Babyccino")</f>
        <v>Babyccino</v>
      </c>
      <c r="E101" s="15" t="str">
        <f>IFERROR(__xludf.DUMMYFUNCTION("""COMPUTED_VALUE"""),"Babyccino")</f>
        <v>Babyccino</v>
      </c>
      <c r="F101" s="15" t="str">
        <f>IFERROR(__xludf.DUMMYFUNCTION("""COMPUTED_VALUE"""),"Babyccino - Babyccino")</f>
        <v>Babyccino - Babyccino</v>
      </c>
      <c r="G101" s="15" t="str">
        <f>IFERROR(__xludf.DUMMYFUNCTION("""COMPUTED_VALUE"""),"R")</f>
        <v>R</v>
      </c>
      <c r="H101" s="17">
        <f>IFERROR(__xludf.DUMMYFUNCTION("""COMPUTED_VALUE"""),3.5)</f>
        <v>3.5</v>
      </c>
      <c r="I101" s="18">
        <f>IFERROR(__xludf.DUMMYFUNCTION("""COMPUTED_VALUE"""),3.9)</f>
        <v>3.9</v>
      </c>
      <c r="J101" s="15"/>
      <c r="K101" s="11"/>
      <c r="L101" s="19"/>
      <c r="M101" s="19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5" t="str">
        <f>IFERROR(__xludf.DUMMYFUNCTION("""COMPUTED_VALUE"""),"7.Espresso (Hot)")</f>
        <v>7.Espresso (Hot)</v>
      </c>
      <c r="B102" s="16">
        <f>IFERROR(__xludf.DUMMYFUNCTION("""COMPUTED_VALUE"""),15.0)</f>
        <v>15</v>
      </c>
      <c r="C102" s="16" t="str">
        <f>IFERROR(__xludf.DUMMYFUNCTION("""COMPUTED_VALUE"""),"P0715")</f>
        <v>P0715</v>
      </c>
      <c r="D102" s="15" t="str">
        <f>IFERROR(__xludf.DUMMYFUNCTION("""COMPUTED_VALUE"""),"Affogato")</f>
        <v>Affogato</v>
      </c>
      <c r="E102" s="15" t="str">
        <f>IFERROR(__xludf.DUMMYFUNCTION("""COMPUTED_VALUE"""),"Affogato")</f>
        <v>Affogato</v>
      </c>
      <c r="F102" s="15" t="str">
        <f>IFERROR(__xludf.DUMMYFUNCTION("""COMPUTED_VALUE"""),"Affogato - Affogato")</f>
        <v>Affogato - Affogato</v>
      </c>
      <c r="G102" s="15" t="str">
        <f>IFERROR(__xludf.DUMMYFUNCTION("""COMPUTED_VALUE"""),"R")</f>
        <v>R</v>
      </c>
      <c r="H102" s="17">
        <f>IFERROR(__xludf.DUMMYFUNCTION("""COMPUTED_VALUE"""),9.5)</f>
        <v>9.5</v>
      </c>
      <c r="I102" s="18">
        <f>IFERROR(__xludf.DUMMYFUNCTION("""COMPUTED_VALUE"""),10.9)</f>
        <v>10.9</v>
      </c>
      <c r="J102" s="15"/>
      <c r="K102" s="11"/>
      <c r="L102" s="19"/>
      <c r="M102" s="19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5" t="str">
        <f>IFERROR(__xludf.DUMMYFUNCTION("""COMPUTED_VALUE"""),"7.Espresso (Hot)")</f>
        <v>7.Espresso (Hot)</v>
      </c>
      <c r="B103" s="16">
        <f>IFERROR(__xludf.DUMMYFUNCTION("""COMPUTED_VALUE"""),16.0)</f>
        <v>16</v>
      </c>
      <c r="C103" s="16" t="str">
        <f>IFERROR(__xludf.DUMMYFUNCTION("""COMPUTED_VALUE"""),"P0716")</f>
        <v>P0716</v>
      </c>
      <c r="D103" s="15" t="str">
        <f>IFERROR(__xludf.DUMMYFUNCTION("""COMPUTED_VALUE"""),"Dirty Chai Latte (Hot)")</f>
        <v>Dirty Chai Latte (Hot)</v>
      </c>
      <c r="E103" s="15" t="str">
        <f>IFERROR(__xludf.DUMMYFUNCTION("""COMPUTED_VALUE"""),"Dirty Chai Latte (Hot)")</f>
        <v>Dirty Chai Latte (Hot)</v>
      </c>
      <c r="F103" s="15" t="str">
        <f>IFERROR(__xludf.DUMMYFUNCTION("""COMPUTED_VALUE"""),"Dirty Chai Latte (Hot) - Dirty Chai Latte (Hot)")</f>
        <v>Dirty Chai Latte (Hot) - Dirty Chai Latte (Hot)</v>
      </c>
      <c r="G103" s="15" t="str">
        <f>IFERROR(__xludf.DUMMYFUNCTION("""COMPUTED_VALUE"""),"R")</f>
        <v>R</v>
      </c>
      <c r="H103" s="17">
        <f>IFERROR(__xludf.DUMMYFUNCTION("""COMPUTED_VALUE"""),6.0)</f>
        <v>6</v>
      </c>
      <c r="I103" s="18">
        <f>IFERROR(__xludf.DUMMYFUNCTION("""COMPUTED_VALUE"""),6.9)</f>
        <v>6.9</v>
      </c>
      <c r="J103" s="15"/>
      <c r="K103" s="11"/>
      <c r="L103" s="19"/>
      <c r="M103" s="19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5" t="str">
        <f>IFERROR(__xludf.DUMMYFUNCTION("""COMPUTED_VALUE"""),"7.Espresso (Hot)")</f>
        <v>7.Espresso (Hot)</v>
      </c>
      <c r="D104" s="15" t="str">
        <f>IFERROR(__xludf.DUMMYFUNCTION("""COMPUTED_VALUE"""),"Dirty Chai Latte (Hot)")</f>
        <v>Dirty Chai Latte (Hot)</v>
      </c>
      <c r="E104" s="15" t="str">
        <f>IFERROR(__xludf.DUMMYFUNCTION("""COMPUTED_VALUE"""),"Dirty Chai Latte (Hot)")</f>
        <v>Dirty Chai Latte (Hot)</v>
      </c>
      <c r="F104" s="15" t="str">
        <f>IFERROR(__xludf.DUMMYFUNCTION("""COMPUTED_VALUE"""),"Dirty Chai Latte (Hot) - Dirty Chai Latte (Hot)")</f>
        <v>Dirty Chai Latte (Hot) - Dirty Chai Latte (Hot)</v>
      </c>
      <c r="G104" s="15" t="str">
        <f>IFERROR(__xludf.DUMMYFUNCTION("""COMPUTED_VALUE"""),"L")</f>
        <v>L</v>
      </c>
      <c r="H104" s="17">
        <f>IFERROR(__xludf.DUMMYFUNCTION("""COMPUTED_VALUE"""),6.5)</f>
        <v>6.5</v>
      </c>
      <c r="I104" s="18">
        <f>IFERROR(__xludf.DUMMYFUNCTION("""COMPUTED_VALUE"""),7.5)</f>
        <v>7.5</v>
      </c>
      <c r="J104" s="15"/>
      <c r="K104" s="11"/>
      <c r="L104" s="19"/>
      <c r="M104" s="19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5" t="str">
        <f>IFERROR(__xludf.DUMMYFUNCTION("""COMPUTED_VALUE"""),"7.Espresso (Hot)")</f>
        <v>7.Espresso (Hot)</v>
      </c>
      <c r="B105" s="16">
        <f>IFERROR(__xludf.DUMMYFUNCTION("""COMPUTED_VALUE"""),17.0)</f>
        <v>17</v>
      </c>
      <c r="C105" s="16" t="str">
        <f>IFERROR(__xludf.DUMMYFUNCTION("""COMPUTED_VALUE"""),"P0717")</f>
        <v>P0717</v>
      </c>
      <c r="D105" s="15" t="str">
        <f>IFERROR(__xludf.DUMMYFUNCTION("""COMPUTED_VALUE"""),"Dirty Matcha (Hot)")</f>
        <v>Dirty Matcha (Hot)</v>
      </c>
      <c r="E105" s="15" t="str">
        <f>IFERROR(__xludf.DUMMYFUNCTION("""COMPUTED_VALUE"""),"Dirty Matcha (Hot)")</f>
        <v>Dirty Matcha (Hot)</v>
      </c>
      <c r="F105" s="15" t="str">
        <f>IFERROR(__xludf.DUMMYFUNCTION("""COMPUTED_VALUE"""),"Dirty Matcha (Hot) - Dirty Matcha (Hot)")</f>
        <v>Dirty Matcha (Hot) - Dirty Matcha (Hot)</v>
      </c>
      <c r="G105" s="15" t="str">
        <f>IFERROR(__xludf.DUMMYFUNCTION("""COMPUTED_VALUE"""),"R")</f>
        <v>R</v>
      </c>
      <c r="H105" s="17">
        <f>IFERROR(__xludf.DUMMYFUNCTION("""COMPUTED_VALUE"""),6.0)</f>
        <v>6</v>
      </c>
      <c r="I105" s="18">
        <f>IFERROR(__xludf.DUMMYFUNCTION("""COMPUTED_VALUE"""),6.9)</f>
        <v>6.9</v>
      </c>
      <c r="J105" s="15"/>
      <c r="K105" s="11"/>
      <c r="L105" s="19"/>
      <c r="M105" s="19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5" t="str">
        <f>IFERROR(__xludf.DUMMYFUNCTION("""COMPUTED_VALUE"""),"7.Espresso (Hot)")</f>
        <v>7.Espresso (Hot)</v>
      </c>
      <c r="B106" s="16"/>
      <c r="C106" s="16"/>
      <c r="D106" s="15" t="str">
        <f>IFERROR(__xludf.DUMMYFUNCTION("""COMPUTED_VALUE"""),"Dirty Matcha (Hot)")</f>
        <v>Dirty Matcha (Hot)</v>
      </c>
      <c r="E106" s="15" t="str">
        <f>IFERROR(__xludf.DUMMYFUNCTION("""COMPUTED_VALUE"""),"Dirty Matcha (Hot)")</f>
        <v>Dirty Matcha (Hot)</v>
      </c>
      <c r="F106" s="15" t="str">
        <f>IFERROR(__xludf.DUMMYFUNCTION("""COMPUTED_VALUE"""),"Dirty Matcha (Hot) - Dirty Matcha (Hot)")</f>
        <v>Dirty Matcha (Hot) - Dirty Matcha (Hot)</v>
      </c>
      <c r="G106" s="15" t="str">
        <f>IFERROR(__xludf.DUMMYFUNCTION("""COMPUTED_VALUE"""),"L")</f>
        <v>L</v>
      </c>
      <c r="H106" s="17">
        <f>IFERROR(__xludf.DUMMYFUNCTION("""COMPUTED_VALUE"""),6.5)</f>
        <v>6.5</v>
      </c>
      <c r="I106" s="18">
        <f>IFERROR(__xludf.DUMMYFUNCTION("""COMPUTED_VALUE"""),7.5)</f>
        <v>7.5</v>
      </c>
      <c r="J106" s="15"/>
      <c r="K106" s="11"/>
      <c r="L106" s="19"/>
      <c r="M106" s="19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5" t="str">
        <f>IFERROR(__xludf.DUMMYFUNCTION("""COMPUTED_VALUE"""),"7.Espresso (Hot)")</f>
        <v>7.Espresso (Hot)</v>
      </c>
      <c r="B107" s="16">
        <f>IFERROR(__xludf.DUMMYFUNCTION("""COMPUTED_VALUE"""),18.0)</f>
        <v>18</v>
      </c>
      <c r="C107" s="16" t="str">
        <f>IFERROR(__xludf.DUMMYFUNCTION("""COMPUTED_VALUE"""),"P0718")</f>
        <v>P0718</v>
      </c>
      <c r="D107" s="15" t="str">
        <f>IFERROR(__xludf.DUMMYFUNCTION("""COMPUTED_VALUE"""),"Hot Chocolate")</f>
        <v>Hot Chocolate</v>
      </c>
      <c r="E107" s="15" t="str">
        <f>IFERROR(__xludf.DUMMYFUNCTION("""COMPUTED_VALUE"""),"Hot Chocolate")</f>
        <v>Hot Chocolate</v>
      </c>
      <c r="F107" s="15" t="str">
        <f>IFERROR(__xludf.DUMMYFUNCTION("""COMPUTED_VALUE"""),"Hot Chocolate - Hot Chocolate")</f>
        <v>Hot Chocolate - Hot Chocolate</v>
      </c>
      <c r="G107" s="15" t="str">
        <f>IFERROR(__xludf.DUMMYFUNCTION("""COMPUTED_VALUE"""),"R")</f>
        <v>R</v>
      </c>
      <c r="H107" s="17">
        <f>IFERROR(__xludf.DUMMYFUNCTION("""COMPUTED_VALUE"""),5.5)</f>
        <v>5.5</v>
      </c>
      <c r="I107" s="18">
        <f>IFERROR(__xludf.DUMMYFUNCTION("""COMPUTED_VALUE"""),6.5)</f>
        <v>6.5</v>
      </c>
      <c r="J107" s="15"/>
      <c r="K107" s="11"/>
      <c r="L107" s="19"/>
      <c r="M107" s="19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5" t="str">
        <f>IFERROR(__xludf.DUMMYFUNCTION("""COMPUTED_VALUE"""),"7.Espresso (Hot)")</f>
        <v>7.Espresso (Hot)</v>
      </c>
      <c r="B108" s="16"/>
      <c r="C108" s="16"/>
      <c r="D108" s="15" t="str">
        <f>IFERROR(__xludf.DUMMYFUNCTION("""COMPUTED_VALUE"""),"Hot Chocolate")</f>
        <v>Hot Chocolate</v>
      </c>
      <c r="E108" s="15" t="str">
        <f>IFERROR(__xludf.DUMMYFUNCTION("""COMPUTED_VALUE"""),"Hot Chocolate")</f>
        <v>Hot Chocolate</v>
      </c>
      <c r="F108" s="15" t="str">
        <f>IFERROR(__xludf.DUMMYFUNCTION("""COMPUTED_VALUE"""),"Hot Chocolate - Hot Chocolate")</f>
        <v>Hot Chocolate - Hot Chocolate</v>
      </c>
      <c r="G108" s="15" t="str">
        <f>IFERROR(__xludf.DUMMYFUNCTION("""COMPUTED_VALUE"""),"L")</f>
        <v>L</v>
      </c>
      <c r="H108" s="17">
        <f>IFERROR(__xludf.DUMMYFUNCTION("""COMPUTED_VALUE"""),6.0)</f>
        <v>6</v>
      </c>
      <c r="I108" s="18">
        <f>IFERROR(__xludf.DUMMYFUNCTION("""COMPUTED_VALUE"""),6.9)</f>
        <v>6.9</v>
      </c>
      <c r="J108" s="15"/>
      <c r="K108" s="11"/>
      <c r="L108" s="19"/>
      <c r="M108" s="19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5" t="str">
        <f>IFERROR(__xludf.DUMMYFUNCTION("""COMPUTED_VALUE"""),"7.Espresso (Hot)")</f>
        <v>7.Espresso (Hot)</v>
      </c>
      <c r="B109" s="16">
        <f>IFERROR(__xludf.DUMMYFUNCTION("""COMPUTED_VALUE"""),19.0)</f>
        <v>19</v>
      </c>
      <c r="C109" s="16" t="str">
        <f>IFERROR(__xludf.DUMMYFUNCTION("""COMPUTED_VALUE"""),"P0719")</f>
        <v>P0719</v>
      </c>
      <c r="D109" s="15" t="str">
        <f>IFERROR(__xludf.DUMMYFUNCTION("""COMPUTED_VALUE"""),"Chai Latte ( HOT)")</f>
        <v>Chai Latte ( HOT)</v>
      </c>
      <c r="E109" s="15" t="str">
        <f>IFERROR(__xludf.DUMMYFUNCTION("""COMPUTED_VALUE"""),"Chai Latte ( HOT)")</f>
        <v>Chai Latte ( HOT)</v>
      </c>
      <c r="F109" s="15" t="str">
        <f>IFERROR(__xludf.DUMMYFUNCTION("""COMPUTED_VALUE"""),"Chai Latte ( HOT) - Chai Latte ( HOT)")</f>
        <v>Chai Latte ( HOT) - Chai Latte ( HOT)</v>
      </c>
      <c r="G109" s="15" t="str">
        <f>IFERROR(__xludf.DUMMYFUNCTION("""COMPUTED_VALUE"""),"R")</f>
        <v>R</v>
      </c>
      <c r="H109" s="17">
        <f>IFERROR(__xludf.DUMMYFUNCTION("""COMPUTED_VALUE"""),5.5)</f>
        <v>5.5</v>
      </c>
      <c r="I109" s="18">
        <f>IFERROR(__xludf.DUMMYFUNCTION("""COMPUTED_VALUE"""),6.5)</f>
        <v>6.5</v>
      </c>
      <c r="J109" s="15"/>
      <c r="K109" s="11"/>
      <c r="L109" s="19"/>
      <c r="M109" s="19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5" t="str">
        <f>IFERROR(__xludf.DUMMYFUNCTION("""COMPUTED_VALUE"""),"7.Espresso (Hot)")</f>
        <v>7.Espresso (Hot)</v>
      </c>
      <c r="B110" s="16"/>
      <c r="C110" s="16"/>
      <c r="D110" s="15" t="str">
        <f>IFERROR(__xludf.DUMMYFUNCTION("""COMPUTED_VALUE"""),"Chai Latte ( HOT)")</f>
        <v>Chai Latte ( HOT)</v>
      </c>
      <c r="E110" s="15" t="str">
        <f>IFERROR(__xludf.DUMMYFUNCTION("""COMPUTED_VALUE"""),"Chai Latte ( HOT)")</f>
        <v>Chai Latte ( HOT)</v>
      </c>
      <c r="F110" s="15" t="str">
        <f>IFERROR(__xludf.DUMMYFUNCTION("""COMPUTED_VALUE"""),"Chai Latte ( HOT) - Chai Latte ( HOT)")</f>
        <v>Chai Latte ( HOT) - Chai Latte ( HOT)</v>
      </c>
      <c r="G110" s="15" t="str">
        <f>IFERROR(__xludf.DUMMYFUNCTION("""COMPUTED_VALUE"""),"L")</f>
        <v>L</v>
      </c>
      <c r="H110" s="17">
        <f>IFERROR(__xludf.DUMMYFUNCTION("""COMPUTED_VALUE"""),6.0)</f>
        <v>6</v>
      </c>
      <c r="I110" s="18">
        <f>IFERROR(__xludf.DUMMYFUNCTION("""COMPUTED_VALUE"""),6.9)</f>
        <v>6.9</v>
      </c>
      <c r="J110" s="15"/>
      <c r="K110" s="11"/>
      <c r="L110" s="19"/>
      <c r="M110" s="19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5" t="str">
        <f>IFERROR(__xludf.DUMMYFUNCTION("""COMPUTED_VALUE"""),"7.Espresso (Hot)")</f>
        <v>7.Espresso (Hot)</v>
      </c>
      <c r="B111" s="16">
        <f>IFERROR(__xludf.DUMMYFUNCTION("""COMPUTED_VALUE"""),20.0)</f>
        <v>20</v>
      </c>
      <c r="C111" s="16" t="str">
        <f>IFERROR(__xludf.DUMMYFUNCTION("""COMPUTED_VALUE"""),"P0720")</f>
        <v>P0720</v>
      </c>
      <c r="D111" s="15" t="str">
        <f>IFERROR(__xludf.DUMMYFUNCTION("""COMPUTED_VALUE"""),"Taro Latte ( HOT)")</f>
        <v>Taro Latte ( HOT)</v>
      </c>
      <c r="E111" s="15" t="str">
        <f>IFERROR(__xludf.DUMMYFUNCTION("""COMPUTED_VALUE"""),"Taro Latte ( HOT)")</f>
        <v>Taro Latte ( HOT)</v>
      </c>
      <c r="F111" s="15" t="str">
        <f>IFERROR(__xludf.DUMMYFUNCTION("""COMPUTED_VALUE"""),"Taro Latte ( HOT) - Taro Latte ( HOT)")</f>
        <v>Taro Latte ( HOT) - Taro Latte ( HOT)</v>
      </c>
      <c r="G111" s="15" t="str">
        <f>IFERROR(__xludf.DUMMYFUNCTION("""COMPUTED_VALUE"""),"R")</f>
        <v>R</v>
      </c>
      <c r="H111" s="17">
        <f>IFERROR(__xludf.DUMMYFUNCTION("""COMPUTED_VALUE"""),5.5)</f>
        <v>5.5</v>
      </c>
      <c r="I111" s="18">
        <f>IFERROR(__xludf.DUMMYFUNCTION("""COMPUTED_VALUE"""),6.5)</f>
        <v>6.5</v>
      </c>
      <c r="J111" s="19"/>
      <c r="K111" s="11"/>
      <c r="L111" s="19"/>
      <c r="M111" s="19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5" t="str">
        <f>IFERROR(__xludf.DUMMYFUNCTION("""COMPUTED_VALUE"""),"7.Espresso (Hot)")</f>
        <v>7.Espresso (Hot)</v>
      </c>
      <c r="B112" s="16"/>
      <c r="C112" s="16"/>
      <c r="D112" s="15" t="str">
        <f>IFERROR(__xludf.DUMMYFUNCTION("""COMPUTED_VALUE"""),"Taro Latte ( HOT)")</f>
        <v>Taro Latte ( HOT)</v>
      </c>
      <c r="E112" s="15" t="str">
        <f>IFERROR(__xludf.DUMMYFUNCTION("""COMPUTED_VALUE"""),"Taro Latte ( HOT)")</f>
        <v>Taro Latte ( HOT)</v>
      </c>
      <c r="F112" s="15" t="str">
        <f>IFERROR(__xludf.DUMMYFUNCTION("""COMPUTED_VALUE"""),"Taro Latte ( HOT) - Taro Latte ( HOT)")</f>
        <v>Taro Latte ( HOT) - Taro Latte ( HOT)</v>
      </c>
      <c r="G112" s="15" t="str">
        <f>IFERROR(__xludf.DUMMYFUNCTION("""COMPUTED_VALUE"""),"L")</f>
        <v>L</v>
      </c>
      <c r="H112" s="17">
        <f>IFERROR(__xludf.DUMMYFUNCTION("""COMPUTED_VALUE"""),6.0)</f>
        <v>6</v>
      </c>
      <c r="I112" s="18">
        <f>IFERROR(__xludf.DUMMYFUNCTION("""COMPUTED_VALUE"""),6.9)</f>
        <v>6.9</v>
      </c>
      <c r="J112" s="19"/>
      <c r="K112" s="11"/>
      <c r="L112" s="19"/>
      <c r="M112" s="19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5" t="str">
        <f>IFERROR(__xludf.DUMMYFUNCTION("""COMPUTED_VALUE"""),"7.Espresso (Hot)")</f>
        <v>7.Espresso (Hot)</v>
      </c>
      <c r="B113" s="16">
        <f>IFERROR(__xludf.DUMMYFUNCTION("""COMPUTED_VALUE"""),21.0)</f>
        <v>21</v>
      </c>
      <c r="C113" s="16" t="str">
        <f>IFERROR(__xludf.DUMMYFUNCTION("""COMPUTED_VALUE"""),"P0721")</f>
        <v>P0721</v>
      </c>
      <c r="D113" s="15" t="str">
        <f>IFERROR(__xludf.DUMMYFUNCTION("""COMPUTED_VALUE"""),"Biscoff Latte ( HOT)")</f>
        <v>Biscoff Latte ( HOT)</v>
      </c>
      <c r="E113" s="15" t="str">
        <f>IFERROR(__xludf.DUMMYFUNCTION("""COMPUTED_VALUE"""),"Biscoff Latte ( HOT)")</f>
        <v>Biscoff Latte ( HOT)</v>
      </c>
      <c r="F113" s="15" t="str">
        <f>IFERROR(__xludf.DUMMYFUNCTION("""COMPUTED_VALUE"""),"Biscoff Latte ( HOT) - Biscoff Latte ( HOT)")</f>
        <v>Biscoff Latte ( HOT) - Biscoff Latte ( HOT)</v>
      </c>
      <c r="G113" s="15" t="str">
        <f>IFERROR(__xludf.DUMMYFUNCTION("""COMPUTED_VALUE"""),"R")</f>
        <v>R</v>
      </c>
      <c r="H113" s="17">
        <f>IFERROR(__xludf.DUMMYFUNCTION("""COMPUTED_VALUE"""),5.5)</f>
        <v>5.5</v>
      </c>
      <c r="I113" s="18">
        <f>IFERROR(__xludf.DUMMYFUNCTION("""COMPUTED_VALUE"""),6.5)</f>
        <v>6.5</v>
      </c>
      <c r="J113" s="19"/>
      <c r="K113" s="11"/>
      <c r="L113" s="19"/>
      <c r="M113" s="19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5" t="str">
        <f>IFERROR(__xludf.DUMMYFUNCTION("""COMPUTED_VALUE"""),"7.Espresso (Hot)")</f>
        <v>7.Espresso (Hot)</v>
      </c>
      <c r="B114" s="16"/>
      <c r="C114" s="16"/>
      <c r="D114" s="15" t="str">
        <f>IFERROR(__xludf.DUMMYFUNCTION("""COMPUTED_VALUE"""),"Biscoff Latte ( HOT)")</f>
        <v>Biscoff Latte ( HOT)</v>
      </c>
      <c r="E114" s="15" t="str">
        <f>IFERROR(__xludf.DUMMYFUNCTION("""COMPUTED_VALUE"""),"Biscoff Latte ( HOT)")</f>
        <v>Biscoff Latte ( HOT)</v>
      </c>
      <c r="F114" s="15" t="str">
        <f>IFERROR(__xludf.DUMMYFUNCTION("""COMPUTED_VALUE"""),"Biscoff Latte ( HOT) - Biscoff Latte ( HOT)")</f>
        <v>Biscoff Latte ( HOT) - Biscoff Latte ( HOT)</v>
      </c>
      <c r="G114" s="15" t="str">
        <f>IFERROR(__xludf.DUMMYFUNCTION("""COMPUTED_VALUE"""),"L")</f>
        <v>L</v>
      </c>
      <c r="H114" s="17">
        <f>IFERROR(__xludf.DUMMYFUNCTION("""COMPUTED_VALUE"""),6.0)</f>
        <v>6</v>
      </c>
      <c r="I114" s="18">
        <f>IFERROR(__xludf.DUMMYFUNCTION("""COMPUTED_VALUE"""),6.9)</f>
        <v>6.9</v>
      </c>
      <c r="J114" s="19"/>
      <c r="K114" s="11"/>
      <c r="L114" s="15"/>
      <c r="M114" s="19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5" t="str">
        <f>IFERROR(__xludf.DUMMYFUNCTION("""COMPUTED_VALUE"""),"7.Espresso (Hot)")</f>
        <v>7.Espresso (Hot)</v>
      </c>
      <c r="B115" s="16">
        <f>IFERROR(__xludf.DUMMYFUNCTION("""COMPUTED_VALUE"""),22.0)</f>
        <v>22</v>
      </c>
      <c r="C115" s="16" t="str">
        <f>IFERROR(__xludf.DUMMYFUNCTION("""COMPUTED_VALUE"""),"P0722")</f>
        <v>P0722</v>
      </c>
      <c r="D115" s="15" t="str">
        <f>IFERROR(__xludf.DUMMYFUNCTION("""COMPUTED_VALUE"""),"Matcha Latte ( HOT)")</f>
        <v>Matcha Latte ( HOT)</v>
      </c>
      <c r="E115" s="15" t="str">
        <f>IFERROR(__xludf.DUMMYFUNCTION("""COMPUTED_VALUE"""),"Matcha Latte ( HOT)")</f>
        <v>Matcha Latte ( HOT)</v>
      </c>
      <c r="F115" s="15" t="str">
        <f>IFERROR(__xludf.DUMMYFUNCTION("""COMPUTED_VALUE"""),"Matcha Latte ( HOT) - Matcha Latte ( HOT)")</f>
        <v>Matcha Latte ( HOT) - Matcha Latte ( HOT)</v>
      </c>
      <c r="G115" s="15" t="str">
        <f>IFERROR(__xludf.DUMMYFUNCTION("""COMPUTED_VALUE"""),"R")</f>
        <v>R</v>
      </c>
      <c r="H115" s="17">
        <f>IFERROR(__xludf.DUMMYFUNCTION("""COMPUTED_VALUE"""),5.5)</f>
        <v>5.5</v>
      </c>
      <c r="I115" s="18">
        <f>IFERROR(__xludf.DUMMYFUNCTION("""COMPUTED_VALUE"""),6.5)</f>
        <v>6.5</v>
      </c>
      <c r="J115" s="19"/>
      <c r="K115" s="11"/>
      <c r="L115" s="15"/>
      <c r="M115" s="19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5" t="str">
        <f>IFERROR(__xludf.DUMMYFUNCTION("""COMPUTED_VALUE"""),"7.Espresso (Hot)")</f>
        <v>7.Espresso (Hot)</v>
      </c>
      <c r="B116" s="16"/>
      <c r="C116" s="16"/>
      <c r="D116" s="15" t="str">
        <f>IFERROR(__xludf.DUMMYFUNCTION("""COMPUTED_VALUE"""),"Matcha Latte ( HOT)")</f>
        <v>Matcha Latte ( HOT)</v>
      </c>
      <c r="E116" s="15" t="str">
        <f>IFERROR(__xludf.DUMMYFUNCTION("""COMPUTED_VALUE"""),"Matcha Latte ( HOT)")</f>
        <v>Matcha Latte ( HOT)</v>
      </c>
      <c r="F116" s="15" t="str">
        <f>IFERROR(__xludf.DUMMYFUNCTION("""COMPUTED_VALUE"""),"Matcha Latte ( HOT) - Matcha Latte ( HOT)")</f>
        <v>Matcha Latte ( HOT) - Matcha Latte ( HOT)</v>
      </c>
      <c r="G116" s="15" t="str">
        <f>IFERROR(__xludf.DUMMYFUNCTION("""COMPUTED_VALUE"""),"L")</f>
        <v>L</v>
      </c>
      <c r="H116" s="17">
        <f>IFERROR(__xludf.DUMMYFUNCTION("""COMPUTED_VALUE"""),6.0)</f>
        <v>6</v>
      </c>
      <c r="I116" s="18">
        <f>IFERROR(__xludf.DUMMYFUNCTION("""COMPUTED_VALUE"""),6.9)</f>
        <v>6.9</v>
      </c>
      <c r="J116" s="19"/>
      <c r="K116" s="11"/>
      <c r="L116" s="19"/>
      <c r="M116" s="19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5" t="str">
        <f>IFERROR(__xludf.DUMMYFUNCTION("""COMPUTED_VALUE"""),"7.Espresso (Hot)")</f>
        <v>7.Espresso (Hot)</v>
      </c>
      <c r="B117" s="16"/>
      <c r="C117" s="16"/>
      <c r="D117" s="15" t="str">
        <f>IFERROR(__xludf.DUMMYFUNCTION("""COMPUTED_VALUE"""),"Thêm cà phê Decaf")</f>
        <v>Thêm cà phê Decaf</v>
      </c>
      <c r="E117" s="15" t="str">
        <f>IFERROR(__xludf.DUMMYFUNCTION("""COMPUTED_VALUE"""),"Decaf")</f>
        <v>Decaf</v>
      </c>
      <c r="F117" s="15"/>
      <c r="G117" s="15"/>
      <c r="H117" s="17">
        <f>IFERROR(__xludf.DUMMYFUNCTION("""COMPUTED_VALUE"""),0.5)</f>
        <v>0.5</v>
      </c>
      <c r="I117" s="18">
        <f>IFERROR(__xludf.DUMMYFUNCTION("""COMPUTED_VALUE"""),0.5)</f>
        <v>0.5</v>
      </c>
      <c r="J117" s="19"/>
      <c r="K117" s="11"/>
      <c r="L117" s="15"/>
      <c r="M117" s="19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5" t="str">
        <f>IFERROR(__xludf.DUMMYFUNCTION("""COMPUTED_VALUE"""),"7.Espresso (Hot)")</f>
        <v>7.Espresso (Hot)</v>
      </c>
      <c r="B118" s="16"/>
      <c r="C118" s="16"/>
      <c r="D118" s="15" t="str">
        <f>IFERROR(__xludf.DUMMYFUNCTION("""COMPUTED_VALUE"""),"Thêm shot Espresso")</f>
        <v>Thêm shot Espresso</v>
      </c>
      <c r="E118" s="15" t="str">
        <f>IFERROR(__xludf.DUMMYFUNCTION("""COMPUTED_VALUE"""),"Extra Shot")</f>
        <v>Extra Shot</v>
      </c>
      <c r="F118" s="15"/>
      <c r="G118" s="19"/>
      <c r="H118" s="17">
        <f>IFERROR(__xludf.DUMMYFUNCTION("""COMPUTED_VALUE"""),0.5)</f>
        <v>0.5</v>
      </c>
      <c r="I118" s="18">
        <f>IFERROR(__xludf.DUMMYFUNCTION("""COMPUTED_VALUE"""),0.5)</f>
        <v>0.5</v>
      </c>
      <c r="J118" s="19"/>
      <c r="K118" s="11"/>
      <c r="L118" s="19"/>
      <c r="M118" s="19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5" t="str">
        <f>IFERROR(__xludf.DUMMYFUNCTION("""COMPUTED_VALUE"""),"7.Espresso (Hot)")</f>
        <v>7.Espresso (Hot)</v>
      </c>
      <c r="B119" s="16"/>
      <c r="C119" s="16"/>
      <c r="D119" s="15" t="str">
        <f>IFERROR(__xludf.DUMMYFUNCTION("""COMPUTED_VALUE"""),"Thêm Caramel/Hazelnut/Vanilla")</f>
        <v>Thêm Caramel/Hazelnut/Vanilla</v>
      </c>
      <c r="E119" s="15" t="str">
        <f>IFERROR(__xludf.DUMMYFUNCTION("""COMPUTED_VALUE"""),"Caramel/Hazelnut/Vanilla")</f>
        <v>Caramel/Hazelnut/Vanilla</v>
      </c>
      <c r="F119" s="15"/>
      <c r="G119" s="19"/>
      <c r="H119" s="17">
        <f>IFERROR(__xludf.DUMMYFUNCTION("""COMPUTED_VALUE"""),0.5)</f>
        <v>0.5</v>
      </c>
      <c r="I119" s="18">
        <f>IFERROR(__xludf.DUMMYFUNCTION("""COMPUTED_VALUE"""),0.5)</f>
        <v>0.5</v>
      </c>
      <c r="J119" s="19"/>
      <c r="K119" s="11"/>
      <c r="L119" s="19"/>
      <c r="M119" s="19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5" t="str">
        <f>IFERROR(__xludf.DUMMYFUNCTION("""COMPUTED_VALUE"""),"7.Espresso (Hot)")</f>
        <v>7.Espresso (Hot)</v>
      </c>
      <c r="B120" s="16"/>
      <c r="C120" s="16"/>
      <c r="D120" s="15" t="str">
        <f>IFERROR(__xludf.DUMMYFUNCTION("""COMPUTED_VALUE"""),"Sữa hạt (Đậu nành/Hạnh nhân/Yến mạch/Không lactose)")</f>
        <v>Sữa hạt (Đậu nành/Hạnh nhân/Yến mạch/Không lactose)</v>
      </c>
      <c r="E120" s="15" t="str">
        <f>IFERROR(__xludf.DUMMYFUNCTION("""COMPUTED_VALUE"""),"Soy / Almond / Oat / Lactose Free")</f>
        <v>Soy / Almond / Oat / Lactose Free</v>
      </c>
      <c r="F120" s="15"/>
      <c r="G120" s="19"/>
      <c r="H120" s="17">
        <f>IFERROR(__xludf.DUMMYFUNCTION("""COMPUTED_VALUE"""),0.8)</f>
        <v>0.8</v>
      </c>
      <c r="I120" s="18">
        <f>IFERROR(__xludf.DUMMYFUNCTION("""COMPUTED_VALUE"""),0.9)</f>
        <v>0.9</v>
      </c>
      <c r="J120" s="19"/>
      <c r="K120" s="11"/>
      <c r="L120" s="19"/>
      <c r="M120" s="19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5" t="str">
        <f>IFERROR(__xludf.DUMMYFUNCTION("""COMPUTED_VALUE"""),"7.Espresso (Hot)")</f>
        <v>7.Espresso (Hot)</v>
      </c>
      <c r="B121" s="16">
        <f>IFERROR(__xludf.DUMMYFUNCTION("""COMPUTED_VALUE"""),36.0)</f>
        <v>36</v>
      </c>
      <c r="C121" s="16" t="str">
        <f>IFERROR(__xludf.DUMMYFUNCTION("""COMPUTED_VALUE"""),"P0736")</f>
        <v>P0736</v>
      </c>
      <c r="D121" s="15" t="str">
        <f>IFERROR(__xludf.DUMMYFUNCTION("""COMPUTED_VALUE"""),"Vietnamese Coffee Beans")</f>
        <v>Vietnamese Coffee Beans</v>
      </c>
      <c r="E121" s="19"/>
      <c r="F121" s="19"/>
      <c r="G121" s="15"/>
      <c r="H121" s="17">
        <f>IFERROR(__xludf.DUMMYFUNCTION("""COMPUTED_VALUE"""),45.0)</f>
        <v>45</v>
      </c>
      <c r="I121" s="18">
        <f>IFERROR(__xludf.DUMMYFUNCTION("""COMPUTED_VALUE"""),51.9)</f>
        <v>51.9</v>
      </c>
      <c r="J121" s="19"/>
      <c r="K121" s="12"/>
      <c r="L121" s="15" t="str">
        <f>IFERROR(__xludf.DUMMYFUNCTION("""COMPUTED_VALUE"""),"Giá bán trên 1kg (by weight)")</f>
        <v>Giá bán trên 1kg (by weight)</v>
      </c>
      <c r="M121" s="19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5" t="str">
        <f>IFERROR(__xludf.DUMMYFUNCTION("""COMPUTED_VALUE"""),"7.Espresso (Hot)")</f>
        <v>7.Espresso (Hot)</v>
      </c>
      <c r="B122" s="16">
        <f>IFERROR(__xludf.DUMMYFUNCTION("""COMPUTED_VALUE"""),37.0)</f>
        <v>37</v>
      </c>
      <c r="C122" s="16" t="str">
        <f>IFERROR(__xludf.DUMMYFUNCTION("""COMPUTED_VALUE"""),"P0737")</f>
        <v>P0737</v>
      </c>
      <c r="D122" s="15" t="str">
        <f>IFERROR(__xludf.DUMMYFUNCTION("""COMPUTED_VALUE"""),"Espresso Coffee Beans")</f>
        <v>Espresso Coffee Beans</v>
      </c>
      <c r="E122" s="19"/>
      <c r="F122" s="19"/>
      <c r="G122" s="15"/>
      <c r="H122" s="17">
        <f>IFERROR(__xludf.DUMMYFUNCTION("""COMPUTED_VALUE"""),45.0)</f>
        <v>45</v>
      </c>
      <c r="I122" s="18">
        <f>IFERROR(__xludf.DUMMYFUNCTION("""COMPUTED_VALUE"""),51.9)</f>
        <v>51.9</v>
      </c>
      <c r="J122" s="19"/>
      <c r="K122" s="12"/>
      <c r="L122" s="15" t="str">
        <f>IFERROR(__xludf.DUMMYFUNCTION("""COMPUTED_VALUE"""),"Giá bán trên 1kg (by weight)")</f>
        <v>Giá bán trên 1kg (by weight)</v>
      </c>
      <c r="M122" s="19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5" t="str">
        <f>IFERROR(__xludf.DUMMYFUNCTION("""COMPUTED_VALUE"""),"8.Ice Blended")</f>
        <v>8.Ice Blended</v>
      </c>
      <c r="B123" s="16">
        <f>IFERROR(__xludf.DUMMYFUNCTION("""COMPUTED_VALUE"""),1.0)</f>
        <v>1</v>
      </c>
      <c r="C123" s="16" t="str">
        <f>IFERROR(__xludf.DUMMYFUNCTION("""COMPUTED_VALUE"""),"P0801")</f>
        <v>P0801</v>
      </c>
      <c r="D123" s="15" t="str">
        <f>IFERROR(__xludf.DUMMYFUNCTION("""COMPUTED_VALUE"""),"Matcha Đá Xay")</f>
        <v>Matcha Đá Xay</v>
      </c>
      <c r="E123" s="15" t="str">
        <f>IFERROR(__xludf.DUMMYFUNCTION("""COMPUTED_VALUE"""),"Matcha Blended")</f>
        <v>Matcha Blended</v>
      </c>
      <c r="F123" s="15" t="str">
        <f>IFERROR(__xludf.DUMMYFUNCTION("""COMPUTED_VALUE"""),"Matcha Blended - Matcha Đá Xay")</f>
        <v>Matcha Blended - Matcha Đá Xay</v>
      </c>
      <c r="G123" s="15" t="str">
        <f>IFERROR(__xludf.DUMMYFUNCTION("""COMPUTED_VALUE"""),"R")</f>
        <v>R</v>
      </c>
      <c r="H123" s="17">
        <f>IFERROR(__xludf.DUMMYFUNCTION("""COMPUTED_VALUE"""),9.9)</f>
        <v>9.9</v>
      </c>
      <c r="I123" s="18">
        <f>IFERROR(__xludf.DUMMYFUNCTION("""COMPUTED_VALUE"""),11.5)</f>
        <v>11.5</v>
      </c>
      <c r="J123" s="15" t="str">
        <f>IFERROR(__xludf.DUMMYFUNCTION("""COMPUTED_VALUE"""),"Blended Matcha with full cream milk")</f>
        <v>Blended Matcha with full cream milk</v>
      </c>
      <c r="K123" s="13" t="str">
        <f>IFERROR(__xludf.DUMMYFUNCTION("""COMPUTED_VALUE"""),"https://drive.google.com/file/d/1si1p0BXRXXkNwqDo834t1ggMSOVq9NKq/view?usp=sharing")</f>
        <v>https://drive.google.com/file/d/1si1p0BXRXXkNwqDo834t1ggMSOVq9NKq/view?usp=sharing</v>
      </c>
      <c r="L123" s="15"/>
      <c r="M123" s="19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5" t="str">
        <f>IFERROR(__xludf.DUMMYFUNCTION("""COMPUTED_VALUE"""),"8.Ice Blended")</f>
        <v>8.Ice Blended</v>
      </c>
      <c r="B124" s="16"/>
      <c r="C124" s="16"/>
      <c r="D124" s="15" t="str">
        <f>IFERROR(__xludf.DUMMYFUNCTION("""COMPUTED_VALUE"""),"Matcha Đá Xay")</f>
        <v>Matcha Đá Xay</v>
      </c>
      <c r="E124" s="15" t="str">
        <f>IFERROR(__xludf.DUMMYFUNCTION("""COMPUTED_VALUE"""),"Matcha Blended")</f>
        <v>Matcha Blended</v>
      </c>
      <c r="F124" s="15" t="str">
        <f>IFERROR(__xludf.DUMMYFUNCTION("""COMPUTED_VALUE"""),"Matcha Blended - Matcha Đá Xay")</f>
        <v>Matcha Blended - Matcha Đá Xay</v>
      </c>
      <c r="G124" s="15" t="str">
        <f>IFERROR(__xludf.DUMMYFUNCTION("""COMPUTED_VALUE"""),"L")</f>
        <v>L</v>
      </c>
      <c r="H124" s="17">
        <f>IFERROR(__xludf.DUMMYFUNCTION("""COMPUTED_VALUE"""),11.9)</f>
        <v>11.9</v>
      </c>
      <c r="I124" s="18">
        <f>IFERROR(__xludf.DUMMYFUNCTION("""COMPUTED_VALUE"""),13.5)</f>
        <v>13.5</v>
      </c>
      <c r="J124" s="15" t="str">
        <f>IFERROR(__xludf.DUMMYFUNCTION("""COMPUTED_VALUE"""),"Blended Matcha with full cream milk")</f>
        <v>Blended Matcha with full cream milk</v>
      </c>
      <c r="K124" s="12"/>
      <c r="L124" s="15"/>
      <c r="M124" s="19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5" t="str">
        <f>IFERROR(__xludf.DUMMYFUNCTION("""COMPUTED_VALUE"""),"8.Ice Blended")</f>
        <v>8.Ice Blended</v>
      </c>
      <c r="B125" s="16">
        <f>IFERROR(__xludf.DUMMYFUNCTION("""COMPUTED_VALUE"""),2.0)</f>
        <v>2</v>
      </c>
      <c r="C125" s="16" t="str">
        <f>IFERROR(__xludf.DUMMYFUNCTION("""COMPUTED_VALUE"""),"P0802")</f>
        <v>P0802</v>
      </c>
      <c r="D125" s="15" t="str">
        <f>IFERROR(__xludf.DUMMYFUNCTION("""COMPUTED_VALUE"""),"Caramel Coffee Đá Xay")</f>
        <v>Caramel Coffee Đá Xay</v>
      </c>
      <c r="E125" s="15" t="str">
        <f>IFERROR(__xludf.DUMMYFUNCTION("""COMPUTED_VALUE"""),"Caramel Coffee Blended")</f>
        <v>Caramel Coffee Blended</v>
      </c>
      <c r="F125" s="15" t="str">
        <f>IFERROR(__xludf.DUMMYFUNCTION("""COMPUTED_VALUE"""),"Caramel Coffee Blended - Caramel Coffee Đá Xay")</f>
        <v>Caramel Coffee Blended - Caramel Coffee Đá Xay</v>
      </c>
      <c r="G125" s="15" t="str">
        <f>IFERROR(__xludf.DUMMYFUNCTION("""COMPUTED_VALUE"""),"R")</f>
        <v>R</v>
      </c>
      <c r="H125" s="17">
        <f>IFERROR(__xludf.DUMMYFUNCTION("""COMPUTED_VALUE"""),9.9)</f>
        <v>9.9</v>
      </c>
      <c r="I125" s="18">
        <f>IFERROR(__xludf.DUMMYFUNCTION("""COMPUTED_VALUE"""),11.5)</f>
        <v>11.5</v>
      </c>
      <c r="J125" s="15" t="str">
        <f>IFERROR(__xludf.DUMMYFUNCTION("""COMPUTED_VALUE"""),"Blended Coffee with Caramel Syrup and whipping cream and creamer")</f>
        <v>Blended Coffee with Caramel Syrup and whipping cream and creamer</v>
      </c>
      <c r="K125" s="13" t="str">
        <f>IFERROR(__xludf.DUMMYFUNCTION("""COMPUTED_VALUE"""),"https://drive.google.com/file/d/1lV_yqYWa-krGbn6fq_38uIx8MycBebBH/view?usp=sharing")</f>
        <v>https://drive.google.com/file/d/1lV_yqYWa-krGbn6fq_38uIx8MycBebBH/view?usp=sharing</v>
      </c>
      <c r="L125" s="15"/>
      <c r="M125" s="19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5" t="str">
        <f>IFERROR(__xludf.DUMMYFUNCTION("""COMPUTED_VALUE"""),"8.Ice Blended")</f>
        <v>8.Ice Blended</v>
      </c>
      <c r="B126" s="16"/>
      <c r="C126" s="16"/>
      <c r="D126" s="15" t="str">
        <f>IFERROR(__xludf.DUMMYFUNCTION("""COMPUTED_VALUE"""),"Caramel Coffee Đá Xay")</f>
        <v>Caramel Coffee Đá Xay</v>
      </c>
      <c r="E126" s="15" t="str">
        <f>IFERROR(__xludf.DUMMYFUNCTION("""COMPUTED_VALUE"""),"Caramel Coffee Blended")</f>
        <v>Caramel Coffee Blended</v>
      </c>
      <c r="F126" s="15" t="str">
        <f>IFERROR(__xludf.DUMMYFUNCTION("""COMPUTED_VALUE"""),"Caramel Coffee Blended - Caramel Coffee Đá Xay")</f>
        <v>Caramel Coffee Blended - Caramel Coffee Đá Xay</v>
      </c>
      <c r="G126" s="15" t="str">
        <f>IFERROR(__xludf.DUMMYFUNCTION("""COMPUTED_VALUE"""),"L")</f>
        <v>L</v>
      </c>
      <c r="H126" s="17">
        <f>IFERROR(__xludf.DUMMYFUNCTION("""COMPUTED_VALUE"""),11.9)</f>
        <v>11.9</v>
      </c>
      <c r="I126" s="18">
        <f>IFERROR(__xludf.DUMMYFUNCTION("""COMPUTED_VALUE"""),13.5)</f>
        <v>13.5</v>
      </c>
      <c r="J126" s="15" t="str">
        <f>IFERROR(__xludf.DUMMYFUNCTION("""COMPUTED_VALUE"""),"Blended Coffee with Caramel Syrup and whipping cream and creamer")</f>
        <v>Blended Coffee with Caramel Syrup and whipping cream and creamer</v>
      </c>
      <c r="K126" s="12"/>
      <c r="L126" s="15"/>
      <c r="M126" s="19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5" t="str">
        <f>IFERROR(__xludf.DUMMYFUNCTION("""COMPUTED_VALUE"""),"8.Ice Blended")</f>
        <v>8.Ice Blended</v>
      </c>
      <c r="B127" s="16">
        <f>IFERROR(__xludf.DUMMYFUNCTION("""COMPUTED_VALUE"""),3.0)</f>
        <v>3</v>
      </c>
      <c r="C127" s="16" t="str">
        <f>IFERROR(__xludf.DUMMYFUNCTION("""COMPUTED_VALUE"""),"P0803")</f>
        <v>P0803</v>
      </c>
      <c r="D127" s="15" t="str">
        <f>IFERROR(__xludf.DUMMYFUNCTION("""COMPUTED_VALUE"""),"Mocha Blended")</f>
        <v>Mocha Blended</v>
      </c>
      <c r="E127" s="15" t="str">
        <f>IFERROR(__xludf.DUMMYFUNCTION("""COMPUTED_VALUE"""),"Mocha Blended")</f>
        <v>Mocha Blended</v>
      </c>
      <c r="F127" s="15" t="str">
        <f>IFERROR(__xludf.DUMMYFUNCTION("""COMPUTED_VALUE"""),"Mocha Blended - Mocha Blended")</f>
        <v>Mocha Blended - Mocha Blended</v>
      </c>
      <c r="G127" s="15" t="str">
        <f>IFERROR(__xludf.DUMMYFUNCTION("""COMPUTED_VALUE"""),"R")</f>
        <v>R</v>
      </c>
      <c r="H127" s="17">
        <f>IFERROR(__xludf.DUMMYFUNCTION("""COMPUTED_VALUE"""),9.9)</f>
        <v>9.9</v>
      </c>
      <c r="I127" s="18">
        <f>IFERROR(__xludf.DUMMYFUNCTION("""COMPUTED_VALUE"""),11.5)</f>
        <v>11.5</v>
      </c>
      <c r="J127" s="15" t="str">
        <f>IFERROR(__xludf.DUMMYFUNCTION("""COMPUTED_VALUE"""),"Blended Coffee with chocolate powder and whipping cream and creamer")</f>
        <v>Blended Coffee with chocolate powder and whipping cream and creamer</v>
      </c>
      <c r="K127" s="13" t="str">
        <f>IFERROR(__xludf.DUMMYFUNCTION("""COMPUTED_VALUE"""),"https://drive.google.com/file/d/1lV_yqYWa-krGbn6fq_38uIx8MycBebBH/view?usp=sharing")</f>
        <v>https://drive.google.com/file/d/1lV_yqYWa-krGbn6fq_38uIx8MycBebBH/view?usp=sharing</v>
      </c>
      <c r="L127" s="15"/>
      <c r="M127" s="19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5" t="str">
        <f>IFERROR(__xludf.DUMMYFUNCTION("""COMPUTED_VALUE"""),"8.Ice Blended")</f>
        <v>8.Ice Blended</v>
      </c>
      <c r="B128" s="16"/>
      <c r="C128" s="16"/>
      <c r="D128" s="15" t="str">
        <f>IFERROR(__xludf.DUMMYFUNCTION("""COMPUTED_VALUE"""),"Mocha Blended")</f>
        <v>Mocha Blended</v>
      </c>
      <c r="E128" s="15" t="str">
        <f>IFERROR(__xludf.DUMMYFUNCTION("""COMPUTED_VALUE"""),"Mocha Blended")</f>
        <v>Mocha Blended</v>
      </c>
      <c r="F128" s="15" t="str">
        <f>IFERROR(__xludf.DUMMYFUNCTION("""COMPUTED_VALUE"""),"Mocha Blended - Mocha Blended")</f>
        <v>Mocha Blended - Mocha Blended</v>
      </c>
      <c r="G128" s="15" t="str">
        <f>IFERROR(__xludf.DUMMYFUNCTION("""COMPUTED_VALUE"""),"L")</f>
        <v>L</v>
      </c>
      <c r="H128" s="17">
        <f>IFERROR(__xludf.DUMMYFUNCTION("""COMPUTED_VALUE"""),11.9)</f>
        <v>11.9</v>
      </c>
      <c r="I128" s="18">
        <f>IFERROR(__xludf.DUMMYFUNCTION("""COMPUTED_VALUE"""),13.5)</f>
        <v>13.5</v>
      </c>
      <c r="J128" s="15" t="str">
        <f>IFERROR(__xludf.DUMMYFUNCTION("""COMPUTED_VALUE"""),"Blended Coffee with chocolate powder and whipping cream and creamer")</f>
        <v>Blended Coffee with chocolate powder and whipping cream and creamer</v>
      </c>
      <c r="K128" s="12"/>
      <c r="L128" s="15"/>
      <c r="M128" s="19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5" t="str">
        <f>IFERROR(__xludf.DUMMYFUNCTION("""COMPUTED_VALUE"""),"8.Ice Blended")</f>
        <v>8.Ice Blended</v>
      </c>
      <c r="B129" s="16">
        <f>IFERROR(__xludf.DUMMYFUNCTION("""COMPUTED_VALUE"""),4.0)</f>
        <v>4</v>
      </c>
      <c r="C129" s="16" t="str">
        <f>IFERROR(__xludf.DUMMYFUNCTION("""COMPUTED_VALUE"""),"P0804")</f>
        <v>P0804</v>
      </c>
      <c r="D129" s="15" t="str">
        <f>IFERROR(__xludf.DUMMYFUNCTION("""COMPUTED_VALUE"""),"Cookie &amp; Cream Đá Xay")</f>
        <v>Cookie &amp; Cream Đá Xay</v>
      </c>
      <c r="E129" s="15" t="str">
        <f>IFERROR(__xludf.DUMMYFUNCTION("""COMPUTED_VALUE"""),"Cookie &amp; Cream Blended")</f>
        <v>Cookie &amp; Cream Blended</v>
      </c>
      <c r="F129" s="15" t="str">
        <f>IFERROR(__xludf.DUMMYFUNCTION("""COMPUTED_VALUE"""),"Cookie &amp; Cream Blended - Cookie &amp; Cream Đá Xay")</f>
        <v>Cookie &amp; Cream Blended - Cookie &amp; Cream Đá Xay</v>
      </c>
      <c r="G129" s="15" t="str">
        <f>IFERROR(__xludf.DUMMYFUNCTION("""COMPUTED_VALUE"""),"R")</f>
        <v>R</v>
      </c>
      <c r="H129" s="17">
        <f>IFERROR(__xludf.DUMMYFUNCTION("""COMPUTED_VALUE"""),9.9)</f>
        <v>9.9</v>
      </c>
      <c r="I129" s="18">
        <f>IFERROR(__xludf.DUMMYFUNCTION("""COMPUTED_VALUE"""),11.5)</f>
        <v>11.5</v>
      </c>
      <c r="J129" s="15" t="str">
        <f>IFERROR(__xludf.DUMMYFUNCTION("""COMPUTED_VALUE"""),"Blended cookie with creamer, chocolate powder and full cream milk")</f>
        <v>Blended cookie with creamer, chocolate powder and full cream milk</v>
      </c>
      <c r="K129" s="13" t="str">
        <f>IFERROR(__xludf.DUMMYFUNCTION("""COMPUTED_VALUE"""),"https://drive.google.com/file/d/1lzRgGJ_7mSvF9Dse1MPBwU0SWrUUXbtB/view?usp=sharing")</f>
        <v>https://drive.google.com/file/d/1lzRgGJ_7mSvF9Dse1MPBwU0SWrUUXbtB/view?usp=sharing</v>
      </c>
      <c r="L129" s="19"/>
      <c r="M129" s="19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5" t="str">
        <f>IFERROR(__xludf.DUMMYFUNCTION("""COMPUTED_VALUE"""),"8.Ice Blended")</f>
        <v>8.Ice Blended</v>
      </c>
      <c r="B130" s="16"/>
      <c r="C130" s="16"/>
      <c r="D130" s="15" t="str">
        <f>IFERROR(__xludf.DUMMYFUNCTION("""COMPUTED_VALUE"""),"Cookie &amp; Cream Đá Xay")</f>
        <v>Cookie &amp; Cream Đá Xay</v>
      </c>
      <c r="E130" s="15" t="str">
        <f>IFERROR(__xludf.DUMMYFUNCTION("""COMPUTED_VALUE"""),"Cookie &amp; Cream Blended")</f>
        <v>Cookie &amp; Cream Blended</v>
      </c>
      <c r="F130" s="15" t="str">
        <f>IFERROR(__xludf.DUMMYFUNCTION("""COMPUTED_VALUE"""),"Cookie &amp; Cream Blended - Cookie &amp; Cream Đá Xay")</f>
        <v>Cookie &amp; Cream Blended - Cookie &amp; Cream Đá Xay</v>
      </c>
      <c r="G130" s="15" t="str">
        <f>IFERROR(__xludf.DUMMYFUNCTION("""COMPUTED_VALUE"""),"L")</f>
        <v>L</v>
      </c>
      <c r="H130" s="17">
        <f>IFERROR(__xludf.DUMMYFUNCTION("""COMPUTED_VALUE"""),11.9)</f>
        <v>11.9</v>
      </c>
      <c r="I130" s="18">
        <f>IFERROR(__xludf.DUMMYFUNCTION("""COMPUTED_VALUE"""),13.5)</f>
        <v>13.5</v>
      </c>
      <c r="J130" s="15" t="str">
        <f>IFERROR(__xludf.DUMMYFUNCTION("""COMPUTED_VALUE"""),"Blended cookie with creamer, chocolate powder and full cream milk")</f>
        <v>Blended cookie with creamer, chocolate powder and full cream milk</v>
      </c>
      <c r="K130" s="12"/>
      <c r="L130" s="19"/>
      <c r="M130" s="19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5" t="str">
        <f>IFERROR(__xludf.DUMMYFUNCTION("""COMPUTED_VALUE"""),"8.Ice Blended")</f>
        <v>8.Ice Blended</v>
      </c>
      <c r="B131" s="16">
        <f>IFERROR(__xludf.DUMMYFUNCTION("""COMPUTED_VALUE"""),5.0)</f>
        <v>5</v>
      </c>
      <c r="C131" s="16" t="str">
        <f>IFERROR(__xludf.DUMMYFUNCTION("""COMPUTED_VALUE"""),"P0805")</f>
        <v>P0805</v>
      </c>
      <c r="D131" s="15" t="str">
        <f>IFERROR(__xludf.DUMMYFUNCTION("""COMPUTED_VALUE"""),"Coconut Coffee Đá Xay")</f>
        <v>Coconut Coffee Đá Xay</v>
      </c>
      <c r="E131" s="15" t="str">
        <f>IFERROR(__xludf.DUMMYFUNCTION("""COMPUTED_VALUE"""),"Coconut Coffee Blended")</f>
        <v>Coconut Coffee Blended</v>
      </c>
      <c r="F131" s="15" t="str">
        <f>IFERROR(__xludf.DUMMYFUNCTION("""COMPUTED_VALUE"""),"Coconut Coffee Blended - Coconut Coffee Đá Xay")</f>
        <v>Coconut Coffee Blended - Coconut Coffee Đá Xay</v>
      </c>
      <c r="G131" s="15" t="str">
        <f>IFERROR(__xludf.DUMMYFUNCTION("""COMPUTED_VALUE"""),"R")</f>
        <v>R</v>
      </c>
      <c r="H131" s="17">
        <f>IFERROR(__xludf.DUMMYFUNCTION("""COMPUTED_VALUE"""),9.9)</f>
        <v>9.9</v>
      </c>
      <c r="I131" s="18">
        <f>IFERROR(__xludf.DUMMYFUNCTION("""COMPUTED_VALUE"""),11.5)</f>
        <v>11.5</v>
      </c>
      <c r="J131" s="15" t="str">
        <f>IFERROR(__xludf.DUMMYFUNCTION("""COMPUTED_VALUE"""),"Blended coffee with coconut cream and creamer")</f>
        <v>Blended coffee with coconut cream and creamer</v>
      </c>
      <c r="K131" s="13" t="str">
        <f>IFERROR(__xludf.DUMMYFUNCTION("""COMPUTED_VALUE"""),"https://drive.google.com/file/d/1rVKdH7SL9dNOQd6l4pofKub3Q2_xeXuO/view?usp=sharing")</f>
        <v>https://drive.google.com/file/d/1rVKdH7SL9dNOQd6l4pofKub3Q2_xeXuO/view?usp=sharing</v>
      </c>
      <c r="L131" s="19"/>
      <c r="M131" s="19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5" t="str">
        <f>IFERROR(__xludf.DUMMYFUNCTION("""COMPUTED_VALUE"""),"8.Ice Blended")</f>
        <v>8.Ice Blended</v>
      </c>
      <c r="B132" s="16"/>
      <c r="C132" s="16"/>
      <c r="D132" s="15" t="str">
        <f>IFERROR(__xludf.DUMMYFUNCTION("""COMPUTED_VALUE"""),"Coconut Coffee Đá Xay")</f>
        <v>Coconut Coffee Đá Xay</v>
      </c>
      <c r="E132" s="15" t="str">
        <f>IFERROR(__xludf.DUMMYFUNCTION("""COMPUTED_VALUE"""),"Coconut Coffee Blended")</f>
        <v>Coconut Coffee Blended</v>
      </c>
      <c r="F132" s="15" t="str">
        <f>IFERROR(__xludf.DUMMYFUNCTION("""COMPUTED_VALUE"""),"Coconut Coffee Blended - Coconut Coffee Đá Xay")</f>
        <v>Coconut Coffee Blended - Coconut Coffee Đá Xay</v>
      </c>
      <c r="G132" s="15" t="str">
        <f>IFERROR(__xludf.DUMMYFUNCTION("""COMPUTED_VALUE"""),"L")</f>
        <v>L</v>
      </c>
      <c r="H132" s="17">
        <f>IFERROR(__xludf.DUMMYFUNCTION("""COMPUTED_VALUE"""),11.9)</f>
        <v>11.9</v>
      </c>
      <c r="I132" s="18">
        <f>IFERROR(__xludf.DUMMYFUNCTION("""COMPUTED_VALUE"""),13.5)</f>
        <v>13.5</v>
      </c>
      <c r="J132" s="15" t="str">
        <f>IFERROR(__xludf.DUMMYFUNCTION("""COMPUTED_VALUE"""),"Blended coffee with coconut cream and creamer")</f>
        <v>Blended coffee with coconut cream and creamer</v>
      </c>
      <c r="K132" s="11"/>
      <c r="L132" s="19"/>
      <c r="M132" s="19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5" t="str">
        <f>IFERROR(__xludf.DUMMYFUNCTION("""COMPUTED_VALUE"""),"8.Ice Blended")</f>
        <v>8.Ice Blended</v>
      </c>
      <c r="B133" s="16">
        <f>IFERROR(__xludf.DUMMYFUNCTION("""COMPUTED_VALUE"""),6.0)</f>
        <v>6</v>
      </c>
      <c r="C133" s="16" t="str">
        <f>IFERROR(__xludf.DUMMYFUNCTION("""COMPUTED_VALUE"""),"P0806")</f>
        <v>P0806</v>
      </c>
      <c r="D133" s="15" t="str">
        <f>IFERROR(__xludf.DUMMYFUNCTION("""COMPUTED_VALUE"""),"Coffee Đá Xay")</f>
        <v>Coffee Đá Xay</v>
      </c>
      <c r="E133" s="15" t="str">
        <f>IFERROR(__xludf.DUMMYFUNCTION("""COMPUTED_VALUE"""),"Coffee Blended")</f>
        <v>Coffee Blended</v>
      </c>
      <c r="F133" s="15" t="str">
        <f>IFERROR(__xludf.DUMMYFUNCTION("""COMPUTED_VALUE"""),"Coffee Blended - Coffee Đá Xay")</f>
        <v>Coffee Blended - Coffee Đá Xay</v>
      </c>
      <c r="G133" s="15" t="str">
        <f>IFERROR(__xludf.DUMMYFUNCTION("""COMPUTED_VALUE"""),"R")</f>
        <v>R</v>
      </c>
      <c r="H133" s="17">
        <f>IFERROR(__xludf.DUMMYFUNCTION("""COMPUTED_VALUE"""),9.9)</f>
        <v>9.9</v>
      </c>
      <c r="I133" s="18">
        <f>IFERROR(__xludf.DUMMYFUNCTION("""COMPUTED_VALUE"""),11.5)</f>
        <v>11.5</v>
      </c>
      <c r="J133" s="15" t="str">
        <f>IFERROR(__xludf.DUMMYFUNCTION("""COMPUTED_VALUE"""),"Blended coffee with full cream milk")</f>
        <v>Blended coffee with full cream milk</v>
      </c>
      <c r="K133" s="13" t="str">
        <f>IFERROR(__xludf.DUMMYFUNCTION("""COMPUTED_VALUE"""),"https://drive.google.com/file/d/1rVKdH7SL9dNOQd6l4pofKub3Q2_xeXuO/view?usp=sharing")</f>
        <v>https://drive.google.com/file/d/1rVKdH7SL9dNOQd6l4pofKub3Q2_xeXuO/view?usp=sharing</v>
      </c>
      <c r="L133" s="19"/>
      <c r="M133" s="19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5" t="str">
        <f>IFERROR(__xludf.DUMMYFUNCTION("""COMPUTED_VALUE"""),"8.Ice Blended")</f>
        <v>8.Ice Blended</v>
      </c>
      <c r="B134" s="16"/>
      <c r="C134" s="16"/>
      <c r="D134" s="15" t="str">
        <f>IFERROR(__xludf.DUMMYFUNCTION("""COMPUTED_VALUE"""),"Coffee Đá Xay")</f>
        <v>Coffee Đá Xay</v>
      </c>
      <c r="E134" s="15" t="str">
        <f>IFERROR(__xludf.DUMMYFUNCTION("""COMPUTED_VALUE"""),"Coffee Blended")</f>
        <v>Coffee Blended</v>
      </c>
      <c r="F134" s="15" t="str">
        <f>IFERROR(__xludf.DUMMYFUNCTION("""COMPUTED_VALUE"""),"Coffee Blended - Coffee Đá Xay")</f>
        <v>Coffee Blended - Coffee Đá Xay</v>
      </c>
      <c r="G134" s="15" t="str">
        <f>IFERROR(__xludf.DUMMYFUNCTION("""COMPUTED_VALUE"""),"L")</f>
        <v>L</v>
      </c>
      <c r="H134" s="17">
        <f>IFERROR(__xludf.DUMMYFUNCTION("""COMPUTED_VALUE"""),11.9)</f>
        <v>11.9</v>
      </c>
      <c r="I134" s="18">
        <f>IFERROR(__xludf.DUMMYFUNCTION("""COMPUTED_VALUE"""),13.5)</f>
        <v>13.5</v>
      </c>
      <c r="J134" s="15" t="str">
        <f>IFERROR(__xludf.DUMMYFUNCTION("""COMPUTED_VALUE"""),"Blended coffee with full cream milk")</f>
        <v>Blended coffee with full cream milk</v>
      </c>
      <c r="K134" s="11"/>
      <c r="L134" s="19"/>
      <c r="M134" s="19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5" t="str">
        <f>IFERROR(__xludf.DUMMYFUNCTION("""COMPUTED_VALUE"""),"8.Ice Blended")</f>
        <v>8.Ice Blended</v>
      </c>
      <c r="B135" s="16">
        <f>IFERROR(__xludf.DUMMYFUNCTION("""COMPUTED_VALUE"""),7.0)</f>
        <v>7</v>
      </c>
      <c r="C135" s="16" t="str">
        <f>IFERROR(__xludf.DUMMYFUNCTION("""COMPUTED_VALUE"""),"P0807")</f>
        <v>P0807</v>
      </c>
      <c r="D135" s="15" t="str">
        <f>IFERROR(__xludf.DUMMYFUNCTION("""COMPUTED_VALUE"""),"Vanilla Coffee Đá Xay")</f>
        <v>Vanilla Coffee Đá Xay</v>
      </c>
      <c r="E135" s="15" t="str">
        <f>IFERROR(__xludf.DUMMYFUNCTION("""COMPUTED_VALUE"""),"Vanilla Coffee Blended")</f>
        <v>Vanilla Coffee Blended</v>
      </c>
      <c r="F135" s="15" t="str">
        <f>IFERROR(__xludf.DUMMYFUNCTION("""COMPUTED_VALUE"""),"Vanilla Coffee Blended - Vanilla Coffee Đá Xay")</f>
        <v>Vanilla Coffee Blended - Vanilla Coffee Đá Xay</v>
      </c>
      <c r="G135" s="15" t="str">
        <f>IFERROR(__xludf.DUMMYFUNCTION("""COMPUTED_VALUE"""),"R")</f>
        <v>R</v>
      </c>
      <c r="H135" s="17">
        <f>IFERROR(__xludf.DUMMYFUNCTION("""COMPUTED_VALUE"""),8.9)</f>
        <v>8.9</v>
      </c>
      <c r="I135" s="18">
        <f>IFERROR(__xludf.DUMMYFUNCTION("""COMPUTED_VALUE"""),10.5)</f>
        <v>10.5</v>
      </c>
      <c r="J135" s="15" t="str">
        <f>IFERROR(__xludf.DUMMYFUNCTION("""COMPUTED_VALUE"""),"Blended coffee with vanilla syrup")</f>
        <v>Blended coffee with vanilla syrup</v>
      </c>
      <c r="K135" s="13" t="str">
        <f>IFERROR(__xludf.DUMMYFUNCTION("""COMPUTED_VALUE"""),"https://drive.google.com/file/d/1rVKdH7SL9dNOQd6l4pofKub3Q2_xeXuO/view?usp=sharing")</f>
        <v>https://drive.google.com/file/d/1rVKdH7SL9dNOQd6l4pofKub3Q2_xeXuO/view?usp=sharing</v>
      </c>
      <c r="L135" s="19"/>
      <c r="M135" s="19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5" t="str">
        <f>IFERROR(__xludf.DUMMYFUNCTION("""COMPUTED_VALUE"""),"8.Ice Blended")</f>
        <v>8.Ice Blended</v>
      </c>
      <c r="B136" s="16"/>
      <c r="C136" s="16"/>
      <c r="D136" s="15" t="str">
        <f>IFERROR(__xludf.DUMMYFUNCTION("""COMPUTED_VALUE"""),"Vanilla Coffee Đá Xay")</f>
        <v>Vanilla Coffee Đá Xay</v>
      </c>
      <c r="E136" s="15" t="str">
        <f>IFERROR(__xludf.DUMMYFUNCTION("""COMPUTED_VALUE"""),"Vanilla Coffee Blended")</f>
        <v>Vanilla Coffee Blended</v>
      </c>
      <c r="F136" s="15" t="str">
        <f>IFERROR(__xludf.DUMMYFUNCTION("""COMPUTED_VALUE"""),"Vanilla Coffee Blended - Vanilla Coffee Đá Xay")</f>
        <v>Vanilla Coffee Blended - Vanilla Coffee Đá Xay</v>
      </c>
      <c r="G136" s="15" t="str">
        <f>IFERROR(__xludf.DUMMYFUNCTION("""COMPUTED_VALUE"""),"L")</f>
        <v>L</v>
      </c>
      <c r="H136" s="17">
        <f>IFERROR(__xludf.DUMMYFUNCTION("""COMPUTED_VALUE"""),11.9)</f>
        <v>11.9</v>
      </c>
      <c r="I136" s="18">
        <f>IFERROR(__xludf.DUMMYFUNCTION("""COMPUTED_VALUE"""),13.5)</f>
        <v>13.5</v>
      </c>
      <c r="J136" s="15" t="str">
        <f>IFERROR(__xludf.DUMMYFUNCTION("""COMPUTED_VALUE"""),"Blended coffee with vanilla syrup")</f>
        <v>Blended coffee with vanilla syrup</v>
      </c>
      <c r="K136" s="11"/>
      <c r="L136" s="19"/>
      <c r="M136" s="19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5" t="str">
        <f>IFERROR(__xludf.DUMMYFUNCTION("""COMPUTED_VALUE"""),"8.Ice Blended")</f>
        <v>8.Ice Blended</v>
      </c>
      <c r="B137" s="16">
        <f>IFERROR(__xludf.DUMMYFUNCTION("""COMPUTED_VALUE"""),8.0)</f>
        <v>8</v>
      </c>
      <c r="C137" s="16" t="str">
        <f>IFERROR(__xludf.DUMMYFUNCTION("""COMPUTED_VALUE"""),"P0808")</f>
        <v>P0808</v>
      </c>
      <c r="D137" s="15" t="str">
        <f>IFERROR(__xludf.DUMMYFUNCTION("""COMPUTED_VALUE"""),"Chocolate Đá Xay")</f>
        <v>Chocolate Đá Xay</v>
      </c>
      <c r="E137" s="15" t="str">
        <f>IFERROR(__xludf.DUMMYFUNCTION("""COMPUTED_VALUE"""),"Chocolate Blended")</f>
        <v>Chocolate Blended</v>
      </c>
      <c r="F137" s="15" t="str">
        <f>IFERROR(__xludf.DUMMYFUNCTION("""COMPUTED_VALUE"""),"Chocolate Blended - Chocolate Đá Xay")</f>
        <v>Chocolate Blended - Chocolate Đá Xay</v>
      </c>
      <c r="G137" s="15" t="str">
        <f>IFERROR(__xludf.DUMMYFUNCTION("""COMPUTED_VALUE"""),"R")</f>
        <v>R</v>
      </c>
      <c r="H137" s="17">
        <f>IFERROR(__xludf.DUMMYFUNCTION("""COMPUTED_VALUE"""),9.9)</f>
        <v>9.9</v>
      </c>
      <c r="I137" s="18">
        <f>IFERROR(__xludf.DUMMYFUNCTION("""COMPUTED_VALUE"""),11.5)</f>
        <v>11.5</v>
      </c>
      <c r="J137" s="15" t="str">
        <f>IFERROR(__xludf.DUMMYFUNCTION("""COMPUTED_VALUE"""),"Blended chocolate powder with full cream milk")</f>
        <v>Blended chocolate powder with full cream milk</v>
      </c>
      <c r="K137" s="9" t="str">
        <f>IFERROR(__xludf.DUMMYFUNCTION("""COMPUTED_VALUE"""),"https://drive.google.com/file/d/1loHNoI1W2MMuOTiLGzjg-lvN_tMyFJpZ/view?usp=sharing")</f>
        <v>https://drive.google.com/file/d/1loHNoI1W2MMuOTiLGzjg-lvN_tMyFJpZ/view?usp=sharing</v>
      </c>
      <c r="L137" s="15"/>
      <c r="M137" s="19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5" t="str">
        <f>IFERROR(__xludf.DUMMYFUNCTION("""COMPUTED_VALUE"""),"8.Ice Blended")</f>
        <v>8.Ice Blended</v>
      </c>
      <c r="B138" s="16"/>
      <c r="C138" s="16"/>
      <c r="D138" s="15" t="str">
        <f>IFERROR(__xludf.DUMMYFUNCTION("""COMPUTED_VALUE"""),"Chocolate Đá Xay")</f>
        <v>Chocolate Đá Xay</v>
      </c>
      <c r="E138" s="15" t="str">
        <f>IFERROR(__xludf.DUMMYFUNCTION("""COMPUTED_VALUE"""),"Chocolate Blended")</f>
        <v>Chocolate Blended</v>
      </c>
      <c r="F138" s="15" t="str">
        <f>IFERROR(__xludf.DUMMYFUNCTION("""COMPUTED_VALUE"""),"Chocolate Blended - Chocolate Đá Xay")</f>
        <v>Chocolate Blended - Chocolate Đá Xay</v>
      </c>
      <c r="G138" s="15" t="str">
        <f>IFERROR(__xludf.DUMMYFUNCTION("""COMPUTED_VALUE"""),"L")</f>
        <v>L</v>
      </c>
      <c r="H138" s="17">
        <f>IFERROR(__xludf.DUMMYFUNCTION("""COMPUTED_VALUE"""),11.9)</f>
        <v>11.9</v>
      </c>
      <c r="I138" s="18">
        <f>IFERROR(__xludf.DUMMYFUNCTION("""COMPUTED_VALUE"""),13.5)</f>
        <v>13.5</v>
      </c>
      <c r="J138" s="15" t="str">
        <f>IFERROR(__xludf.DUMMYFUNCTION("""COMPUTED_VALUE"""),"Blended chocolate powder with full cream milk")</f>
        <v>Blended chocolate powder with full cream milk</v>
      </c>
      <c r="K138" s="11"/>
      <c r="L138" s="15"/>
      <c r="M138" s="19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5" t="str">
        <f>IFERROR(__xludf.DUMMYFUNCTION("""COMPUTED_VALUE"""),"8.Ice Blended")</f>
        <v>8.Ice Blended</v>
      </c>
      <c r="B139" s="16">
        <f>IFERROR(__xludf.DUMMYFUNCTION("""COMPUTED_VALUE"""),9.0)</f>
        <v>9</v>
      </c>
      <c r="C139" s="16" t="str">
        <f>IFERROR(__xludf.DUMMYFUNCTION("""COMPUTED_VALUE"""),"P0809")</f>
        <v>P0809</v>
      </c>
      <c r="D139" s="15" t="str">
        <f>IFERROR(__xludf.DUMMYFUNCTION("""COMPUTED_VALUE"""),"Biscoff Đá Xay")</f>
        <v>Biscoff Đá Xay</v>
      </c>
      <c r="E139" s="15" t="str">
        <f>IFERROR(__xludf.DUMMYFUNCTION("""COMPUTED_VALUE"""),"Biscoff Blended")</f>
        <v>Biscoff Blended</v>
      </c>
      <c r="F139" s="15" t="str">
        <f>IFERROR(__xludf.DUMMYFUNCTION("""COMPUTED_VALUE"""),"Biscoff Blended - Biscoff Đá Xay")</f>
        <v>Biscoff Blended - Biscoff Đá Xay</v>
      </c>
      <c r="G139" s="15" t="str">
        <f>IFERROR(__xludf.DUMMYFUNCTION("""COMPUTED_VALUE"""),"R")</f>
        <v>R</v>
      </c>
      <c r="H139" s="17">
        <f>IFERROR(__xludf.DUMMYFUNCTION("""COMPUTED_VALUE"""),9.9)</f>
        <v>9.9</v>
      </c>
      <c r="I139" s="18">
        <f>IFERROR(__xludf.DUMMYFUNCTION("""COMPUTED_VALUE"""),11.5)</f>
        <v>11.5</v>
      </c>
      <c r="J139" s="15" t="str">
        <f>IFERROR(__xludf.DUMMYFUNCTION("""COMPUTED_VALUE"""),"Blended biscoff crumb, biscoff, whipping cream and full cream milk")</f>
        <v>Blended biscoff crumb, biscoff, whipping cream and full cream milk</v>
      </c>
      <c r="K139" s="9" t="str">
        <f>IFERROR(__xludf.DUMMYFUNCTION("""COMPUTED_VALUE"""),"https://drive.google.com/file/d/1AzNJz35Y53p0aEG6bYt5R-KzUUgnEAEr/view?usp=sharing")</f>
        <v>https://drive.google.com/file/d/1AzNJz35Y53p0aEG6bYt5R-KzUUgnEAEr/view?usp=sharing</v>
      </c>
      <c r="L139" s="15"/>
      <c r="M139" s="19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5" t="str">
        <f>IFERROR(__xludf.DUMMYFUNCTION("""COMPUTED_VALUE"""),"8.Ice Blended")</f>
        <v>8.Ice Blended</v>
      </c>
      <c r="B140" s="16"/>
      <c r="C140" s="16"/>
      <c r="D140" s="15" t="str">
        <f>IFERROR(__xludf.DUMMYFUNCTION("""COMPUTED_VALUE"""),"Biscoff Đá Xay")</f>
        <v>Biscoff Đá Xay</v>
      </c>
      <c r="E140" s="15" t="str">
        <f>IFERROR(__xludf.DUMMYFUNCTION("""COMPUTED_VALUE"""),"Biscoff Blended")</f>
        <v>Biscoff Blended</v>
      </c>
      <c r="F140" s="15" t="str">
        <f>IFERROR(__xludf.DUMMYFUNCTION("""COMPUTED_VALUE"""),"Biscoff Blended - Biscoff Đá Xay")</f>
        <v>Biscoff Blended - Biscoff Đá Xay</v>
      </c>
      <c r="G140" s="15" t="str">
        <f>IFERROR(__xludf.DUMMYFUNCTION("""COMPUTED_VALUE"""),"L")</f>
        <v>L</v>
      </c>
      <c r="H140" s="17">
        <f>IFERROR(__xludf.DUMMYFUNCTION("""COMPUTED_VALUE"""),11.9)</f>
        <v>11.9</v>
      </c>
      <c r="I140" s="18">
        <f>IFERROR(__xludf.DUMMYFUNCTION("""COMPUTED_VALUE"""),13.5)</f>
        <v>13.5</v>
      </c>
      <c r="J140" s="15" t="str">
        <f>IFERROR(__xludf.DUMMYFUNCTION("""COMPUTED_VALUE"""),"Blended biscoff crumb, biscoff, whipping cream and full cream milk")</f>
        <v>Blended biscoff crumb, biscoff, whipping cream and full cream milk</v>
      </c>
      <c r="K140" s="11"/>
      <c r="L140" s="15"/>
      <c r="M140" s="19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5" t="str">
        <f>IFERROR(__xludf.DUMMYFUNCTION("""COMPUTED_VALUE"""),"9.Fruit Bowls &amp; Dessert ")</f>
        <v>9.Fruit Bowls &amp; Dessert </v>
      </c>
      <c r="B141" s="16">
        <f>IFERROR(__xludf.DUMMYFUNCTION("""COMPUTED_VALUE"""),1.0)</f>
        <v>1</v>
      </c>
      <c r="C141" s="16" t="str">
        <f>IFERROR(__xludf.DUMMYFUNCTION("""COMPUTED_VALUE"""),"P0901")</f>
        <v>P0901</v>
      </c>
      <c r="D141" s="15" t="str">
        <f>IFERROR(__xludf.DUMMYFUNCTION("""COMPUTED_VALUE"""),"Sầu Riêng Dầm")</f>
        <v>Sầu Riêng Dầm</v>
      </c>
      <c r="E141" s="15" t="str">
        <f>IFERROR(__xludf.DUMMYFUNCTION("""COMPUTED_VALUE"""),"Smashed Durian")</f>
        <v>Smashed Durian</v>
      </c>
      <c r="F141" s="15" t="str">
        <f>IFERROR(__xludf.DUMMYFUNCTION("""COMPUTED_VALUE"""),"Smashed Durian - Sầu Riêng Dầm")</f>
        <v>Smashed Durian - Sầu Riêng Dầm</v>
      </c>
      <c r="G141" s="19"/>
      <c r="H141" s="17">
        <f>IFERROR(__xludf.DUMMYFUNCTION("""COMPUTED_VALUE"""),16.5)</f>
        <v>16.5</v>
      </c>
      <c r="I141" s="18">
        <f>IFERROR(__xludf.DUMMYFUNCTION("""COMPUTED_VALUE"""),18.9)</f>
        <v>18.9</v>
      </c>
      <c r="J141" s="15" t="str">
        <f>IFERROR(__xludf.DUMMYFUNCTION("""COMPUTED_VALUE"""),"Smashed Durian with coconut cream, white pealrs and ruby chestnuts")</f>
        <v>Smashed Durian with coconut cream, white pealrs and ruby chestnuts</v>
      </c>
      <c r="K141" s="9" t="str">
        <f>IFERROR(__xludf.DUMMYFUNCTION("""COMPUTED_VALUE"""),"https://drive.google.com/file/d/1YHIzd3okP8I4S52x1F6sjt4-uk-wuXwi/view?usp=sharing")</f>
        <v>https://drive.google.com/file/d/1YHIzd3okP8I4S52x1F6sjt4-uk-wuXwi/view?usp=sharing</v>
      </c>
      <c r="L141" s="15" t="str">
        <f>IFERROR(__xludf.DUMMYFUNCTION("""COMPUTED_VALUE"""),"Extra durian +$3.50")</f>
        <v>Extra durian +$3.50</v>
      </c>
      <c r="M141" s="19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5" t="str">
        <f>IFERROR(__xludf.DUMMYFUNCTION("""COMPUTED_VALUE"""),"9.Fruit Bowls &amp; Dessert ")</f>
        <v>9.Fruit Bowls &amp; Dessert </v>
      </c>
      <c r="B142" s="16">
        <f>IFERROR(__xludf.DUMMYFUNCTION("""COMPUTED_VALUE"""),2.0)</f>
        <v>2</v>
      </c>
      <c r="C142" s="16" t="str">
        <f>IFERROR(__xludf.DUMMYFUNCTION("""COMPUTED_VALUE"""),"P0902")</f>
        <v>P0902</v>
      </c>
      <c r="D142" s="15" t="str">
        <f>IFERROR(__xludf.DUMMYFUNCTION("""COMPUTED_VALUE"""),"Trái Cây Dầm")</f>
        <v>Trái Cây Dầm</v>
      </c>
      <c r="E142" s="15" t="str">
        <f>IFERROR(__xludf.DUMMYFUNCTION("""COMPUTED_VALUE"""),"Smashed Mix Fruit")</f>
        <v>Smashed Mix Fruit</v>
      </c>
      <c r="F142" s="15" t="str">
        <f>IFERROR(__xludf.DUMMYFUNCTION("""COMPUTED_VALUE"""),"Smashed Mix Fruit - Trái Cây Dầm")</f>
        <v>Smashed Mix Fruit - Trái Cây Dầm</v>
      </c>
      <c r="G142" s="19"/>
      <c r="H142" s="17">
        <f>IFERROR(__xludf.DUMMYFUNCTION("""COMPUTED_VALUE"""),13.9)</f>
        <v>13.9</v>
      </c>
      <c r="I142" s="18">
        <f>IFERROR(__xludf.DUMMYFUNCTION("""COMPUTED_VALUE"""),15.9)</f>
        <v>15.9</v>
      </c>
      <c r="J142" s="15" t="str">
        <f>IFERROR(__xludf.DUMMYFUNCTION("""COMPUTED_VALUE"""),"Mixed Seasonal fruit with creamy coconut milk, sugar palm seed and Ruby Chestnuts")</f>
        <v>Mixed Seasonal fruit with creamy coconut milk, sugar palm seed and Ruby Chestnuts</v>
      </c>
      <c r="K142" s="9" t="str">
        <f>IFERROR(__xludf.DUMMYFUNCTION("""COMPUTED_VALUE"""),"https://drive.google.com/file/d/1YHIzd3okP8I4S52x1F6sjt4-uk-wuXwi/view?usp=sharing")</f>
        <v>https://drive.google.com/file/d/1YHIzd3okP8I4S52x1F6sjt4-uk-wuXwi/view?usp=sharing</v>
      </c>
      <c r="L142" s="15" t="str">
        <f>IFERROR(__xludf.DUMMYFUNCTION("""COMPUTED_VALUE"""),"Best Seller")</f>
        <v>Best Seller</v>
      </c>
      <c r="M142" s="19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5" t="str">
        <f>IFERROR(__xludf.DUMMYFUNCTION("""COMPUTED_VALUE"""),"9.Fruit Bowls &amp; Dessert ")</f>
        <v>9.Fruit Bowls &amp; Dessert </v>
      </c>
      <c r="B143" s="16">
        <f>IFERROR(__xludf.DUMMYFUNCTION("""COMPUTED_VALUE"""),3.0)</f>
        <v>3</v>
      </c>
      <c r="C143" s="16" t="str">
        <f>IFERROR(__xludf.DUMMYFUNCTION("""COMPUTED_VALUE"""),"P0903")</f>
        <v>P0903</v>
      </c>
      <c r="D143" s="15" t="str">
        <f>IFERROR(__xludf.DUMMYFUNCTION("""COMPUTED_VALUE"""),"Bơ Dừa Dầm")</f>
        <v>Bơ Dừa Dầm</v>
      </c>
      <c r="E143" s="15" t="str">
        <f>IFERROR(__xludf.DUMMYFUNCTION("""COMPUTED_VALUE"""),"Avocado Coconut")</f>
        <v>Avocado Coconut</v>
      </c>
      <c r="F143" s="15" t="str">
        <f>IFERROR(__xludf.DUMMYFUNCTION("""COMPUTED_VALUE"""),"Avocado Coconut - Bơ Dừa Dầm")</f>
        <v>Avocado Coconut - Bơ Dừa Dầm</v>
      </c>
      <c r="G143" s="19"/>
      <c r="H143" s="17">
        <f>IFERROR(__xludf.DUMMYFUNCTION("""COMPUTED_VALUE"""),13.9)</f>
        <v>13.9</v>
      </c>
      <c r="I143" s="18">
        <f>IFERROR(__xludf.DUMMYFUNCTION("""COMPUTED_VALUE"""),15.9)</f>
        <v>15.9</v>
      </c>
      <c r="J143" s="15" t="str">
        <f>IFERROR(__xludf.DUMMYFUNCTION("""COMPUTED_VALUE"""),"Avocado with fresh young coconut, sugar palm seeds, white pearls, coconut cream and ruby chestnut")</f>
        <v>Avocado with fresh young coconut, sugar palm seeds, white pearls, coconut cream and ruby chestnut</v>
      </c>
      <c r="K143" s="9" t="str">
        <f>IFERROR(__xludf.DUMMYFUNCTION("""COMPUTED_VALUE"""),"https://drive.google.com/file/d/1O-FbH8Z23W8Yw3MMocblMbr4F3kSKGdo/view?usp=sharing")</f>
        <v>https://drive.google.com/file/d/1O-FbH8Z23W8Yw3MMocblMbr4F3kSKGdo/view?usp=sharing</v>
      </c>
      <c r="L143" s="15"/>
      <c r="M143" s="19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5" t="str">
        <f>IFERROR(__xludf.DUMMYFUNCTION("""COMPUTED_VALUE"""),"9.Fruit Bowls &amp; Dessert ")</f>
        <v>9.Fruit Bowls &amp; Dessert </v>
      </c>
      <c r="B144" s="16">
        <f>IFERROR(__xludf.DUMMYFUNCTION("""COMPUTED_VALUE"""),4.0)</f>
        <v>4</v>
      </c>
      <c r="C144" s="16" t="str">
        <f>IFERROR(__xludf.DUMMYFUNCTION("""COMPUTED_VALUE"""),"P0904")</f>
        <v>P0904</v>
      </c>
      <c r="D144" s="15" t="str">
        <f>IFERROR(__xludf.DUMMYFUNCTION("""COMPUTED_VALUE"""),"Bơ Dầm")</f>
        <v>Bơ Dầm</v>
      </c>
      <c r="E144" s="15" t="str">
        <f>IFERROR(__xludf.DUMMYFUNCTION("""COMPUTED_VALUE"""),"Smashed Avocado")</f>
        <v>Smashed Avocado</v>
      </c>
      <c r="F144" s="15" t="str">
        <f>IFERROR(__xludf.DUMMYFUNCTION("""COMPUTED_VALUE"""),"Smashed Avocado - Bơ Dầm")</f>
        <v>Smashed Avocado - Bơ Dầm</v>
      </c>
      <c r="G144" s="19"/>
      <c r="H144" s="17">
        <f>IFERROR(__xludf.DUMMYFUNCTION("""COMPUTED_VALUE"""),12.9)</f>
        <v>12.9</v>
      </c>
      <c r="I144" s="18">
        <f>IFERROR(__xludf.DUMMYFUNCTION("""COMPUTED_VALUE"""),14.9)</f>
        <v>14.9</v>
      </c>
      <c r="J144" s="15" t="str">
        <f>IFERROR(__xludf.DUMMYFUNCTION("""COMPUTED_VALUE"""),"Smashed Avocado with fresh young coconut, white pearls, sugar palm seeds and coconut cream")</f>
        <v>Smashed Avocado with fresh young coconut, white pearls, sugar palm seeds and coconut cream</v>
      </c>
      <c r="K144" s="9" t="str">
        <f>IFERROR(__xludf.DUMMYFUNCTION("""COMPUTED_VALUE"""),"https://drive.google.com/file/d/1jUUbTRItLwuTh0gZR4fDKgit-OtXwALl/view?usp=sharing")</f>
        <v>https://drive.google.com/file/d/1jUUbTRItLwuTh0gZR4fDKgit-OtXwALl/view?usp=sharing</v>
      </c>
      <c r="L144" s="15"/>
      <c r="M144" s="19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5" t="str">
        <f>IFERROR(__xludf.DUMMYFUNCTION("""COMPUTED_VALUE"""),"9.Fruit Bowls &amp; Dessert ")</f>
        <v>9.Fruit Bowls &amp; Dessert </v>
      </c>
      <c r="B145" s="16">
        <f>IFERROR(__xludf.DUMMYFUNCTION("""COMPUTED_VALUE"""),5.0)</f>
        <v>5</v>
      </c>
      <c r="C145" s="16" t="str">
        <f>IFERROR(__xludf.DUMMYFUNCTION("""COMPUTED_VALUE"""),"P0905")</f>
        <v>P0905</v>
      </c>
      <c r="D145" s="15" t="str">
        <f>IFERROR(__xludf.DUMMYFUNCTION("""COMPUTED_VALUE"""),"Dừa Non Dầm")</f>
        <v>Dừa Non Dầm</v>
      </c>
      <c r="E145" s="15" t="str">
        <f>IFERROR(__xludf.DUMMYFUNCTION("""COMPUTED_VALUE"""),"Smashed Coconut")</f>
        <v>Smashed Coconut</v>
      </c>
      <c r="F145" s="15" t="str">
        <f>IFERROR(__xludf.DUMMYFUNCTION("""COMPUTED_VALUE"""),"Smashed Coconut - Dừa Non Dầm")</f>
        <v>Smashed Coconut - Dừa Non Dầm</v>
      </c>
      <c r="G145" s="19"/>
      <c r="H145" s="17">
        <f>IFERROR(__xludf.DUMMYFUNCTION("""COMPUTED_VALUE"""),13.5)</f>
        <v>13.5</v>
      </c>
      <c r="I145" s="18">
        <f>IFERROR(__xludf.DUMMYFUNCTION("""COMPUTED_VALUE"""),15.5)</f>
        <v>15.5</v>
      </c>
      <c r="J145" s="15" t="str">
        <f>IFERROR(__xludf.DUMMYFUNCTION("""COMPUTED_VALUE"""),"Smashed young fresh coconut with coconut jelly, white pearls and sugar palm seed")</f>
        <v>Smashed young fresh coconut with coconut jelly, white pearls and sugar palm seed</v>
      </c>
      <c r="K145" s="9" t="str">
        <f>IFERROR(__xludf.DUMMYFUNCTION("""COMPUTED_VALUE"""),"https://drive.google.com/file/d/1kAGuHpVYTh2BjA8fiPUIqMlFGzH21_LR/view?usp=sharing")</f>
        <v>https://drive.google.com/file/d/1kAGuHpVYTh2BjA8fiPUIqMlFGzH21_LR/view?usp=sharing</v>
      </c>
      <c r="L145" s="15"/>
      <c r="M145" s="19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5" t="str">
        <f>IFERROR(__xludf.DUMMYFUNCTION("""COMPUTED_VALUE"""),"9.Fruit Bowls &amp; Dessert ")</f>
        <v>9.Fruit Bowls &amp; Dessert </v>
      </c>
      <c r="B146" s="16">
        <f>IFERROR(__xludf.DUMMYFUNCTION("""COMPUTED_VALUE"""),6.0)</f>
        <v>6</v>
      </c>
      <c r="C146" s="16" t="str">
        <f>IFERROR(__xludf.DUMMYFUNCTION("""COMPUTED_VALUE"""),"P0906")</f>
        <v>P0906</v>
      </c>
      <c r="D146" s="15" t="str">
        <f>IFERROR(__xludf.DUMMYFUNCTION("""COMPUTED_VALUE"""),"Mãng Cầu Dầm")</f>
        <v>Mãng Cầu Dầm</v>
      </c>
      <c r="E146" s="15" t="str">
        <f>IFERROR(__xludf.DUMMYFUNCTION("""COMPUTED_VALUE"""),"Smashed Soursop")</f>
        <v>Smashed Soursop</v>
      </c>
      <c r="F146" s="15" t="str">
        <f>IFERROR(__xludf.DUMMYFUNCTION("""COMPUTED_VALUE"""),"Smashed Soursop - Mãng Cầu Dầm")</f>
        <v>Smashed Soursop - Mãng Cầu Dầm</v>
      </c>
      <c r="G146" s="19"/>
      <c r="H146" s="17">
        <f>IFERROR(__xludf.DUMMYFUNCTION("""COMPUTED_VALUE"""),12.9)</f>
        <v>12.9</v>
      </c>
      <c r="I146" s="18">
        <f>IFERROR(__xludf.DUMMYFUNCTION("""COMPUTED_VALUE"""),14.9)</f>
        <v>14.9</v>
      </c>
      <c r="J146" s="15" t="str">
        <f>IFERROR(__xludf.DUMMYFUNCTION("""COMPUTED_VALUE"""),"Smashed Soursop with coconut jelly, white pearls, coconut cream sugar palm seed and ruby chestnut")</f>
        <v>Smashed Soursop with coconut jelly, white pearls, coconut cream sugar palm seed and ruby chestnut</v>
      </c>
      <c r="K146" s="13" t="str">
        <f>IFERROR(__xludf.DUMMYFUNCTION("""COMPUTED_VALUE"""),"https://drive.google.com/file/d/1MgL0P1yjjprKyeKWbrMpHLENn8KVbpj2/view?usp=sharing")</f>
        <v>https://drive.google.com/file/d/1MgL0P1yjjprKyeKWbrMpHLENn8KVbpj2/view?usp=sharing</v>
      </c>
      <c r="L146" s="15"/>
      <c r="M146" s="19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5" t="str">
        <f>IFERROR(__xludf.DUMMYFUNCTION("""COMPUTED_VALUE"""),"9.Fruit Bowls &amp; Dessert ")</f>
        <v>9.Fruit Bowls &amp; Dessert </v>
      </c>
      <c r="B147" s="16">
        <f>IFERROR(__xludf.DUMMYFUNCTION("""COMPUTED_VALUE"""),7.0)</f>
        <v>7</v>
      </c>
      <c r="C147" s="16" t="str">
        <f>IFERROR(__xludf.DUMMYFUNCTION("""COMPUTED_VALUE"""),"P0907")</f>
        <v>P0907</v>
      </c>
      <c r="D147" s="15" t="str">
        <f>IFERROR(__xludf.DUMMYFUNCTION("""COMPUTED_VALUE"""),"Bánh Flan")</f>
        <v>Bánh Flan</v>
      </c>
      <c r="E147" s="15" t="str">
        <f>IFERROR(__xludf.DUMMYFUNCTION("""COMPUTED_VALUE"""),"Flan")</f>
        <v>Flan</v>
      </c>
      <c r="F147" s="15" t="str">
        <f>IFERROR(__xludf.DUMMYFUNCTION("""COMPUTED_VALUE"""),"Flan - Bánh Flan")</f>
        <v>Flan - Bánh Flan</v>
      </c>
      <c r="G147" s="19"/>
      <c r="H147" s="17">
        <f>IFERROR(__xludf.DUMMYFUNCTION("""COMPUTED_VALUE"""),10.5)</f>
        <v>10.5</v>
      </c>
      <c r="I147" s="18">
        <f>IFERROR(__xludf.DUMMYFUNCTION("""COMPUTED_VALUE"""),11.9)</f>
        <v>11.9</v>
      </c>
      <c r="J147" s="19"/>
      <c r="K147" s="9" t="str">
        <f>IFERROR(__xludf.DUMMYFUNCTION("""COMPUTED_VALUE"""),"https://drive.google.com/file/d/1Hiel95ZiIcaKqVI-TL8xlYBcnAaLjc4Z/view?usp=sharing")</f>
        <v>https://drive.google.com/file/d/1Hiel95ZiIcaKqVI-TL8xlYBcnAaLjc4Z/view?usp=sharing</v>
      </c>
      <c r="L147" s="15"/>
      <c r="M147" s="19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5" t="str">
        <f>IFERROR(__xludf.DUMMYFUNCTION("""COMPUTED_VALUE"""),"9.Fruit Bowls &amp; Dessert ")</f>
        <v>9.Fruit Bowls &amp; Dessert </v>
      </c>
      <c r="B148" s="16">
        <f>IFERROR(__xludf.DUMMYFUNCTION("""COMPUTED_VALUE"""),8.0)</f>
        <v>8</v>
      </c>
      <c r="C148" s="16" t="str">
        <f>IFERROR(__xludf.DUMMYFUNCTION("""COMPUTED_VALUE"""),"P0908")</f>
        <v>P0908</v>
      </c>
      <c r="D148" s="15" t="str">
        <f>IFERROR(__xludf.DUMMYFUNCTION("""COMPUTED_VALUE"""),"Chè Bơ Thập Cẩm")</f>
        <v>Chè Bơ Thập Cẩm</v>
      </c>
      <c r="E148" s="15" t="str">
        <f>IFERROR(__xludf.DUMMYFUNCTION("""COMPUTED_VALUE"""),"Avocado Mix Sweeted")</f>
        <v>Avocado Mix Sweeted</v>
      </c>
      <c r="F148" s="15" t="str">
        <f>IFERROR(__xludf.DUMMYFUNCTION("""COMPUTED_VALUE"""),"Avocado Mix Sweeted - Chè Bơ Thập Cẩm")</f>
        <v>Avocado Mix Sweeted - Chè Bơ Thập Cẩm</v>
      </c>
      <c r="G148" s="19"/>
      <c r="H148" s="17">
        <f>IFERROR(__xludf.DUMMYFUNCTION("""COMPUTED_VALUE"""),14.9)</f>
        <v>14.9</v>
      </c>
      <c r="I148" s="18">
        <f>IFERROR(__xludf.DUMMYFUNCTION("""COMPUTED_VALUE"""),16.9)</f>
        <v>16.9</v>
      </c>
      <c r="J148" s="15" t="str">
        <f>IFERROR(__xludf.DUMMYFUNCTION("""COMPUTED_VALUE"""),"Avocado with fresh young coconut with coconut jelly, white pearls, almond flake, coconut cream sugar palm seed and ruby chestnut")</f>
        <v>Avocado with fresh young coconut with coconut jelly, white pearls, almond flake, coconut cream sugar palm seed and ruby chestnut</v>
      </c>
      <c r="K148" s="9" t="str">
        <f>IFERROR(__xludf.DUMMYFUNCTION("""COMPUTED_VALUE"""),"https://drive.google.com/file/d/1_thHVNGbZTLfPfcD6ITmygDmfxkRLfYR/view?usp=sharing")</f>
        <v>https://drive.google.com/file/d/1_thHVNGbZTLfPfcD6ITmygDmfxkRLfYR/view?usp=sharing</v>
      </c>
      <c r="L148" s="15"/>
      <c r="M148" s="19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5" t="str">
        <f>IFERROR(__xludf.DUMMYFUNCTION("""COMPUTED_VALUE"""),"9.Fruit Bowls &amp; Dessert ")</f>
        <v>9.Fruit Bowls &amp; Dessert </v>
      </c>
      <c r="B149" s="16">
        <f>IFERROR(__xludf.DUMMYFUNCTION("""COMPUTED_VALUE"""),9.0)</f>
        <v>9</v>
      </c>
      <c r="C149" s="16" t="str">
        <f>IFERROR(__xludf.DUMMYFUNCTION("""COMPUTED_VALUE"""),"P0909")</f>
        <v>P0909</v>
      </c>
      <c r="D149" s="15" t="str">
        <f>IFERROR(__xludf.DUMMYFUNCTION("""COMPUTED_VALUE"""),"Trái Cây, Bánh Flan &amp; Coco Cream")</f>
        <v>Trái Cây, Bánh Flan &amp; Coco Cream</v>
      </c>
      <c r="E149" s="15" t="str">
        <f>IFERROR(__xludf.DUMMYFUNCTION("""COMPUTED_VALUE"""),"Mixed Flan &amp; Fruit &amp; Coco Cream")</f>
        <v>Mixed Flan &amp; Fruit &amp; Coco Cream</v>
      </c>
      <c r="F149" s="15" t="str">
        <f>IFERROR(__xludf.DUMMYFUNCTION("""COMPUTED_VALUE"""),"Mixed Flan &amp; Fruit &amp; Coco Cream - Trái Cây, Bánh Flan &amp; Coco Cream")</f>
        <v>Mixed Flan &amp; Fruit &amp; Coco Cream - Trái Cây, Bánh Flan &amp; Coco Cream</v>
      </c>
      <c r="G149" s="19"/>
      <c r="H149" s="17">
        <f>IFERROR(__xludf.DUMMYFUNCTION("""COMPUTED_VALUE"""),16.9)</f>
        <v>16.9</v>
      </c>
      <c r="I149" s="18">
        <f>IFERROR(__xludf.DUMMYFUNCTION("""COMPUTED_VALUE"""),19.5)</f>
        <v>19.5</v>
      </c>
      <c r="J149" s="15" t="str">
        <f>IFERROR(__xludf.DUMMYFUNCTION("""COMPUTED_VALUE"""),"Mixed Fruit and flan with coconut jelly, white pearls, coconut cream sugar palm seed and ruby chestnut")</f>
        <v>Mixed Fruit and flan with coconut jelly, white pearls, coconut cream sugar palm seed and ruby chestnut</v>
      </c>
      <c r="K149" s="9" t="str">
        <f>IFERROR(__xludf.DUMMYFUNCTION("""COMPUTED_VALUE"""),"https://drive.google.com/file/d/11Yj4F1XYD0k4SIFG3WbhFH6jB2sH3KcW/view?usp=sharing")</f>
        <v>https://drive.google.com/file/d/11Yj4F1XYD0k4SIFG3WbhFH6jB2sH3KcW/view?usp=sharing</v>
      </c>
      <c r="L149" s="15"/>
      <c r="M149" s="19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5" t="str">
        <f>IFERROR(__xludf.DUMMYFUNCTION("""COMPUTED_VALUE"""),"9.Fruit Bowls &amp; Dessert ")</f>
        <v>9.Fruit Bowls &amp; Dessert </v>
      </c>
      <c r="B150" s="16">
        <f>IFERROR(__xludf.DUMMYFUNCTION("""COMPUTED_VALUE"""),10.0)</f>
        <v>10</v>
      </c>
      <c r="C150" s="16" t="str">
        <f>IFERROR(__xludf.DUMMYFUNCTION("""COMPUTED_VALUE"""),"P0910")</f>
        <v>P0910</v>
      </c>
      <c r="D150" s="15" t="str">
        <f>IFERROR(__xludf.DUMMYFUNCTION("""COMPUTED_VALUE"""),"Trái Cây Dầm &amp; Kem")</f>
        <v>Trái Cây Dầm &amp; Kem</v>
      </c>
      <c r="E150" s="15" t="str">
        <f>IFERROR(__xludf.DUMMYFUNCTION("""COMPUTED_VALUE"""),"Mixed Flan &amp; Fruit &amp; Coco Cream")</f>
        <v>Mixed Flan &amp; Fruit &amp; Coco Cream</v>
      </c>
      <c r="F150" s="15" t="str">
        <f>IFERROR(__xludf.DUMMYFUNCTION("""COMPUTED_VALUE"""),"Mixed Flan &amp; Fruit &amp; Coco Cream - Trái Cây Dầm &amp; Kem")</f>
        <v>Mixed Flan &amp; Fruit &amp; Coco Cream - Trái Cây Dầm &amp; Kem</v>
      </c>
      <c r="G150" s="19"/>
      <c r="H150" s="17">
        <f>IFERROR(__xludf.DUMMYFUNCTION("""COMPUTED_VALUE"""),16.9)</f>
        <v>16.9</v>
      </c>
      <c r="I150" s="18">
        <f>IFERROR(__xludf.DUMMYFUNCTION("""COMPUTED_VALUE"""),19.5)</f>
        <v>19.5</v>
      </c>
      <c r="J150" s="15" t="str">
        <f>IFERROR(__xludf.DUMMYFUNCTION("""COMPUTED_VALUE"""),"Mixed Fruit and flan with coconut jelly, white pearls, coconut cream sugar palm seed and ruby chestnut")</f>
        <v>Mixed Fruit and flan with coconut jelly, white pearls, coconut cream sugar palm seed and ruby chestnut</v>
      </c>
      <c r="K150" s="9" t="str">
        <f>IFERROR(__xludf.DUMMYFUNCTION("""COMPUTED_VALUE"""),"https://drive.google.com/file/d/1Vr0yusvEi7klvji_pgEDzjW9vXTnPyuE/view?usp=sharing")</f>
        <v>https://drive.google.com/file/d/1Vr0yusvEi7klvji_pgEDzjW9vXTnPyuE/view?usp=sharing</v>
      </c>
      <c r="L150" s="19"/>
      <c r="M150" s="19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5" t="str">
        <f>IFERROR(__xludf.DUMMYFUNCTION("""COMPUTED_VALUE"""),"9.Fruit Bowls &amp; Dessert ")</f>
        <v>9.Fruit Bowls &amp; Dessert </v>
      </c>
      <c r="B151" s="16">
        <f>IFERROR(__xludf.DUMMYFUNCTION("""COMPUTED_VALUE"""),11.0)</f>
        <v>11</v>
      </c>
      <c r="C151" s="16" t="str">
        <f>IFERROR(__xludf.DUMMYFUNCTION("""COMPUTED_VALUE"""),"P0911")</f>
        <v>P0911</v>
      </c>
      <c r="D151" s="15" t="str">
        <f>IFERROR(__xludf.DUMMYFUNCTION("""COMPUTED_VALUE"""),"Kem Bơ Đà Lạt")</f>
        <v>Kem Bơ Đà Lạt</v>
      </c>
      <c r="E151" s="15" t="str">
        <f>IFERROR(__xludf.DUMMYFUNCTION("""COMPUTED_VALUE"""),"Avocado Gelato")</f>
        <v>Avocado Gelato</v>
      </c>
      <c r="F151" s="15" t="str">
        <f>IFERROR(__xludf.DUMMYFUNCTION("""COMPUTED_VALUE"""),"Avocado Gelato - Kem Bơ Đà Lạt")</f>
        <v>Avocado Gelato - Kem Bơ Đà Lạt</v>
      </c>
      <c r="G151" s="19"/>
      <c r="H151" s="17">
        <f>IFERROR(__xludf.DUMMYFUNCTION("""COMPUTED_VALUE"""),10.5)</f>
        <v>10.5</v>
      </c>
      <c r="I151" s="18">
        <f>IFERROR(__xludf.DUMMYFUNCTION("""COMPUTED_VALUE"""),11.9)</f>
        <v>11.9</v>
      </c>
      <c r="J151" s="15" t="str">
        <f>IFERROR(__xludf.DUMMYFUNCTION("""COMPUTED_VALUE"""),"Smashed avocado with vanilla ice cream, cornflakes and coconut flake")</f>
        <v>Smashed avocado with vanilla ice cream, cornflakes and coconut flake</v>
      </c>
      <c r="K151" s="13" t="str">
        <f>IFERROR(__xludf.DUMMYFUNCTION("""COMPUTED_VALUE"""),"https://drive.google.com/file/d/16bSD_ednvxKtW1WATIOiPofeFm75NRpo/view?usp=sharing")</f>
        <v>https://drive.google.com/file/d/16bSD_ednvxKtW1WATIOiPofeFm75NRpo/view?usp=sharing</v>
      </c>
      <c r="L151" s="15" t="str">
        <f>IFERROR(__xludf.DUMMYFUNCTION("""COMPUTED_VALUE"""),"NEW")</f>
        <v>NEW</v>
      </c>
      <c r="M151" s="19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5" t="str">
        <f>IFERROR(__xludf.DUMMYFUNCTION("""COMPUTED_VALUE"""),"9.Fruit Bowls &amp; Dessert ")</f>
        <v>9.Fruit Bowls &amp; Dessert </v>
      </c>
      <c r="B152" s="16">
        <f>IFERROR(__xludf.DUMMYFUNCTION("""COMPUTED_VALUE"""),12.0)</f>
        <v>12</v>
      </c>
      <c r="C152" s="16" t="str">
        <f>IFERROR(__xludf.DUMMYFUNCTION("""COMPUTED_VALUE"""),"P0912")</f>
        <v>P0912</v>
      </c>
      <c r="D152" s="15" t="str">
        <f>IFERROR(__xludf.DUMMYFUNCTION("""COMPUTED_VALUE"""),"Tàu Hũ Singapore Truyền Thống")</f>
        <v>Tàu Hũ Singapore Truyền Thống</v>
      </c>
      <c r="E152" s="15" t="str">
        <f>IFERROR(__xludf.DUMMYFUNCTION("""COMPUTED_VALUE"""),"Traditional Singapore Tofu Pudding")</f>
        <v>Traditional Singapore Tofu Pudding</v>
      </c>
      <c r="F152" s="15" t="str">
        <f>IFERROR(__xludf.DUMMYFUNCTION("""COMPUTED_VALUE"""),"Traditional Singapore Tofu Pudding - Tàu Hũ Singapore Truyền Thống")</f>
        <v>Traditional Singapore Tofu Pudding - Tàu Hũ Singapore Truyền Thống</v>
      </c>
      <c r="G152" s="19"/>
      <c r="H152" s="17">
        <f>IFERROR(__xludf.DUMMYFUNCTION("""COMPUTED_VALUE"""),9.9)</f>
        <v>9.9</v>
      </c>
      <c r="I152" s="18">
        <f>IFERROR(__xludf.DUMMYFUNCTION("""COMPUTED_VALUE"""),11.5)</f>
        <v>11.5</v>
      </c>
      <c r="J152" s="15" t="str">
        <f>IFERROR(__xludf.DUMMYFUNCTION("""COMPUTED_VALUE"""),"soybeans, whipped cream and brown sugar pearls")</f>
        <v>soybeans, whipped cream and brown sugar pearls</v>
      </c>
      <c r="K152" s="13" t="str">
        <f>IFERROR(__xludf.DUMMYFUNCTION("""COMPUTED_VALUE"""),"https://drive.google.com/file/d/12ZDw8gZUeV7yZPr5M-AzkLWTmeb_W6rO/view?usp=sharing")</f>
        <v>https://drive.google.com/file/d/12ZDw8gZUeV7yZPr5M-AzkLWTmeb_W6rO/view?usp=sharing</v>
      </c>
      <c r="L152" s="19"/>
      <c r="M152" s="19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5" t="str">
        <f>IFERROR(__xludf.DUMMYFUNCTION("""COMPUTED_VALUE"""),"9.Fruit Bowls &amp; Dessert ")</f>
        <v>9.Fruit Bowls &amp; Dessert </v>
      </c>
      <c r="B153" s="16">
        <f>IFERROR(__xludf.DUMMYFUNCTION("""COMPUTED_VALUE"""),13.0)</f>
        <v>13</v>
      </c>
      <c r="C153" s="16" t="str">
        <f>IFERROR(__xludf.DUMMYFUNCTION("""COMPUTED_VALUE"""),"P0913")</f>
        <v>P0913</v>
      </c>
      <c r="D153" s="15" t="str">
        <f>IFERROR(__xludf.DUMMYFUNCTION("""COMPUTED_VALUE"""),"Tàu Hũ Singapore Matcha/Taro/Pandan")</f>
        <v>Tàu Hũ Singapore Matcha/Taro/Pandan</v>
      </c>
      <c r="E153" s="15" t="str">
        <f>IFERROR(__xludf.DUMMYFUNCTION("""COMPUTED_VALUE"""),"Singapore Tofu Pudding (Matcha/Taro/Pandan)")</f>
        <v>Singapore Tofu Pudding (Matcha/Taro/Pandan)</v>
      </c>
      <c r="F153" s="15" t="str">
        <f>IFERROR(__xludf.DUMMYFUNCTION("""COMPUTED_VALUE"""),"Singapore Tofu Pudding (Matcha/Taro/Pandan) - Tàu Hũ Singapore Matcha/Taro/Pandan")</f>
        <v>Singapore Tofu Pudding (Matcha/Taro/Pandan) - Tàu Hũ Singapore Matcha/Taro/Pandan</v>
      </c>
      <c r="G153" s="19"/>
      <c r="H153" s="17">
        <f>IFERROR(__xludf.DUMMYFUNCTION("""COMPUTED_VALUE"""),9.9)</f>
        <v>9.9</v>
      </c>
      <c r="I153" s="18">
        <f>IFERROR(__xludf.DUMMYFUNCTION("""COMPUTED_VALUE"""),11.5)</f>
        <v>11.5</v>
      </c>
      <c r="J153" s="15" t="str">
        <f>IFERROR(__xludf.DUMMYFUNCTION("""COMPUTED_VALUE"""),"soybeans, tofu, whipped cream, coconut sauce , mixed jelly")</f>
        <v>soybeans, tofu, whipped cream, coconut sauce , mixed jelly</v>
      </c>
      <c r="K153" s="13" t="str">
        <f>IFERROR(__xludf.DUMMYFUNCTION("""COMPUTED_VALUE"""),"https://drive.google.com/file/d/12ZDw8gZUeV7yZPr5M-AzkLWTmeb_W6rO/view?usp=sharing")</f>
        <v>https://drive.google.com/file/d/12ZDw8gZUeV7yZPr5M-AzkLWTmeb_W6rO/view?usp=sharing</v>
      </c>
      <c r="L153" s="15"/>
      <c r="M153" s="19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5" t="str">
        <f>IFERROR(__xludf.DUMMYFUNCTION("""COMPUTED_VALUE"""),"9.Fruit Bowls &amp; Dessert ")</f>
        <v>9.Fruit Bowls &amp; Dessert </v>
      </c>
      <c r="B154" s="16">
        <f>IFERROR(__xludf.DUMMYFUNCTION("""COMPUTED_VALUE"""),18.0)</f>
        <v>18</v>
      </c>
      <c r="C154" s="16" t="str">
        <f>IFERROR(__xludf.DUMMYFUNCTION("""COMPUTED_VALUE"""),"P0918")</f>
        <v>P0918</v>
      </c>
      <c r="D154" s="15" t="str">
        <f>IFERROR(__xludf.DUMMYFUNCTION("""COMPUTED_VALUE"""),"Sữa chua nếp cẩm")</f>
        <v>Sữa chua nếp cẩm</v>
      </c>
      <c r="E154" s="15" t="str">
        <f>IFERROR(__xludf.DUMMYFUNCTION("""COMPUTED_VALUE"""),"PPURPLERICE YOGURT")</f>
        <v>PPURPLERICE YOGURT</v>
      </c>
      <c r="F154" s="15" t="str">
        <f>IFERROR(__xludf.DUMMYFUNCTION("""COMPUTED_VALUE"""),"Sữa chua nếp cẩm - PPURPLERICE YOGURT")</f>
        <v>Sữa chua nếp cẩm - PPURPLERICE YOGURT</v>
      </c>
      <c r="G154" s="19"/>
      <c r="H154" s="17">
        <f>IFERROR(__xludf.DUMMYFUNCTION("""COMPUTED_VALUE"""),10.9)</f>
        <v>10.9</v>
      </c>
      <c r="I154" s="18">
        <f>IFERROR(__xludf.DUMMYFUNCTION("""COMPUTED_VALUE"""),12.5)</f>
        <v>12.5</v>
      </c>
      <c r="J154" s="15" t="str">
        <f>IFERROR(__xludf.DUMMYFUNCTION("""COMPUTED_VALUE"""),"Yogurt &amp; sticky Purple Rice")</f>
        <v>Yogurt &amp; sticky Purple Rice</v>
      </c>
      <c r="K154" s="9" t="str">
        <f>IFERROR(__xludf.DUMMYFUNCTION("""COMPUTED_VALUE"""),"https://drive.google.com/file/d/1bn90mMAftYR5UmfK_8acv7hFJOxOYLRg/view?usp=sharing")</f>
        <v>https://drive.google.com/file/d/1bn90mMAftYR5UmfK_8acv7hFJOxOYLRg/view?usp=sharing</v>
      </c>
      <c r="L154" s="15"/>
      <c r="M154" s="19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5" t="str">
        <f>IFERROR(__xludf.DUMMYFUNCTION("""COMPUTED_VALUE"""),"9.Fruit Bowls &amp; Dessert ")</f>
        <v>9.Fruit Bowls &amp; Dessert </v>
      </c>
      <c r="B155" s="16">
        <f>IFERROR(__xludf.DUMMYFUNCTION("""COMPUTED_VALUE"""),19.0)</f>
        <v>19</v>
      </c>
      <c r="C155" s="16" t="str">
        <f>IFERROR(__xludf.DUMMYFUNCTION("""COMPUTED_VALUE"""),"P0919")</f>
        <v>P0919</v>
      </c>
      <c r="D155" s="15" t="str">
        <f>IFERROR(__xludf.DUMMYFUNCTION("""COMPUTED_VALUE"""),"Tàu hủ bánh lọt")</f>
        <v>Tàu hủ bánh lọt</v>
      </c>
      <c r="E155" s="15" t="str">
        <f>IFERROR(__xludf.DUMMYFUNCTION("""COMPUTED_VALUE"""),"Tofu Puddding With Pandan Jelly")</f>
        <v>Tofu Puddding With Pandan Jelly</v>
      </c>
      <c r="F155" s="15" t="str">
        <f>IFERROR(__xludf.DUMMYFUNCTION("""COMPUTED_VALUE"""),"Tàu hủ bánh lọt - Tofu Puddding With Pandan Jelly")</f>
        <v>Tàu hủ bánh lọt - Tofu Puddding With Pandan Jelly</v>
      </c>
      <c r="G155" s="19"/>
      <c r="H155" s="17">
        <f>IFERROR(__xludf.DUMMYFUNCTION("""COMPUTED_VALUE"""),8.9)</f>
        <v>8.9</v>
      </c>
      <c r="I155" s="18">
        <f>IFERROR(__xludf.DUMMYFUNCTION("""COMPUTED_VALUE"""),10.5)</f>
        <v>10.5</v>
      </c>
      <c r="J155" s="15" t="str">
        <f>IFERROR(__xludf.DUMMYFUNCTION("""COMPUTED_VALUE"""),"Soy beans, corn floyr jelly, palm sugar ginger, coconut cream, pandan noodle")</f>
        <v>Soy beans, corn floyr jelly, palm sugar ginger, coconut cream, pandan noodle</v>
      </c>
      <c r="K155" s="9" t="str">
        <f>IFERROR(__xludf.DUMMYFUNCTION("""COMPUTED_VALUE"""),"https://drive.google.com/file/d/1_7zsL647Zgd9F0gytOl3HqI1GroPcm9D/view?usp=sharing")</f>
        <v>https://drive.google.com/file/d/1_7zsL647Zgd9F0gytOl3HqI1GroPcm9D/view?usp=sharing</v>
      </c>
      <c r="L155" s="15"/>
      <c r="M155" s="19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5" t="str">
        <f>IFERROR(__xludf.DUMMYFUNCTION("""COMPUTED_VALUE"""),"9.Fruit Bowls &amp; Dessert ")</f>
        <v>9.Fruit Bowls &amp; Dessert </v>
      </c>
      <c r="B156" s="16">
        <f>IFERROR(__xludf.DUMMYFUNCTION("""COMPUTED_VALUE"""),20.0)</f>
        <v>20</v>
      </c>
      <c r="C156" s="16" t="str">
        <f>IFERROR(__xludf.DUMMYFUNCTION("""COMPUTED_VALUE"""),"P0920")</f>
        <v>P0920</v>
      </c>
      <c r="D156" s="15" t="str">
        <f>IFERROR(__xludf.DUMMYFUNCTION("""COMPUTED_VALUE"""),"Chè mè đen")</f>
        <v>Chè mè đen</v>
      </c>
      <c r="E156" s="15" t="str">
        <f>IFERROR(__xludf.DUMMYFUNCTION("""COMPUTED_VALUE"""),"Black Sesame")</f>
        <v>Black Sesame</v>
      </c>
      <c r="F156" s="15" t="str">
        <f>IFERROR(__xludf.DUMMYFUNCTION("""COMPUTED_VALUE"""),"Black Sesame - Chè mè đen")</f>
        <v>Black Sesame - Chè mè đen</v>
      </c>
      <c r="G156" s="19"/>
      <c r="H156" s="17">
        <f>IFERROR(__xludf.DUMMYFUNCTION("""COMPUTED_VALUE"""),9.9)</f>
        <v>9.9</v>
      </c>
      <c r="I156" s="18">
        <f>IFERROR(__xludf.DUMMYFUNCTION("""COMPUTED_VALUE"""),11.5)</f>
        <v>11.5</v>
      </c>
      <c r="J156" s="15" t="str">
        <f>IFERROR(__xludf.DUMMYFUNCTION("""COMPUTED_VALUE"""),"Black Sesame, coconut cream, crystal sugar")</f>
        <v>Black Sesame, coconut cream, crystal sugar</v>
      </c>
      <c r="K156" s="9" t="str">
        <f>IFERROR(__xludf.DUMMYFUNCTION("""COMPUTED_VALUE"""),"https://drive.google.com/file/d/1_O8SLQiUeea4xcQSh7i_iradSJXbRSyA/view?usp=sharing")</f>
        <v>https://drive.google.com/file/d/1_O8SLQiUeea4xcQSh7i_iradSJXbRSyA/view?usp=sharing</v>
      </c>
      <c r="L156" s="15"/>
      <c r="M156" s="19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5" t="str">
        <f>IFERROR(__xludf.DUMMYFUNCTION("""COMPUTED_VALUE"""),"9.Fruit Bowls &amp; Dessert ")</f>
        <v>9.Fruit Bowls &amp; Dessert </v>
      </c>
      <c r="B157" s="16">
        <f>IFERROR(__xludf.DUMMYFUNCTION("""COMPUTED_VALUE"""),21.0)</f>
        <v>21</v>
      </c>
      <c r="C157" s="16" t="str">
        <f>IFERROR(__xludf.DUMMYFUNCTION("""COMPUTED_VALUE"""),"P0921")</f>
        <v>P0921</v>
      </c>
      <c r="D157" s="15" t="str">
        <f>IFERROR(__xludf.DUMMYFUNCTION("""COMPUTED_VALUE"""),"CHÈ HẠT DẺ CƯỜI")</f>
        <v>CHÈ HẠT DẺ CƯỜI</v>
      </c>
      <c r="E157" s="15" t="str">
        <f>IFERROR(__xludf.DUMMYFUNCTION("""COMPUTED_VALUE"""),"Pitaschio Sweet")</f>
        <v>Pitaschio Sweet</v>
      </c>
      <c r="F157" s="15" t="str">
        <f>IFERROR(__xludf.DUMMYFUNCTION("""COMPUTED_VALUE"""),"Pitaschio Sweet - CHÈ HẠT DẺ CƯỜI")</f>
        <v>Pitaschio Sweet - CHÈ HẠT DẺ CƯỜI</v>
      </c>
      <c r="G157" s="19"/>
      <c r="H157" s="17">
        <f>IFERROR(__xludf.DUMMYFUNCTION("""COMPUTED_VALUE"""),10.9)</f>
        <v>10.9</v>
      </c>
      <c r="I157" s="18">
        <f>IFERROR(__xludf.DUMMYFUNCTION("""COMPUTED_VALUE"""),12.5)</f>
        <v>12.5</v>
      </c>
      <c r="J157" s="15" t="str">
        <f>IFERROR(__xludf.DUMMYFUNCTION("""COMPUTED_VALUE"""),"Pistachios, coconut milk")</f>
        <v>Pistachios, coconut milk</v>
      </c>
      <c r="K157" s="9" t="str">
        <f>IFERROR(__xludf.DUMMYFUNCTION("""COMPUTED_VALUE"""),"https://drive.google.com/file/d/1bn90mMAftYR5UmfK_8acv7hFJOxOYLRg/view?usp=sharing")</f>
        <v>https://drive.google.com/file/d/1bn90mMAftYR5UmfK_8acv7hFJOxOYLRg/view?usp=sharing</v>
      </c>
      <c r="L157" s="15"/>
      <c r="M157" s="19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5" t="str">
        <f>IFERROR(__xludf.DUMMYFUNCTION("""COMPUTED_VALUE"""),"9.Fruit Bowls &amp; Dessert ")</f>
        <v>9.Fruit Bowls &amp; Dessert </v>
      </c>
      <c r="B158" s="16">
        <f>IFERROR(__xludf.DUMMYFUNCTION("""COMPUTED_VALUE"""),22.0)</f>
        <v>22</v>
      </c>
      <c r="C158" s="16" t="str">
        <f>IFERROR(__xludf.DUMMYFUNCTION("""COMPUTED_VALUE"""),"P0922")</f>
        <v>P0922</v>
      </c>
      <c r="D158" s="15" t="str">
        <f>IFERROR(__xludf.DUMMYFUNCTION("""COMPUTED_VALUE"""),"CHÈ ĐẬU PHỘNG KHOAI MÔN")</f>
        <v>CHÈ ĐẬU PHỘNG KHOAI MÔN</v>
      </c>
      <c r="E158" s="15" t="str">
        <f>IFERROR(__xludf.DUMMYFUNCTION("""COMPUTED_VALUE"""),"Bubur Chacha")</f>
        <v>Bubur Chacha</v>
      </c>
      <c r="F158" s="15" t="str">
        <f>IFERROR(__xludf.DUMMYFUNCTION("""COMPUTED_VALUE"""),"Bubur Chacha - CHÈ ĐẬU PHỘNG KHOAI MÔN")</f>
        <v>Bubur Chacha - CHÈ ĐẬU PHỘNG KHOAI MÔN</v>
      </c>
      <c r="G158" s="19"/>
      <c r="H158" s="17">
        <f>IFERROR(__xludf.DUMMYFUNCTION("""COMPUTED_VALUE"""),11.5)</f>
        <v>11.5</v>
      </c>
      <c r="I158" s="18">
        <f>IFERROR(__xludf.DUMMYFUNCTION("""COMPUTED_VALUE"""),13.5)</f>
        <v>13.5</v>
      </c>
      <c r="J158" s="15" t="str">
        <f>IFERROR(__xludf.DUMMYFUNCTION("""COMPUTED_VALUE"""),"Taro, coconut milk, peanuts")</f>
        <v>Taro, coconut milk, peanuts</v>
      </c>
      <c r="K158" s="9" t="str">
        <f>IFERROR(__xludf.DUMMYFUNCTION("""COMPUTED_VALUE"""),"https://drive.google.com/file/d/1aIflc1tAkTmpNH8v6l80wN60aA4wSzmr/view?usp=sharing")</f>
        <v>https://drive.google.com/file/d/1aIflc1tAkTmpNH8v6l80wN60aA4wSzmr/view?usp=sharing</v>
      </c>
      <c r="L158" s="15"/>
      <c r="M158" s="19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5" t="str">
        <f>IFERROR(__xludf.DUMMYFUNCTION("""COMPUTED_VALUE"""),"9.Fruit Bowls &amp; Dessert ")</f>
        <v>9.Fruit Bowls &amp; Dessert </v>
      </c>
      <c r="B159" s="16">
        <f>IFERROR(__xludf.DUMMYFUNCTION("""COMPUTED_VALUE"""),23.0)</f>
        <v>23</v>
      </c>
      <c r="C159" s="16" t="str">
        <f>IFERROR(__xludf.DUMMYFUNCTION("""COMPUTED_VALUE"""),"P0923")</f>
        <v>P0923</v>
      </c>
      <c r="D159" s="15" t="str">
        <f>IFERROR(__xludf.DUMMYFUNCTION("""COMPUTED_VALUE"""),"BOBO BẠCH QUẢ")</f>
        <v>BOBO BẠCH QUẢ</v>
      </c>
      <c r="E159" s="15" t="str">
        <f>IFERROR(__xludf.DUMMYFUNCTION("""COMPUTED_VALUE"""),"Bobo Bạch Quả")</f>
        <v>Bobo Bạch Quả</v>
      </c>
      <c r="F159" s="15" t="str">
        <f>IFERROR(__xludf.DUMMYFUNCTION("""COMPUTED_VALUE"""),"Bobo Bạch Quả - BOBO BẠCH QUẢ")</f>
        <v>Bobo Bạch Quả - BOBO BẠCH QUẢ</v>
      </c>
      <c r="G159" s="19"/>
      <c r="H159" s="17">
        <f>IFERROR(__xludf.DUMMYFUNCTION("""COMPUTED_VALUE"""),9.9)</f>
        <v>9.9</v>
      </c>
      <c r="I159" s="18">
        <f>IFERROR(__xludf.DUMMYFUNCTION("""COMPUTED_VALUE"""),11.5)</f>
        <v>11.5</v>
      </c>
      <c r="J159" s="15" t="str">
        <f>IFERROR(__xludf.DUMMYFUNCTION("""COMPUTED_VALUE"""),"Ginkgo nuts, Coix Seeds")</f>
        <v>Ginkgo nuts, Coix Seeds</v>
      </c>
      <c r="K159" s="9" t="str">
        <f>IFERROR(__xludf.DUMMYFUNCTION("""COMPUTED_VALUE"""),"https://drive.google.com/file/d/1-BYCDXwv7maLPe3zUJ_1rQeGQlLERFyU/view?usp=sharing")</f>
        <v>https://drive.google.com/file/d/1-BYCDXwv7maLPe3zUJ_1rQeGQlLERFyU/view?usp=sharing</v>
      </c>
      <c r="L159" s="15"/>
      <c r="M159" s="19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5" t="str">
        <f>IFERROR(__xludf.DUMMYFUNCTION("""COMPUTED_VALUE"""),"10.Matcha Drinks")</f>
        <v>10.Matcha Drinks</v>
      </c>
      <c r="B160" s="16">
        <f>IFERROR(__xludf.DUMMYFUNCTION("""COMPUTED_VALUE"""),1.0)</f>
        <v>1</v>
      </c>
      <c r="C160" s="16" t="str">
        <f>IFERROR(__xludf.DUMMYFUNCTION("""COMPUTED_VALUE"""),"P1001")</f>
        <v>P1001</v>
      </c>
      <c r="D160" s="15" t="str">
        <f>IFERROR(__xludf.DUMMYFUNCTION("""COMPUTED_VALUE"""),"Trà Sữa Matcha")</f>
        <v>Trà Sữa Matcha</v>
      </c>
      <c r="E160" s="15" t="str">
        <f>IFERROR(__xludf.DUMMYFUNCTION("""COMPUTED_VALUE"""),"Matcha Latte")</f>
        <v>Matcha Latte</v>
      </c>
      <c r="F160" s="15" t="str">
        <f>IFERROR(__xludf.DUMMYFUNCTION("""COMPUTED_VALUE"""),"Matcha Latte - Trà Sữa Matcha")</f>
        <v>Matcha Latte - Trà Sữa Matcha</v>
      </c>
      <c r="G160" s="15" t="str">
        <f>IFERROR(__xludf.DUMMYFUNCTION("""COMPUTED_VALUE"""),"R")</f>
        <v>R</v>
      </c>
      <c r="H160" s="17">
        <f>IFERROR(__xludf.DUMMYFUNCTION("""COMPUTED_VALUE"""),8.5)</f>
        <v>8.5</v>
      </c>
      <c r="I160" s="18">
        <f>IFERROR(__xludf.DUMMYFUNCTION("""COMPUTED_VALUE"""),9.9)</f>
        <v>9.9</v>
      </c>
      <c r="J160" s="15" t="str">
        <f>IFERROR(__xludf.DUMMYFUNCTION("""COMPUTED_VALUE"""),"Whipped Matcha &amp; Fresh Milk")</f>
        <v>Whipped Matcha &amp; Fresh Milk</v>
      </c>
      <c r="K160" s="9" t="str">
        <f>IFERROR(__xludf.DUMMYFUNCTION("""COMPUTED_VALUE"""),"https://drive.google.com/file/d/1mKQ5O8E0gjCCPOLcipfvnf1VbhzUiF3w/view?usp=sharing")</f>
        <v>https://drive.google.com/file/d/1mKQ5O8E0gjCCPOLcipfvnf1VbhzUiF3w/view?usp=sharing</v>
      </c>
      <c r="L160" s="15"/>
      <c r="M160" s="19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5" t="str">
        <f>IFERROR(__xludf.DUMMYFUNCTION("""COMPUTED_VALUE"""),"10.Matcha Drinks")</f>
        <v>10.Matcha Drinks</v>
      </c>
      <c r="B161" s="16"/>
      <c r="C161" s="16"/>
      <c r="D161" s="15" t="str">
        <f>IFERROR(__xludf.DUMMYFUNCTION("""COMPUTED_VALUE"""),"Trà Sữa Matcha")</f>
        <v>Trà Sữa Matcha</v>
      </c>
      <c r="E161" s="15" t="str">
        <f>IFERROR(__xludf.DUMMYFUNCTION("""COMPUTED_VALUE"""),"Matcha Latte")</f>
        <v>Matcha Latte</v>
      </c>
      <c r="F161" s="15" t="str">
        <f>IFERROR(__xludf.DUMMYFUNCTION("""COMPUTED_VALUE"""),"Matcha Latte - Trà Sữa Matcha")</f>
        <v>Matcha Latte - Trà Sữa Matcha</v>
      </c>
      <c r="G161" s="15" t="str">
        <f>IFERROR(__xludf.DUMMYFUNCTION("""COMPUTED_VALUE"""),"L")</f>
        <v>L</v>
      </c>
      <c r="H161" s="17">
        <f>IFERROR(__xludf.DUMMYFUNCTION("""COMPUTED_VALUE"""),9.5)</f>
        <v>9.5</v>
      </c>
      <c r="I161" s="18">
        <f>IFERROR(__xludf.DUMMYFUNCTION("""COMPUTED_VALUE"""),10.9)</f>
        <v>10.9</v>
      </c>
      <c r="J161" s="15" t="str">
        <f>IFERROR(__xludf.DUMMYFUNCTION("""COMPUTED_VALUE"""),"Whipped Matcha &amp; Fresh Milk")</f>
        <v>Whipped Matcha &amp; Fresh Milk</v>
      </c>
      <c r="K161" s="11"/>
      <c r="L161" s="15"/>
      <c r="M161" s="19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0" t="str">
        <f>IFERROR(__xludf.DUMMYFUNCTION("""COMPUTED_VALUE"""),"10.Matcha Drinks")</f>
        <v>10.Matcha Drinks</v>
      </c>
      <c r="B162" s="21">
        <f>IFERROR(__xludf.DUMMYFUNCTION("""COMPUTED_VALUE"""),2.0)</f>
        <v>2</v>
      </c>
      <c r="C162" s="21" t="str">
        <f>IFERROR(__xludf.DUMMYFUNCTION("""COMPUTED_VALUE"""),"P1002")</f>
        <v>P1002</v>
      </c>
      <c r="D162" s="20" t="str">
        <f>IFERROR(__xludf.DUMMYFUNCTION("""COMPUTED_VALUE"""),"Matcha Kem Cheese")</f>
        <v>Matcha Kem Cheese</v>
      </c>
      <c r="E162" s="20" t="str">
        <f>IFERROR(__xludf.DUMMYFUNCTION("""COMPUTED_VALUE"""),"Matcha Cheese")</f>
        <v>Matcha Cheese</v>
      </c>
      <c r="F162" s="20" t="str">
        <f>IFERROR(__xludf.DUMMYFUNCTION("""COMPUTED_VALUE"""),"Matcha Cheese - Matcha Kem Cheese")</f>
        <v>Matcha Cheese - Matcha Kem Cheese</v>
      </c>
      <c r="G162" s="20" t="str">
        <f>IFERROR(__xludf.DUMMYFUNCTION("""COMPUTED_VALUE"""),"R")</f>
        <v>R</v>
      </c>
      <c r="H162" s="22">
        <f>IFERROR(__xludf.DUMMYFUNCTION("""COMPUTED_VALUE"""),9.9)</f>
        <v>9.9</v>
      </c>
      <c r="I162" s="23">
        <f>IFERROR(__xludf.DUMMYFUNCTION("""COMPUTED_VALUE"""),11.5)</f>
        <v>11.5</v>
      </c>
      <c r="J162" s="20" t="str">
        <f>IFERROR(__xludf.DUMMYFUNCTION("""COMPUTED_VALUE"""),"Matcha Latte with Cheese Foam")</f>
        <v>Matcha Latte with Cheese Foam</v>
      </c>
      <c r="K162" s="24" t="str">
        <f>IFERROR(__xludf.DUMMYFUNCTION("""COMPUTED_VALUE"""),"https://drive.google.com/file/d/1QIGUxMWL1hBpjcw3V5HmnfrY8jMRHzuf/view?usp=sharing")</f>
        <v>https://drive.google.com/file/d/1QIGUxMWL1hBpjcw3V5HmnfrY8jMRHzuf/view?usp=sharing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0" t="str">
        <f>IFERROR(__xludf.DUMMYFUNCTION("""COMPUTED_VALUE"""),"10.Matcha Drinks")</f>
        <v>10.Matcha Drinks</v>
      </c>
      <c r="B163" s="25"/>
      <c r="C163" s="25"/>
      <c r="D163" s="20" t="str">
        <f>IFERROR(__xludf.DUMMYFUNCTION("""COMPUTED_VALUE"""),"Matcha Kem Cheese")</f>
        <v>Matcha Kem Cheese</v>
      </c>
      <c r="E163" s="20" t="str">
        <f>IFERROR(__xludf.DUMMYFUNCTION("""COMPUTED_VALUE"""),"Matcha Cheese")</f>
        <v>Matcha Cheese</v>
      </c>
      <c r="F163" s="20" t="str">
        <f>IFERROR(__xludf.DUMMYFUNCTION("""COMPUTED_VALUE"""),"Matcha Cheese - Matcha Kem Cheese")</f>
        <v>Matcha Cheese - Matcha Kem Cheese</v>
      </c>
      <c r="G163" s="20" t="str">
        <f>IFERROR(__xludf.DUMMYFUNCTION("""COMPUTED_VALUE"""),"L")</f>
        <v>L</v>
      </c>
      <c r="H163" s="22">
        <f>IFERROR(__xludf.DUMMYFUNCTION("""COMPUTED_VALUE"""),10.9)</f>
        <v>10.9</v>
      </c>
      <c r="I163" s="23">
        <f>IFERROR(__xludf.DUMMYFUNCTION("""COMPUTED_VALUE"""),12.5)</f>
        <v>12.5</v>
      </c>
      <c r="J163" s="20" t="str">
        <f>IFERROR(__xludf.DUMMYFUNCTION("""COMPUTED_VALUE"""),"Matcha Latte with Cheese Foam")</f>
        <v>Matcha Latte with Cheese Foam</v>
      </c>
      <c r="K163" s="2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0" t="str">
        <f>IFERROR(__xludf.DUMMYFUNCTION("""COMPUTED_VALUE"""),"10.Matcha Drinks")</f>
        <v>10.Matcha Drinks</v>
      </c>
      <c r="B164" s="21">
        <f>IFERROR(__xludf.DUMMYFUNCTION("""COMPUTED_VALUE"""),3.0)</f>
        <v>3</v>
      </c>
      <c r="C164" s="21" t="str">
        <f>IFERROR(__xludf.DUMMYFUNCTION("""COMPUTED_VALUE"""),"P1003")</f>
        <v>P1003</v>
      </c>
      <c r="D164" s="20" t="str">
        <f>IFERROR(__xludf.DUMMYFUNCTION("""COMPUTED_VALUE"""),"Matcha Xoài")</f>
        <v>Matcha Xoài</v>
      </c>
      <c r="E164" s="20" t="str">
        <f>IFERROR(__xludf.DUMMYFUNCTION("""COMPUTED_VALUE"""),"Matcha Mango")</f>
        <v>Matcha Mango</v>
      </c>
      <c r="F164" s="20" t="str">
        <f>IFERROR(__xludf.DUMMYFUNCTION("""COMPUTED_VALUE"""),"Matcha Mango - Matcha Xoài")</f>
        <v>Matcha Mango - Matcha Xoài</v>
      </c>
      <c r="G164" s="20" t="str">
        <f>IFERROR(__xludf.DUMMYFUNCTION("""COMPUTED_VALUE"""),"R")</f>
        <v>R</v>
      </c>
      <c r="H164" s="22">
        <f>IFERROR(__xludf.DUMMYFUNCTION("""COMPUTED_VALUE"""),10.5)</f>
        <v>10.5</v>
      </c>
      <c r="I164" s="23">
        <f>IFERROR(__xludf.DUMMYFUNCTION("""COMPUTED_VALUE"""),11.9)</f>
        <v>11.9</v>
      </c>
      <c r="J164" s="20" t="str">
        <f>IFERROR(__xludf.DUMMYFUNCTION("""COMPUTED_VALUE"""),"Matcha Latte with mango Jam and heart jelly")</f>
        <v>Matcha Latte with mango Jam and heart jelly</v>
      </c>
      <c r="K164" s="24" t="str">
        <f>IFERROR(__xludf.DUMMYFUNCTION("""COMPUTED_VALUE"""),"https://drive.google.com/file/d/1Zx3egC893ijxfA0apmY8ZNaB664klo4I/view?usp=sharing")</f>
        <v>https://drive.google.com/file/d/1Zx3egC893ijxfA0apmY8ZNaB664klo4I/view?usp=sharing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0" t="str">
        <f>IFERROR(__xludf.DUMMYFUNCTION("""COMPUTED_VALUE"""),"10.Matcha Drinks")</f>
        <v>10.Matcha Drinks</v>
      </c>
      <c r="B165" s="21">
        <f>IFERROR(__xludf.DUMMYFUNCTION("""COMPUTED_VALUE"""),4.0)</f>
        <v>4</v>
      </c>
      <c r="C165" s="21" t="str">
        <f>IFERROR(__xludf.DUMMYFUNCTION("""COMPUTED_VALUE"""),"P1004")</f>
        <v>P1004</v>
      </c>
      <c r="D165" s="20" t="str">
        <f>IFERROR(__xludf.DUMMYFUNCTION("""COMPUTED_VALUE"""),"Matcha Dâu Tây")</f>
        <v>Matcha Dâu Tây</v>
      </c>
      <c r="E165" s="20" t="str">
        <f>IFERROR(__xludf.DUMMYFUNCTION("""COMPUTED_VALUE"""),"Matcha Strawberry")</f>
        <v>Matcha Strawberry</v>
      </c>
      <c r="F165" s="20" t="str">
        <f>IFERROR(__xludf.DUMMYFUNCTION("""COMPUTED_VALUE"""),"Matcha Strawberry - Matcha Dâu Tây")</f>
        <v>Matcha Strawberry - Matcha Dâu Tây</v>
      </c>
      <c r="G165" s="20" t="str">
        <f>IFERROR(__xludf.DUMMYFUNCTION("""COMPUTED_VALUE"""),"R")</f>
        <v>R</v>
      </c>
      <c r="H165" s="22">
        <f>IFERROR(__xludf.DUMMYFUNCTION("""COMPUTED_VALUE"""),10.5)</f>
        <v>10.5</v>
      </c>
      <c r="I165" s="23">
        <f>IFERROR(__xludf.DUMMYFUNCTION("""COMPUTED_VALUE"""),11.9)</f>
        <v>11.9</v>
      </c>
      <c r="J165" s="20" t="str">
        <f>IFERROR(__xludf.DUMMYFUNCTION("""COMPUTED_VALUE"""),"Matcha Latte with Strawberry Jam and heart jelly")</f>
        <v>Matcha Latte with Strawberry Jam and heart jelly</v>
      </c>
      <c r="K165" s="24" t="str">
        <f>IFERROR(__xludf.DUMMYFUNCTION("""COMPUTED_VALUE"""),"https://drive.google.com/file/d/1os-jpbxOdYRrWqfwM8nOdI6iIUuse07i/view?usp=sharing")</f>
        <v>https://drive.google.com/file/d/1os-jpbxOdYRrWqfwM8nOdI6iIUuse07i/view?usp=sharing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0" t="str">
        <f>IFERROR(__xludf.DUMMYFUNCTION("""COMPUTED_VALUE"""),"10.Matcha Drinks")</f>
        <v>10.Matcha Drinks</v>
      </c>
      <c r="B166" s="21">
        <f>IFERROR(__xludf.DUMMYFUNCTION("""COMPUTED_VALUE"""),5.0)</f>
        <v>5</v>
      </c>
      <c r="C166" s="21" t="str">
        <f>IFERROR(__xludf.DUMMYFUNCTION("""COMPUTED_VALUE"""),"P1005")</f>
        <v>P1005</v>
      </c>
      <c r="D166" s="20" t="str">
        <f>IFERROR(__xludf.DUMMYFUNCTION("""COMPUTED_VALUE"""),"Matcha Cà Phê")</f>
        <v>Matcha Cà Phê</v>
      </c>
      <c r="E166" s="20" t="str">
        <f>IFERROR(__xludf.DUMMYFUNCTION("""COMPUTED_VALUE"""),"Dirty Matcha")</f>
        <v>Dirty Matcha</v>
      </c>
      <c r="F166" s="20" t="str">
        <f>IFERROR(__xludf.DUMMYFUNCTION("""COMPUTED_VALUE"""),"Dirty Matcha - Matcha Cà Phê")</f>
        <v>Dirty Matcha - Matcha Cà Phê</v>
      </c>
      <c r="G166" s="20" t="str">
        <f>IFERROR(__xludf.DUMMYFUNCTION("""COMPUTED_VALUE"""),"R")</f>
        <v>R</v>
      </c>
      <c r="H166" s="22">
        <f>IFERROR(__xludf.DUMMYFUNCTION("""COMPUTED_VALUE"""),8.9)</f>
        <v>8.9</v>
      </c>
      <c r="I166" s="23">
        <f>IFERROR(__xludf.DUMMYFUNCTION("""COMPUTED_VALUE"""),10.5)</f>
        <v>10.5</v>
      </c>
      <c r="J166" s="20" t="str">
        <f>IFERROR(__xludf.DUMMYFUNCTION("""COMPUTED_VALUE"""),"Matcha Latte &amp; coffee")</f>
        <v>Matcha Latte &amp; coffee</v>
      </c>
      <c r="K166" s="24" t="str">
        <f>IFERROR(__xludf.DUMMYFUNCTION("""COMPUTED_VALUE"""),"https://drive.google.com/file/d/1_NfuaimZ1B1oLedQ2NkHPQTjPrTWX_3S/view?usp=sharing")</f>
        <v>https://drive.google.com/file/d/1_NfuaimZ1B1oLedQ2NkHPQTjPrTWX_3S/view?usp=sharing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0" t="str">
        <f>IFERROR(__xludf.DUMMYFUNCTION("""COMPUTED_VALUE"""),"10.Matcha Drinks")</f>
        <v>10.Matcha Drinks</v>
      </c>
      <c r="B167" s="25"/>
      <c r="C167" s="25"/>
      <c r="D167" s="20" t="str">
        <f>IFERROR(__xludf.DUMMYFUNCTION("""COMPUTED_VALUE"""),"Matcha Cà Phê")</f>
        <v>Matcha Cà Phê</v>
      </c>
      <c r="E167" s="20" t="str">
        <f>IFERROR(__xludf.DUMMYFUNCTION("""COMPUTED_VALUE"""),"Dirty Matcha")</f>
        <v>Dirty Matcha</v>
      </c>
      <c r="F167" s="20" t="str">
        <f>IFERROR(__xludf.DUMMYFUNCTION("""COMPUTED_VALUE"""),"Dirty Matcha - Matcha Cà Phê")</f>
        <v>Dirty Matcha - Matcha Cà Phê</v>
      </c>
      <c r="G167" s="20" t="str">
        <f>IFERROR(__xludf.DUMMYFUNCTION("""COMPUTED_VALUE"""),"L")</f>
        <v>L</v>
      </c>
      <c r="H167" s="22">
        <f>IFERROR(__xludf.DUMMYFUNCTION("""COMPUTED_VALUE"""),9.9)</f>
        <v>9.9</v>
      </c>
      <c r="I167" s="23">
        <f>IFERROR(__xludf.DUMMYFUNCTION("""COMPUTED_VALUE"""),11.5)</f>
        <v>11.5</v>
      </c>
      <c r="J167" s="20" t="str">
        <f>IFERROR(__xludf.DUMMYFUNCTION("""COMPUTED_VALUE"""),"Matcha Latte &amp; coffee")</f>
        <v>Matcha Latte &amp; coffee</v>
      </c>
      <c r="K167" s="2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0" t="str">
        <f>IFERROR(__xludf.DUMMYFUNCTION("""COMPUTED_VALUE"""),"10.Matcha Drinks")</f>
        <v>10.Matcha Drinks</v>
      </c>
      <c r="B168" s="21">
        <f>IFERROR(__xludf.DUMMYFUNCTION("""COMPUTED_VALUE"""),6.0)</f>
        <v>6</v>
      </c>
      <c r="C168" s="21" t="str">
        <f>IFERROR(__xludf.DUMMYFUNCTION("""COMPUTED_VALUE"""),"P1006")</f>
        <v>P1006</v>
      </c>
      <c r="D168" s="20" t="str">
        <f>IFERROR(__xludf.DUMMYFUNCTION("""COMPUTED_VALUE"""),"Matcha Nước Dừa")</f>
        <v>Matcha Nước Dừa</v>
      </c>
      <c r="E168" s="20" t="str">
        <f>IFERROR(__xludf.DUMMYFUNCTION("""COMPUTED_VALUE"""),"Matcha Cloud Coconut ")</f>
        <v>Matcha Cloud Coconut </v>
      </c>
      <c r="F168" s="20" t="str">
        <f>IFERROR(__xludf.DUMMYFUNCTION("""COMPUTED_VALUE"""),"Matcha Cloud Coconut - Matcha Nước Dừa")</f>
        <v>Matcha Cloud Coconut - Matcha Nước Dừa</v>
      </c>
      <c r="G168" s="20" t="str">
        <f>IFERROR(__xludf.DUMMYFUNCTION("""COMPUTED_VALUE"""),"R")</f>
        <v>R</v>
      </c>
      <c r="H168" s="22">
        <f>IFERROR(__xludf.DUMMYFUNCTION("""COMPUTED_VALUE"""),9.9)</f>
        <v>9.9</v>
      </c>
      <c r="I168" s="23">
        <f>IFERROR(__xludf.DUMMYFUNCTION("""COMPUTED_VALUE"""),11.5)</f>
        <v>11.5</v>
      </c>
      <c r="J168" s="4"/>
      <c r="K168" s="24" t="str">
        <f>IFERROR(__xludf.DUMMYFUNCTION("""COMPUTED_VALUE"""),"https://drive.google.com/file/d/1cHuqxn3gCd4Hk08mMUcn8AbvWWzRSaP4/view?usp=sharing")</f>
        <v>https://drive.google.com/file/d/1cHuqxn3gCd4Hk08mMUcn8AbvWWzRSaP4/view?usp=sharing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0" t="str">
        <f>IFERROR(__xludf.DUMMYFUNCTION("""COMPUTED_VALUE"""),"10.Matcha Drinks")</f>
        <v>10.Matcha Drinks</v>
      </c>
      <c r="B169" s="25"/>
      <c r="C169" s="25"/>
      <c r="D169" s="20" t="str">
        <f>IFERROR(__xludf.DUMMYFUNCTION("""COMPUTED_VALUE"""),"Matcha Nước Dừa")</f>
        <v>Matcha Nước Dừa</v>
      </c>
      <c r="E169" s="20" t="str">
        <f>IFERROR(__xludf.DUMMYFUNCTION("""COMPUTED_VALUE"""),"Matcha Cloud Coconut ")</f>
        <v>Matcha Cloud Coconut </v>
      </c>
      <c r="F169" s="20" t="str">
        <f>IFERROR(__xludf.DUMMYFUNCTION("""COMPUTED_VALUE"""),"Matcha Cloud Coconut - Matcha Nước Dừa")</f>
        <v>Matcha Cloud Coconut - Matcha Nước Dừa</v>
      </c>
      <c r="G169" s="20" t="str">
        <f>IFERROR(__xludf.DUMMYFUNCTION("""COMPUTED_VALUE"""),"L")</f>
        <v>L</v>
      </c>
      <c r="H169" s="22">
        <f>IFERROR(__xludf.DUMMYFUNCTION("""COMPUTED_VALUE"""),11.9)</f>
        <v>11.9</v>
      </c>
      <c r="I169" s="23">
        <f>IFERROR(__xludf.DUMMYFUNCTION("""COMPUTED_VALUE"""),13.5)</f>
        <v>13.5</v>
      </c>
      <c r="J169" s="4"/>
      <c r="K169" s="2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0" t="str">
        <f>IFERROR(__xludf.DUMMYFUNCTION("""COMPUTED_VALUE"""),"10.Matcha Drinks")</f>
        <v>10.Matcha Drinks</v>
      </c>
      <c r="B170" s="21">
        <f>IFERROR(__xludf.DUMMYFUNCTION("""COMPUTED_VALUE"""),7.0)</f>
        <v>7</v>
      </c>
      <c r="C170" s="21" t="str">
        <f>IFERROR(__xludf.DUMMYFUNCTION("""COMPUTED_VALUE"""),"P1007")</f>
        <v>P1007</v>
      </c>
      <c r="D170" s="20" t="str">
        <f>IFERROR(__xludf.DUMMYFUNCTION("""COMPUTED_VALUE"""),"Matcha Hạt dẻ cười")</f>
        <v>Matcha Hạt dẻ cười</v>
      </c>
      <c r="E170" s="20" t="str">
        <f>IFERROR(__xludf.DUMMYFUNCTION("""COMPUTED_VALUE"""),"Matcha Pitaschio ")</f>
        <v>Matcha Pitaschio </v>
      </c>
      <c r="F170" s="20" t="str">
        <f>IFERROR(__xludf.DUMMYFUNCTION("""COMPUTED_VALUE"""),"Matcha Pitaschio - Matcha Hạt dẻ cười")</f>
        <v>Matcha Pitaschio - Matcha Hạt dẻ cười</v>
      </c>
      <c r="G170" s="20" t="str">
        <f>IFERROR(__xludf.DUMMYFUNCTION("""COMPUTED_VALUE"""),"R")</f>
        <v>R</v>
      </c>
      <c r="H170" s="22">
        <f>IFERROR(__xludf.DUMMYFUNCTION("""COMPUTED_VALUE"""),9.9)</f>
        <v>9.9</v>
      </c>
      <c r="I170" s="23">
        <f>IFERROR(__xludf.DUMMYFUNCTION("""COMPUTED_VALUE"""),11.5)</f>
        <v>11.5</v>
      </c>
      <c r="J170" s="4"/>
      <c r="K170" s="24" t="str">
        <f>IFERROR(__xludf.DUMMYFUNCTION("""COMPUTED_VALUE"""),"https://drive.google.com/file/d/1vHILcz7Ws4eG1VzfPpcA3HAFkYDpc28d/view?usp=sharing")</f>
        <v>https://drive.google.com/file/d/1vHILcz7Ws4eG1VzfPpcA3HAFkYDpc28d/view?usp=sharing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0" t="str">
        <f>IFERROR(__xludf.DUMMYFUNCTION("""COMPUTED_VALUE"""),"10.Matcha Drinks")</f>
        <v>10.Matcha Drinks</v>
      </c>
      <c r="B171" s="25"/>
      <c r="C171" s="25"/>
      <c r="D171" s="20" t="str">
        <f>IFERROR(__xludf.DUMMYFUNCTION("""COMPUTED_VALUE"""),"Matcha Hạt dẻ cười")</f>
        <v>Matcha Hạt dẻ cười</v>
      </c>
      <c r="E171" s="20" t="str">
        <f>IFERROR(__xludf.DUMMYFUNCTION("""COMPUTED_VALUE"""),"Matcha Pitaschio ")</f>
        <v>Matcha Pitaschio </v>
      </c>
      <c r="F171" s="20" t="str">
        <f>IFERROR(__xludf.DUMMYFUNCTION("""COMPUTED_VALUE"""),"Matcha Pitaschio - Matcha Hạt dẻ cười")</f>
        <v>Matcha Pitaschio - Matcha Hạt dẻ cười</v>
      </c>
      <c r="G171" s="20" t="str">
        <f>IFERROR(__xludf.DUMMYFUNCTION("""COMPUTED_VALUE"""),"L")</f>
        <v>L</v>
      </c>
      <c r="H171" s="22">
        <f>IFERROR(__xludf.DUMMYFUNCTION("""COMPUTED_VALUE"""),11.9)</f>
        <v>11.9</v>
      </c>
      <c r="I171" s="23">
        <f>IFERROR(__xludf.DUMMYFUNCTION("""COMPUTED_VALUE"""),13.5)</f>
        <v>13.5</v>
      </c>
      <c r="J171" s="4"/>
      <c r="K171" s="2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0" t="str">
        <f>IFERROR(__xludf.DUMMYFUNCTION("""COMPUTED_VALUE"""),"11.New drink")</f>
        <v>11.New drink</v>
      </c>
      <c r="B172" s="21">
        <f>IFERROR(__xludf.DUMMYFUNCTION("""COMPUTED_VALUE"""),1.0)</f>
        <v>1</v>
      </c>
      <c r="C172" s="21" t="str">
        <f>IFERROR(__xludf.DUMMYFUNCTION("""COMPUTED_VALUE"""),"P1101")</f>
        <v>P1101</v>
      </c>
      <c r="D172" s="20" t="str">
        <f>IFERROR(__xludf.DUMMYFUNCTION("""COMPUTED_VALUE"""),"Latte Bơ Dừa (kèm Trân Châu Vải)")</f>
        <v>Latte Bơ Dừa (kèm Trân Châu Vải)</v>
      </c>
      <c r="E172" s="20" t="str">
        <f>IFERROR(__xludf.DUMMYFUNCTION("""COMPUTED_VALUE"""),"Avocado Coconut Latte")</f>
        <v>Avocado Coconut Latte</v>
      </c>
      <c r="F172" s="20" t="str">
        <f>IFERROR(__xludf.DUMMYFUNCTION("""COMPUTED_VALUE"""),"Avocado Coconut Latte - Latte Bơ Dừa (kèm Trân Châu Vải)")</f>
        <v>Avocado Coconut Latte - Latte Bơ Dừa (kèm Trân Châu Vải)</v>
      </c>
      <c r="G172" s="20" t="str">
        <f>IFERROR(__xludf.DUMMYFUNCTION("""COMPUTED_VALUE"""),"L")</f>
        <v>L</v>
      </c>
      <c r="H172" s="22">
        <f>IFERROR(__xludf.DUMMYFUNCTION("""COMPUTED_VALUE"""),10.9)</f>
        <v>10.9</v>
      </c>
      <c r="I172" s="23">
        <f>IFERROR(__xludf.DUMMYFUNCTION("""COMPUTED_VALUE"""),12.5)</f>
        <v>12.5</v>
      </c>
      <c r="J172" s="4"/>
      <c r="K172" s="2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0" t="str">
        <f>IFERROR(__xludf.DUMMYFUNCTION("""COMPUTED_VALUE"""),"11.New drink")</f>
        <v>11.New drink</v>
      </c>
      <c r="B173" s="21">
        <f>IFERROR(__xludf.DUMMYFUNCTION("""COMPUTED_VALUE"""),2.0)</f>
        <v>2</v>
      </c>
      <c r="C173" s="21" t="str">
        <f>IFERROR(__xludf.DUMMYFUNCTION("""COMPUTED_VALUE"""),"P1102")</f>
        <v>P1102</v>
      </c>
      <c r="D173" s="20" t="str">
        <f>IFERROR(__xludf.DUMMYFUNCTION("""COMPUTED_VALUE"""),"Latte Bơ Cà Phê")</f>
        <v>Latte Bơ Cà Phê</v>
      </c>
      <c r="E173" s="20" t="str">
        <f>IFERROR(__xludf.DUMMYFUNCTION("""COMPUTED_VALUE"""),"Avocado Coffee Latte")</f>
        <v>Avocado Coffee Latte</v>
      </c>
      <c r="F173" s="20" t="str">
        <f>IFERROR(__xludf.DUMMYFUNCTION("""COMPUTED_VALUE"""),"Avocado Coffee Latte - Latte Bơ Cà Phê")</f>
        <v>Avocado Coffee Latte - Latte Bơ Cà Phê</v>
      </c>
      <c r="G173" s="20" t="str">
        <f>IFERROR(__xludf.DUMMYFUNCTION("""COMPUTED_VALUE"""),"L")</f>
        <v>L</v>
      </c>
      <c r="H173" s="22">
        <f>IFERROR(__xludf.DUMMYFUNCTION("""COMPUTED_VALUE"""),10.5)</f>
        <v>10.5</v>
      </c>
      <c r="I173" s="23">
        <f>IFERROR(__xludf.DUMMYFUNCTION("""COMPUTED_VALUE"""),11.9)</f>
        <v>11.9</v>
      </c>
      <c r="J173" s="20"/>
      <c r="K173" s="2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0" t="str">
        <f>IFERROR(__xludf.DUMMYFUNCTION("""COMPUTED_VALUE"""),"11.New drink")</f>
        <v>11.New drink</v>
      </c>
      <c r="B174" s="21">
        <f>IFERROR(__xludf.DUMMYFUNCTION("""COMPUTED_VALUE"""),6.0)</f>
        <v>6</v>
      </c>
      <c r="C174" s="21" t="str">
        <f>IFERROR(__xludf.DUMMYFUNCTION("""COMPUTED_VALUE"""),"P1106")</f>
        <v>P1106</v>
      </c>
      <c r="D174" s="20" t="str">
        <f>IFERROR(__xludf.DUMMYFUNCTION("""COMPUTED_VALUE"""),"Milo Dầm Bánh Flan")</f>
        <v>Milo Dầm Bánh Flan</v>
      </c>
      <c r="E174" s="20" t="str">
        <f>IFERROR(__xludf.DUMMYFUNCTION("""COMPUTED_VALUE"""),"Smashed Milo w Flan")</f>
        <v>Smashed Milo w Flan</v>
      </c>
      <c r="F174" s="20" t="str">
        <f>IFERROR(__xludf.DUMMYFUNCTION("""COMPUTED_VALUE"""),"Smashed Milo w Flan - Milo Dầm Bánh Flan")</f>
        <v>Smashed Milo w Flan - Milo Dầm Bánh Flan</v>
      </c>
      <c r="G174" s="20" t="str">
        <f>IFERROR(__xludf.DUMMYFUNCTION("""COMPUTED_VALUE"""),"L")</f>
        <v>L</v>
      </c>
      <c r="H174" s="22">
        <f>IFERROR(__xludf.DUMMYFUNCTION("""COMPUTED_VALUE"""),13.9)</f>
        <v>13.9</v>
      </c>
      <c r="I174" s="23">
        <f>IFERROR(__xludf.DUMMYFUNCTION("""COMPUTED_VALUE"""),15.9)</f>
        <v>15.9</v>
      </c>
      <c r="J174" s="20"/>
      <c r="K174" s="2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0" t="str">
        <f>IFERROR(__xludf.DUMMYFUNCTION("""COMPUTED_VALUE"""),"11.New drink")</f>
        <v>11.New drink</v>
      </c>
      <c r="B175" s="21"/>
      <c r="C175" s="21"/>
      <c r="D175" s="20" t="str">
        <f>IFERROR(__xludf.DUMMYFUNCTION("""COMPUTED_VALUE"""),"Milo Cà Phê")</f>
        <v>Milo Cà Phê</v>
      </c>
      <c r="E175" s="20" t="str">
        <f>IFERROR(__xludf.DUMMYFUNCTION("""COMPUTED_VALUE"""),"Milo Coffee")</f>
        <v>Milo Coffee</v>
      </c>
      <c r="F175" s="20"/>
      <c r="G175" s="20" t="str">
        <f>IFERROR(__xludf.DUMMYFUNCTION("""COMPUTED_VALUE"""),"L")</f>
        <v>L</v>
      </c>
      <c r="H175" s="22">
        <f>IFERROR(__xludf.DUMMYFUNCTION("""COMPUTED_VALUE"""),11.9)</f>
        <v>11.9</v>
      </c>
      <c r="I175" s="23">
        <f>IFERROR(__xludf.DUMMYFUNCTION("""COMPUTED_VALUE"""),13.5)</f>
        <v>13.5</v>
      </c>
      <c r="J175" s="4"/>
      <c r="K175" s="2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0" t="str">
        <f>IFERROR(__xludf.DUMMYFUNCTION("""COMPUTED_VALUE"""),"11.New drink")</f>
        <v>11.New drink</v>
      </c>
      <c r="B176" s="21"/>
      <c r="C176" s="21"/>
      <c r="D176" s="20" t="str">
        <f>IFERROR(__xludf.DUMMYFUNCTION("""COMPUTED_VALUE"""),"Machiato Đá w kem phô mai")</f>
        <v>Machiato Đá w kem phô mai</v>
      </c>
      <c r="E176" s="20" t="str">
        <f>IFERROR(__xludf.DUMMYFUNCTION("""COMPUTED_VALUE"""),"Iced Machiato w cheese foam")</f>
        <v>Iced Machiato w cheese foam</v>
      </c>
      <c r="F176" s="20"/>
      <c r="G176" s="20" t="str">
        <f>IFERROR(__xludf.DUMMYFUNCTION("""COMPUTED_VALUE"""),"L")</f>
        <v>L</v>
      </c>
      <c r="H176" s="22">
        <f>IFERROR(__xludf.DUMMYFUNCTION("""COMPUTED_VALUE"""),11.9)</f>
        <v>11.9</v>
      </c>
      <c r="I176" s="23">
        <f>IFERROR(__xludf.DUMMYFUNCTION("""COMPUTED_VALUE"""),13.5)</f>
        <v>13.5</v>
      </c>
      <c r="J176" s="20"/>
      <c r="K176" s="2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0" t="str">
        <f>IFERROR(__xludf.DUMMYFUNCTION("""COMPUTED_VALUE"""),"11.New drink")</f>
        <v>11.New drink</v>
      </c>
      <c r="B177" s="21">
        <f>IFERROR(__xludf.DUMMYFUNCTION("""COMPUTED_VALUE"""),10.0)</f>
        <v>10</v>
      </c>
      <c r="C177" s="21" t="str">
        <f>IFERROR(__xludf.DUMMYFUNCTION("""COMPUTED_VALUE"""),"P1110")</f>
        <v>P1110</v>
      </c>
      <c r="D177" s="20" t="str">
        <f>IFERROR(__xludf.DUMMYFUNCTION("""COMPUTED_VALUE"""),"Trái cây dầm ya-ua ( Vải)")</f>
        <v>Trái cây dầm ya-ua ( Vải)</v>
      </c>
      <c r="E177" s="20" t="str">
        <f>IFERROR(__xludf.DUMMYFUNCTION("""COMPUTED_VALUE"""),"Smashed Fruit Yogurt ( Lychee )")</f>
        <v>Smashed Fruit Yogurt ( Lychee )</v>
      </c>
      <c r="F177" s="20" t="str">
        <f>IFERROR(__xludf.DUMMYFUNCTION("""COMPUTED_VALUE"""),"Smashed Fruit Yogurt ( Lychee ) - Trái cây dầm ya-ua ( Vải)")</f>
        <v>Smashed Fruit Yogurt ( Lychee ) - Trái cây dầm ya-ua ( Vải)</v>
      </c>
      <c r="G177" s="4"/>
      <c r="H177" s="22">
        <f>IFERROR(__xludf.DUMMYFUNCTION("""COMPUTED_VALUE"""),14.9)</f>
        <v>14.9</v>
      </c>
      <c r="I177" s="23">
        <f>IFERROR(__xludf.DUMMYFUNCTION("""COMPUTED_VALUE"""),16.9)</f>
        <v>16.9</v>
      </c>
      <c r="J177" s="4"/>
      <c r="K177" s="2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0" t="str">
        <f>IFERROR(__xludf.DUMMYFUNCTION("""COMPUTED_VALUE"""),"11.New drink")</f>
        <v>11.New drink</v>
      </c>
      <c r="B178" s="21">
        <f>IFERROR(__xludf.DUMMYFUNCTION("""COMPUTED_VALUE"""),11.0)</f>
        <v>11</v>
      </c>
      <c r="C178" s="21" t="str">
        <f>IFERROR(__xludf.DUMMYFUNCTION("""COMPUTED_VALUE"""),"P1111")</f>
        <v>P1111</v>
      </c>
      <c r="D178" s="20" t="str">
        <f>IFERROR(__xludf.DUMMYFUNCTION("""COMPUTED_VALUE"""),"Trái cây dầm ya-ua ( Xoài)")</f>
        <v>Trái cây dầm ya-ua ( Xoài)</v>
      </c>
      <c r="E178" s="20" t="str">
        <f>IFERROR(__xludf.DUMMYFUNCTION("""COMPUTED_VALUE"""),"Smashed Fruit Yogurt ( Mango )")</f>
        <v>Smashed Fruit Yogurt ( Mango )</v>
      </c>
      <c r="F178" s="20" t="str">
        <f>IFERROR(__xludf.DUMMYFUNCTION("""COMPUTED_VALUE"""),"Smashed Fruit Yogurt ( Mango ) - Trái cây dầm ya-ua ( Xoài)")</f>
        <v>Smashed Fruit Yogurt ( Mango ) - Trái cây dầm ya-ua ( Xoài)</v>
      </c>
      <c r="G178" s="4"/>
      <c r="H178" s="22">
        <f>IFERROR(__xludf.DUMMYFUNCTION("""COMPUTED_VALUE"""),14.9)</f>
        <v>14.9</v>
      </c>
      <c r="I178" s="23">
        <f>IFERROR(__xludf.DUMMYFUNCTION("""COMPUTED_VALUE"""),16.9)</f>
        <v>16.9</v>
      </c>
      <c r="J178" s="4"/>
      <c r="K178" s="2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0" t="str">
        <f>IFERROR(__xludf.DUMMYFUNCTION("""COMPUTED_VALUE"""),"11.New drink")</f>
        <v>11.New drink</v>
      </c>
      <c r="B179" s="21">
        <f>IFERROR(__xludf.DUMMYFUNCTION("""COMPUTED_VALUE"""),12.0)</f>
        <v>12</v>
      </c>
      <c r="C179" s="21" t="str">
        <f>IFERROR(__xludf.DUMMYFUNCTION("""COMPUTED_VALUE"""),"P1112")</f>
        <v>P1112</v>
      </c>
      <c r="D179" s="20" t="str">
        <f>IFERROR(__xludf.DUMMYFUNCTION("""COMPUTED_VALUE"""),"Trái cây dầm ya-ua ( Dâu)")</f>
        <v>Trái cây dầm ya-ua ( Dâu)</v>
      </c>
      <c r="E179" s="20" t="str">
        <f>IFERROR(__xludf.DUMMYFUNCTION("""COMPUTED_VALUE"""),"Smashed Fruit Yogurt ( Strawberry)")</f>
        <v>Smashed Fruit Yogurt ( Strawberry)</v>
      </c>
      <c r="F179" s="20" t="str">
        <f>IFERROR(__xludf.DUMMYFUNCTION("""COMPUTED_VALUE"""),"Smashed Fruit Yogurt ( Strawberry) - Trái cây dầm ya-ua ( Dâu)")</f>
        <v>Smashed Fruit Yogurt ( Strawberry) - Trái cây dầm ya-ua ( Dâu)</v>
      </c>
      <c r="G179" s="4"/>
      <c r="H179" s="22">
        <f>IFERROR(__xludf.DUMMYFUNCTION("""COMPUTED_VALUE"""),14.9)</f>
        <v>14.9</v>
      </c>
      <c r="I179" s="23">
        <f>IFERROR(__xludf.DUMMYFUNCTION("""COMPUTED_VALUE"""),16.9)</f>
        <v>16.9</v>
      </c>
      <c r="J179" s="4"/>
      <c r="K179" s="2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0" t="str">
        <f>IFERROR(__xludf.DUMMYFUNCTION("""COMPUTED_VALUE"""),"11.New drink")</f>
        <v>11.New drink</v>
      </c>
      <c r="B180" s="21">
        <f>IFERROR(__xludf.DUMMYFUNCTION("""COMPUTED_VALUE"""),13.0)</f>
        <v>13</v>
      </c>
      <c r="C180" s="21" t="str">
        <f>IFERROR(__xludf.DUMMYFUNCTION("""COMPUTED_VALUE"""),"P1113")</f>
        <v>P1113</v>
      </c>
      <c r="D180" s="20" t="str">
        <f>IFERROR(__xludf.DUMMYFUNCTION("""COMPUTED_VALUE"""),"Mung Bean Milk")</f>
        <v>Mung Bean Milk</v>
      </c>
      <c r="E180" s="20" t="str">
        <f>IFERROR(__xludf.DUMMYFUNCTION("""COMPUTED_VALUE"""),"Sữa đậu xanh")</f>
        <v>Sữa đậu xanh</v>
      </c>
      <c r="F180" s="20" t="str">
        <f>IFERROR(__xludf.DUMMYFUNCTION("""COMPUTED_VALUE"""),"Mung Bean Milk - Sữa đậu xanh")</f>
        <v>Mung Bean Milk - Sữa đậu xanh</v>
      </c>
      <c r="G180" s="20"/>
      <c r="H180" s="22">
        <f>IFERROR(__xludf.DUMMYFUNCTION("""COMPUTED_VALUE"""),9.9)</f>
        <v>9.9</v>
      </c>
      <c r="I180" s="23">
        <f>IFERROR(__xludf.DUMMYFUNCTION("""COMPUTED_VALUE"""),11.5)</f>
        <v>11.5</v>
      </c>
      <c r="J180" s="4"/>
      <c r="K180" s="2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0" t="str">
        <f>IFERROR(__xludf.DUMMYFUNCTION("""COMPUTED_VALUE"""),"11.New drink")</f>
        <v>11.New drink</v>
      </c>
      <c r="B181" s="25"/>
      <c r="C181" s="25"/>
      <c r="D181" s="20" t="str">
        <f>IFERROR(__xludf.DUMMYFUNCTION("""COMPUTED_VALUE"""),"Mung Bean Milk")</f>
        <v>Mung Bean Milk</v>
      </c>
      <c r="E181" s="20" t="str">
        <f>IFERROR(__xludf.DUMMYFUNCTION("""COMPUTED_VALUE"""),"Sữa đậu xanh")</f>
        <v>Sữa đậu xanh</v>
      </c>
      <c r="F181" s="20" t="str">
        <f>IFERROR(__xludf.DUMMYFUNCTION("""COMPUTED_VALUE"""),"Mung Bean Milk - Sữa đậu xanh")</f>
        <v>Mung Bean Milk - Sữa đậu xanh</v>
      </c>
      <c r="G181" s="20"/>
      <c r="H181" s="22">
        <f>IFERROR(__xludf.DUMMYFUNCTION("""COMPUTED_VALUE"""),9.9)</f>
        <v>9.9</v>
      </c>
      <c r="I181" s="23">
        <f>IFERROR(__xludf.DUMMYFUNCTION("""COMPUTED_VALUE"""),11.5)</f>
        <v>11.5</v>
      </c>
      <c r="J181" s="4"/>
      <c r="K181" s="2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0" t="str">
        <f>IFERROR(__xludf.DUMMYFUNCTION("""COMPUTED_VALUE"""),"11.New drink")</f>
        <v>11.New drink</v>
      </c>
      <c r="B182" s="21">
        <f>IFERROR(__xludf.DUMMYFUNCTION("""COMPUTED_VALUE"""),14.0)</f>
        <v>14</v>
      </c>
      <c r="C182" s="21" t="str">
        <f>IFERROR(__xludf.DUMMYFUNCTION("""COMPUTED_VALUE"""),"P1114")</f>
        <v>P1114</v>
      </c>
      <c r="D182" s="20" t="str">
        <f>IFERROR(__xludf.DUMMYFUNCTION("""COMPUTED_VALUE"""),"Corn Milk")</f>
        <v>Corn Milk</v>
      </c>
      <c r="E182" s="20" t="str">
        <f>IFERROR(__xludf.DUMMYFUNCTION("""COMPUTED_VALUE"""),"Sữa bắp nóng")</f>
        <v>Sữa bắp nóng</v>
      </c>
      <c r="F182" s="20" t="str">
        <f>IFERROR(__xludf.DUMMYFUNCTION("""COMPUTED_VALUE"""),"Corn Milk - Sữa bắp nóng")</f>
        <v>Corn Milk - Sữa bắp nóng</v>
      </c>
      <c r="G182" s="20"/>
      <c r="H182" s="22">
        <f>IFERROR(__xludf.DUMMYFUNCTION("""COMPUTED_VALUE"""),9.9)</f>
        <v>9.9</v>
      </c>
      <c r="I182" s="23">
        <f>IFERROR(__xludf.DUMMYFUNCTION("""COMPUTED_VALUE"""),11.5)</f>
        <v>11.5</v>
      </c>
      <c r="J182" s="4"/>
      <c r="K182" s="2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0" t="str">
        <f>IFERROR(__xludf.DUMMYFUNCTION("""COMPUTED_VALUE"""),"11.New drink")</f>
        <v>11.New drink</v>
      </c>
      <c r="B183" s="25"/>
      <c r="C183" s="25"/>
      <c r="D183" s="20" t="str">
        <f>IFERROR(__xludf.DUMMYFUNCTION("""COMPUTED_VALUE"""),"Iced Corn Milk")</f>
        <v>Iced Corn Milk</v>
      </c>
      <c r="E183" s="20" t="str">
        <f>IFERROR(__xludf.DUMMYFUNCTION("""COMPUTED_VALUE"""),"Sữa bắp lạnh")</f>
        <v>Sữa bắp lạnh</v>
      </c>
      <c r="F183" s="20" t="str">
        <f>IFERROR(__xludf.DUMMYFUNCTION("""COMPUTED_VALUE"""),"Iced Corn Milk - Sữa bắp lạnh")</f>
        <v>Iced Corn Milk - Sữa bắp lạnh</v>
      </c>
      <c r="G183" s="20"/>
      <c r="H183" s="22">
        <f>IFERROR(__xludf.DUMMYFUNCTION("""COMPUTED_VALUE"""),9.9)</f>
        <v>9.9</v>
      </c>
      <c r="I183" s="23">
        <f>IFERROR(__xludf.DUMMYFUNCTION("""COMPUTED_VALUE"""),11.5)</f>
        <v>11.5</v>
      </c>
      <c r="J183" s="4"/>
      <c r="K183" s="2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0" t="str">
        <f>IFERROR(__xludf.DUMMYFUNCTION("""COMPUTED_VALUE"""),"11.New drink")</f>
        <v>11.New drink</v>
      </c>
      <c r="B184" s="21">
        <f>IFERROR(__xludf.DUMMYFUNCTION("""COMPUTED_VALUE"""),15.0)</f>
        <v>15</v>
      </c>
      <c r="C184" s="21" t="str">
        <f>IFERROR(__xludf.DUMMYFUNCTION("""COMPUTED_VALUE"""),"P1115")</f>
        <v>P1115</v>
      </c>
      <c r="D184" s="20" t="str">
        <f>IFERROR(__xludf.DUMMYFUNCTION("""COMPUTED_VALUE"""),"Pumpkin milk")</f>
        <v>Pumpkin milk</v>
      </c>
      <c r="E184" s="20" t="str">
        <f>IFERROR(__xludf.DUMMYFUNCTION("""COMPUTED_VALUE"""),"Sữa bí đỏ")</f>
        <v>Sữa bí đỏ</v>
      </c>
      <c r="F184" s="20" t="str">
        <f>IFERROR(__xludf.DUMMYFUNCTION("""COMPUTED_VALUE"""),"Pumpkin milk - Sữa bí đỏ")</f>
        <v>Pumpkin milk - Sữa bí đỏ</v>
      </c>
      <c r="G184" s="20"/>
      <c r="H184" s="25"/>
      <c r="I184" s="23">
        <f>IFERROR(__xludf.DUMMYFUNCTION("""COMPUTED_VALUE"""),-0.1)</f>
        <v>-0.1</v>
      </c>
      <c r="J184" s="4"/>
      <c r="K184" s="2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0" t="str">
        <f>IFERROR(__xludf.DUMMYFUNCTION("""COMPUTED_VALUE"""),"11.New drink")</f>
        <v>11.New drink</v>
      </c>
      <c r="B185" s="21">
        <f>IFERROR(__xludf.DUMMYFUNCTION("""COMPUTED_VALUE"""),16.0)</f>
        <v>16</v>
      </c>
      <c r="C185" s="21" t="str">
        <f>IFERROR(__xludf.DUMMYFUNCTION("""COMPUTED_VALUE"""),"P1116")</f>
        <v>P1116</v>
      </c>
      <c r="D185" s="20" t="str">
        <f>IFERROR(__xludf.DUMMYFUNCTION("""COMPUTED_VALUE"""),"Coconut Milk w Herbal Jelly")</f>
        <v>Coconut Milk w Herbal Jelly</v>
      </c>
      <c r="E185" s="20" t="str">
        <f>IFERROR(__xludf.DUMMYFUNCTION("""COMPUTED_VALUE"""),"Sữa Dừa &amp; Sương sáo")</f>
        <v>Sữa Dừa &amp; Sương sáo</v>
      </c>
      <c r="F185" s="20" t="str">
        <f>IFERROR(__xludf.DUMMYFUNCTION("""COMPUTED_VALUE"""),"Coconut Milk w Herbal Jelly - Sữa Dừa &amp; Sương sáo")</f>
        <v>Coconut Milk w Herbal Jelly - Sữa Dừa &amp; Sương sáo</v>
      </c>
      <c r="G185" s="4"/>
      <c r="H185" s="22">
        <f>IFERROR(__xludf.DUMMYFUNCTION("""COMPUTED_VALUE"""),10.9)</f>
        <v>10.9</v>
      </c>
      <c r="I185" s="23">
        <f>IFERROR(__xludf.DUMMYFUNCTION("""COMPUTED_VALUE"""),12.5)</f>
        <v>12.5</v>
      </c>
      <c r="J185" s="4"/>
      <c r="K185" s="2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0" t="str">
        <f>IFERROR(__xludf.DUMMYFUNCTION("""COMPUTED_VALUE"""),"11.New drink")</f>
        <v>11.New drink</v>
      </c>
      <c r="B186" s="21">
        <f>IFERROR(__xludf.DUMMYFUNCTION("""COMPUTED_VALUE"""),17.0)</f>
        <v>17</v>
      </c>
      <c r="C186" s="21" t="str">
        <f>IFERROR(__xludf.DUMMYFUNCTION("""COMPUTED_VALUE"""),"P1117")</f>
        <v>P1117</v>
      </c>
      <c r="D186" s="20" t="str">
        <f>IFERROR(__xludf.DUMMYFUNCTION("""COMPUTED_VALUE"""),"Taro coconut milk")</f>
        <v>Taro coconut milk</v>
      </c>
      <c r="E186" s="20" t="str">
        <f>IFERROR(__xludf.DUMMYFUNCTION("""COMPUTED_VALUE"""),"Sữa dừa khoai môn")</f>
        <v>Sữa dừa khoai môn</v>
      </c>
      <c r="F186" s="20" t="str">
        <f>IFERROR(__xludf.DUMMYFUNCTION("""COMPUTED_VALUE"""),"Taro coconut milk - Sữa dừa khoai môn")</f>
        <v>Taro coconut milk - Sữa dừa khoai môn</v>
      </c>
      <c r="G186" s="4"/>
      <c r="H186" s="22">
        <f>IFERROR(__xludf.DUMMYFUNCTION("""COMPUTED_VALUE"""),10.9)</f>
        <v>10.9</v>
      </c>
      <c r="I186" s="23">
        <f>IFERROR(__xludf.DUMMYFUNCTION("""COMPUTED_VALUE"""),12.5)</f>
        <v>12.5</v>
      </c>
      <c r="J186" s="4"/>
      <c r="K186" s="2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0" t="str">
        <f>IFERROR(__xludf.DUMMYFUNCTION("""COMPUTED_VALUE"""),"11.New drink")</f>
        <v>11.New drink</v>
      </c>
      <c r="B187" s="21">
        <f>IFERROR(__xludf.DUMMYFUNCTION("""COMPUTED_VALUE"""),18.0)</f>
        <v>18</v>
      </c>
      <c r="C187" s="21" t="str">
        <f>IFERROR(__xludf.DUMMYFUNCTION("""COMPUTED_VALUE"""),"P1118")</f>
        <v>P1118</v>
      </c>
      <c r="D187" s="20" t="str">
        <f>IFERROR(__xludf.DUMMYFUNCTION("""COMPUTED_VALUE"""),"Corn Milk w Pandan Jellys")</f>
        <v>Corn Milk w Pandan Jellys</v>
      </c>
      <c r="E187" s="20" t="str">
        <f>IFERROR(__xludf.DUMMYFUNCTION("""COMPUTED_VALUE"""),"Sữa Bắp &amp; Thạch lá dứa")</f>
        <v>Sữa Bắp &amp; Thạch lá dứa</v>
      </c>
      <c r="F187" s="20" t="str">
        <f>IFERROR(__xludf.DUMMYFUNCTION("""COMPUTED_VALUE"""),"Corn Milk w Pandan Jellys - Sữa Bắp &amp; Thạch lá dứa")</f>
        <v>Corn Milk w Pandan Jellys - Sữa Bắp &amp; Thạch lá dứa</v>
      </c>
      <c r="G187" s="4"/>
      <c r="H187" s="22">
        <f>IFERROR(__xludf.DUMMYFUNCTION("""COMPUTED_VALUE"""),10.9)</f>
        <v>10.9</v>
      </c>
      <c r="I187" s="23">
        <f>IFERROR(__xludf.DUMMYFUNCTION("""COMPUTED_VALUE"""),12.5)</f>
        <v>12.5</v>
      </c>
      <c r="J187" s="4"/>
      <c r="K187" s="2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0" t="str">
        <f>IFERROR(__xludf.DUMMYFUNCTION("""COMPUTED_VALUE"""),"12.CABRA FOODS")</f>
        <v>12.CABRA FOODS</v>
      </c>
      <c r="B188" s="21">
        <f>IFERROR(__xludf.DUMMYFUNCTION("""COMPUTED_VALUE"""),1.0)</f>
        <v>1</v>
      </c>
      <c r="C188" s="21" t="str">
        <f>IFERROR(__xludf.DUMMYFUNCTION("""COMPUTED_VALUE"""),"P1201")</f>
        <v>P1201</v>
      </c>
      <c r="D188" s="20" t="str">
        <f>IFERROR(__xludf.DUMMYFUNCTION("""COMPUTED_VALUE"""),"Chicken Nuggets")</f>
        <v>Chicken Nuggets</v>
      </c>
      <c r="E188" s="20" t="str">
        <f>IFERROR(__xludf.DUMMYFUNCTION("""COMPUTED_VALUE"""),"Chicken Nuggets")</f>
        <v>Chicken Nuggets</v>
      </c>
      <c r="F188" s="20" t="str">
        <f>IFERROR(__xludf.DUMMYFUNCTION("""COMPUTED_VALUE"""),"Chicken Nuggets - Chicken Nuggets")</f>
        <v>Chicken Nuggets - Chicken Nuggets</v>
      </c>
      <c r="G188" s="4"/>
      <c r="H188" s="22">
        <f>IFERROR(__xludf.DUMMYFUNCTION("""COMPUTED_VALUE"""),9.9)</f>
        <v>9.9</v>
      </c>
      <c r="I188" s="23">
        <f>IFERROR(__xludf.DUMMYFUNCTION("""COMPUTED_VALUE"""),11.5)</f>
        <v>11.5</v>
      </c>
      <c r="J188" s="20"/>
      <c r="K188" s="24" t="str">
        <f>IFERROR(__xludf.DUMMYFUNCTION("""COMPUTED_VALUE"""),"https://drive.google.com/file/d/1yaJ_kegq3iPQDF6ApBMwSYXZYZfnI-8l/view?usp=sharing")</f>
        <v>https://drive.google.com/file/d/1yaJ_kegq3iPQDF6ApBMwSYXZYZfnI-8l/view?usp=sharing</v>
      </c>
      <c r="L188" s="4" t="str">
        <f>IFERROR(__xludf.DUMMYFUNCTION("""COMPUTED_VALUE"""),"10pcs w chilli sauce")</f>
        <v>10pcs w chilli sauce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0" t="str">
        <f>IFERROR(__xludf.DUMMYFUNCTION("""COMPUTED_VALUE"""),"12.CABRA FOODS")</f>
        <v>12.CABRA FOODS</v>
      </c>
      <c r="B189" s="21">
        <f>IFERROR(__xludf.DUMMYFUNCTION("""COMPUTED_VALUE"""),2.0)</f>
        <v>2</v>
      </c>
      <c r="C189" s="21" t="str">
        <f>IFERROR(__xludf.DUMMYFUNCTION("""COMPUTED_VALUE"""),"P1202")</f>
        <v>P1202</v>
      </c>
      <c r="D189" s="20" t="str">
        <f>IFERROR(__xludf.DUMMYFUNCTION("""COMPUTED_VALUE"""),"Bò bía ngọt")</f>
        <v>Bò bía ngọt</v>
      </c>
      <c r="E189" s="20" t="str">
        <f>IFERROR(__xludf.DUMMYFUNCTION("""COMPUTED_VALUE"""),"Bò bía ngọt")</f>
        <v>Bò bía ngọt</v>
      </c>
      <c r="F189" s="20" t="str">
        <f>IFERROR(__xludf.DUMMYFUNCTION("""COMPUTED_VALUE"""),"Bò bía ngọt - Bò bía ngọt")</f>
        <v>Bò bía ngọt - Bò bía ngọt</v>
      </c>
      <c r="G189" s="20" t="str">
        <f>IFERROR(__xludf.DUMMYFUNCTION("""COMPUTED_VALUE"""),"4 rolls")</f>
        <v>4 rolls</v>
      </c>
      <c r="H189" s="22">
        <f>IFERROR(__xludf.DUMMYFUNCTION("""COMPUTED_VALUE"""),7.9)</f>
        <v>7.9</v>
      </c>
      <c r="I189" s="23">
        <f>IFERROR(__xludf.DUMMYFUNCTION("""COMPUTED_VALUE"""),8.9)</f>
        <v>8.9</v>
      </c>
      <c r="J189" s="20"/>
      <c r="K189" s="24" t="str">
        <f>IFERROR(__xludf.DUMMYFUNCTION("""COMPUTED_VALUE"""),"https://drive.google.com/file/d/1kRJTs1-aEI4_05c8Qih5Z00MnUrwEL2y/view?usp=sharing")</f>
        <v>https://drive.google.com/file/d/1kRJTs1-aEI4_05c8Qih5Z00MnUrwEL2y/view?usp=sharing</v>
      </c>
      <c r="L189" s="4" t="str">
        <f>IFERROR(__xludf.DUMMYFUNCTION("""COMPUTED_VALUE"""),"sugar sticks, shredded coconut, sesame")</f>
        <v>sugar sticks, shredded coconut, sesame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0" t="str">
        <f>IFERROR(__xludf.DUMMYFUNCTION("""COMPUTED_VALUE"""),"12.CABRA FOODS")</f>
        <v>12.CABRA FOODS</v>
      </c>
      <c r="B190" s="21">
        <f>IFERROR(__xludf.DUMMYFUNCTION("""COMPUTED_VALUE"""),3.0)</f>
        <v>3</v>
      </c>
      <c r="C190" s="21" t="str">
        <f>IFERROR(__xludf.DUMMYFUNCTION("""COMPUTED_VALUE"""),"P1203")</f>
        <v>P1203</v>
      </c>
      <c r="D190" s="20" t="str">
        <f>IFERROR(__xludf.DUMMYFUNCTION("""COMPUTED_VALUE"""),"Lạp xưởng")</f>
        <v>Lạp xưởng</v>
      </c>
      <c r="E190" s="20" t="str">
        <f>IFERROR(__xludf.DUMMYFUNCTION("""COMPUTED_VALUE"""),"Pork Sausages")</f>
        <v>Pork Sausages</v>
      </c>
      <c r="F190" s="20" t="str">
        <f>IFERROR(__xludf.DUMMYFUNCTION("""COMPUTED_VALUE"""),"Pork Sausages - Lạp xưởng")</f>
        <v>Pork Sausages - Lạp xưởng</v>
      </c>
      <c r="G190" s="20" t="str">
        <f>IFERROR(__xludf.DUMMYFUNCTION("""COMPUTED_VALUE"""),"3pcs")</f>
        <v>3pcs</v>
      </c>
      <c r="H190" s="22">
        <f>IFERROR(__xludf.DUMMYFUNCTION("""COMPUTED_VALUE"""),14.5)</f>
        <v>14.5</v>
      </c>
      <c r="I190" s="23">
        <f>IFERROR(__xludf.DUMMYFUNCTION("""COMPUTED_VALUE"""),16.5)</f>
        <v>16.5</v>
      </c>
      <c r="J190" s="20"/>
      <c r="K190" s="24" t="str">
        <f>IFERROR(__xludf.DUMMYFUNCTION("""COMPUTED_VALUE"""),"https://drive.google.com/file/d/1F0EKV_XOpftyYhU8WN_Y0heOeGiMOtyW/view?usp=sharing")</f>
        <v>https://drive.google.com/file/d/1F0EKV_XOpftyYhU8WN_Y0heOeGiMOtyW/view?usp=sharing</v>
      </c>
      <c r="L190" s="4" t="str">
        <f>IFERROR(__xludf.DUMMYFUNCTION("""COMPUTED_VALUE"""),"w chilli sauce")</f>
        <v>w chilli sauce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0" t="str">
        <f>IFERROR(__xludf.DUMMYFUNCTION("""COMPUTED_VALUE"""),"12.CABRA FOODS")</f>
        <v>12.CABRA FOODS</v>
      </c>
      <c r="B191" s="21">
        <f>IFERROR(__xludf.DUMMYFUNCTION("""COMPUTED_VALUE"""),4.0)</f>
        <v>4</v>
      </c>
      <c r="C191" s="21" t="str">
        <f>IFERROR(__xludf.DUMMYFUNCTION("""COMPUTED_VALUE"""),"P1204")</f>
        <v>P1204</v>
      </c>
      <c r="D191" s="20" t="str">
        <f>IFERROR(__xludf.DUMMYFUNCTION("""COMPUTED_VALUE"""),"Cá Viên Chiên")</f>
        <v>Cá Viên Chiên</v>
      </c>
      <c r="E191" s="20" t="str">
        <f>IFERROR(__xludf.DUMMYFUNCTION("""COMPUTED_VALUE"""),"Fish Balls")</f>
        <v>Fish Balls</v>
      </c>
      <c r="F191" s="20" t="str">
        <f>IFERROR(__xludf.DUMMYFUNCTION("""COMPUTED_VALUE"""),"Fish Balls - Cá Viên Chiên")</f>
        <v>Fish Balls - Cá Viên Chiên</v>
      </c>
      <c r="G191" s="20" t="str">
        <f>IFERROR(__xludf.DUMMYFUNCTION("""COMPUTED_VALUE"""),"8 pcs")</f>
        <v>8 pcs</v>
      </c>
      <c r="H191" s="22">
        <f>IFERROR(__xludf.DUMMYFUNCTION("""COMPUTED_VALUE"""),9.9)</f>
        <v>9.9</v>
      </c>
      <c r="I191" s="23">
        <f>IFERROR(__xludf.DUMMYFUNCTION("""COMPUTED_VALUE"""),11.5)</f>
        <v>11.5</v>
      </c>
      <c r="J191" s="20"/>
      <c r="K191" s="24" t="str">
        <f>IFERROR(__xludf.DUMMYFUNCTION("""COMPUTED_VALUE"""),"https://drive.google.com/file/d/1xMeOTPDDQDrjKSBVgkhyj0Wh1nVJdvUg/view?usp=sharing")</f>
        <v>https://drive.google.com/file/d/1xMeOTPDDQDrjKSBVgkhyj0Wh1nVJdvUg/view?usp=sharing</v>
      </c>
      <c r="L191" s="4" t="str">
        <f>IFERROR(__xludf.DUMMYFUNCTION("""COMPUTED_VALUE"""),"w chilli/ hoisin Sauce")</f>
        <v>w chilli/ hoisin Sauce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0" t="str">
        <f>IFERROR(__xludf.DUMMYFUNCTION("""COMPUTED_VALUE"""),"12.CABRA FOODS")</f>
        <v>12.CABRA FOODS</v>
      </c>
      <c r="B192" s="21">
        <f>IFERROR(__xludf.DUMMYFUNCTION("""COMPUTED_VALUE"""),5.0)</f>
        <v>5</v>
      </c>
      <c r="C192" s="21" t="str">
        <f>IFERROR(__xludf.DUMMYFUNCTION("""COMPUTED_VALUE"""),"P1205")</f>
        <v>P1205</v>
      </c>
      <c r="D192" s="20" t="str">
        <f>IFERROR(__xludf.DUMMYFUNCTION("""COMPUTED_VALUE"""),"Cá Viên Mayo")</f>
        <v>Cá Viên Mayo</v>
      </c>
      <c r="E192" s="20" t="str">
        <f>IFERROR(__xludf.DUMMYFUNCTION("""COMPUTED_VALUE"""),"FISH BALLS MAYO")</f>
        <v>FISH BALLS MAYO</v>
      </c>
      <c r="F192" s="20" t="str">
        <f>IFERROR(__xludf.DUMMYFUNCTION("""COMPUTED_VALUE"""),"FISH BALLS MAYO - Cá Viên Mayo")</f>
        <v>FISH BALLS MAYO - Cá Viên Mayo</v>
      </c>
      <c r="G192" s="20" t="str">
        <f>IFERROR(__xludf.DUMMYFUNCTION("""COMPUTED_VALUE"""),"10PCS")</f>
        <v>10PCS</v>
      </c>
      <c r="H192" s="22">
        <f>IFERROR(__xludf.DUMMYFUNCTION("""COMPUTED_VALUE"""),13.9)</f>
        <v>13.9</v>
      </c>
      <c r="I192" s="23">
        <f>IFERROR(__xludf.DUMMYFUNCTION("""COMPUTED_VALUE"""),15.9)</f>
        <v>15.9</v>
      </c>
      <c r="J192" s="20"/>
      <c r="K192" s="24" t="str">
        <f>IFERROR(__xludf.DUMMYFUNCTION("""COMPUTED_VALUE"""),"https://drive.google.com/file/d/1mPq9KoRAM9QIpLtgNTdDTwMVhvyKAZJI/view?usp=sharing")</f>
        <v>https://drive.google.com/file/d/1mPq9KoRAM9QIpLtgNTdDTwMVhvyKAZJI/view?usp=sharing</v>
      </c>
      <c r="L192" s="4" t="str">
        <f>IFERROR(__xludf.DUMMYFUNCTION("""COMPUTED_VALUE"""),"w chilli / hoisin sauce")</f>
        <v>w chilli / hoisin sauce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0" t="str">
        <f>IFERROR(__xludf.DUMMYFUNCTION("""COMPUTED_VALUE"""),"12.CABRA FOODS")</f>
        <v>12.CABRA FOODS</v>
      </c>
      <c r="B193" s="21">
        <f>IFERROR(__xludf.DUMMYFUNCTION("""COMPUTED_VALUE"""),6.0)</f>
        <v>6</v>
      </c>
      <c r="C193" s="21" t="str">
        <f>IFERROR(__xludf.DUMMYFUNCTION("""COMPUTED_VALUE"""),"P1206")</f>
        <v>P1206</v>
      </c>
      <c r="D193" s="20" t="str">
        <f>IFERROR(__xludf.DUMMYFUNCTION("""COMPUTED_VALUE"""),"Tôm Cuộn Khoai Tây")</f>
        <v>Tôm Cuộn Khoai Tây</v>
      </c>
      <c r="E193" s="20" t="str">
        <f>IFERROR(__xludf.DUMMYFUNCTION("""COMPUTED_VALUE"""),"POTATO PRAWN")</f>
        <v>POTATO PRAWN</v>
      </c>
      <c r="F193" s="20" t="str">
        <f>IFERROR(__xludf.DUMMYFUNCTION("""COMPUTED_VALUE"""),"POTATO PRAWN - Tôm Cuộn Khoai Tây")</f>
        <v>POTATO PRAWN - Tôm Cuộn Khoai Tây</v>
      </c>
      <c r="G193" s="20" t="str">
        <f>IFERROR(__xludf.DUMMYFUNCTION("""COMPUTED_VALUE"""),"6PCS")</f>
        <v>6PCS</v>
      </c>
      <c r="H193" s="22">
        <f>IFERROR(__xludf.DUMMYFUNCTION("""COMPUTED_VALUE"""),12.5)</f>
        <v>12.5</v>
      </c>
      <c r="I193" s="23">
        <f>IFERROR(__xludf.DUMMYFUNCTION("""COMPUTED_VALUE"""),14.5)</f>
        <v>14.5</v>
      </c>
      <c r="J193" s="20"/>
      <c r="K193" s="24" t="str">
        <f>IFERROR(__xludf.DUMMYFUNCTION("""COMPUTED_VALUE"""),"https://drive.google.com/file/d/1ecIcuyBYZJNrNShJLEe4rdhSS5IE7ZAX/view?usp=sharing")</f>
        <v>https://drive.google.com/file/d/1ecIcuyBYZJNrNShJLEe4rdhSS5IE7ZAX/view?usp=sharing</v>
      </c>
      <c r="L193" s="4" t="str">
        <f>IFERROR(__xludf.DUMMYFUNCTION("""COMPUTED_VALUE"""),"w mayo &amp; sweet chilli sauce")</f>
        <v>w mayo &amp; sweet chilli sauce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0" t="str">
        <f>IFERROR(__xludf.DUMMYFUNCTION("""COMPUTED_VALUE"""),"12.CABRA FOODS")</f>
        <v>12.CABRA FOODS</v>
      </c>
      <c r="B194" s="21">
        <f>IFERROR(__xludf.DUMMYFUNCTION("""COMPUTED_VALUE"""),7.0)</f>
        <v>7</v>
      </c>
      <c r="C194" s="21" t="str">
        <f>IFERROR(__xludf.DUMMYFUNCTION("""COMPUTED_VALUE"""),"P1207")</f>
        <v>P1207</v>
      </c>
      <c r="D194" s="20" t="str">
        <f>IFERROR(__xludf.DUMMYFUNCTION("""COMPUTED_VALUE"""),"Phô Mai Que")</f>
        <v>Phô Mai Que</v>
      </c>
      <c r="E194" s="20" t="str">
        <f>IFERROR(__xludf.DUMMYFUNCTION("""COMPUTED_VALUE"""),"Cheese Stick")</f>
        <v>Cheese Stick</v>
      </c>
      <c r="F194" s="20" t="str">
        <f>IFERROR(__xludf.DUMMYFUNCTION("""COMPUTED_VALUE"""),"Cheese sticks - Phô Mai Que")</f>
        <v>Cheese sticks - Phô Mai Que</v>
      </c>
      <c r="G194" s="20" t="str">
        <f>IFERROR(__xludf.DUMMYFUNCTION("""COMPUTED_VALUE"""),"6 Pcs")</f>
        <v>6 Pcs</v>
      </c>
      <c r="H194" s="22">
        <f>IFERROR(__xludf.DUMMYFUNCTION("""COMPUTED_VALUE"""),9.9)</f>
        <v>9.9</v>
      </c>
      <c r="I194" s="23">
        <f>IFERROR(__xludf.DUMMYFUNCTION("""COMPUTED_VALUE"""),11.5)</f>
        <v>11.5</v>
      </c>
      <c r="J194" s="20"/>
      <c r="K194" s="24" t="str">
        <f>IFERROR(__xludf.DUMMYFUNCTION("""COMPUTED_VALUE"""),"https://drive.google.com/file/d/17C64vpamTq7GDo4oNRGcJjetqOUxGhDO/view?usp=sharing")</f>
        <v>https://drive.google.com/file/d/17C64vpamTq7GDo4oNRGcJjetqOUxGhDO/view?usp=sharing</v>
      </c>
      <c r="L194" s="4" t="str">
        <f>IFERROR(__xludf.DUMMYFUNCTION("""COMPUTED_VALUE"""),"w mayo &amp; sweet chilli sauce")</f>
        <v>w mayo &amp; sweet chilli sauce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0" t="str">
        <f>IFERROR(__xludf.DUMMYFUNCTION("""COMPUTED_VALUE"""),"12.CABRA FOODS")</f>
        <v>12.CABRA FOODS</v>
      </c>
      <c r="B195" s="21">
        <f>IFERROR(__xludf.DUMMYFUNCTION("""COMPUTED_VALUE"""),8.0)</f>
        <v>8</v>
      </c>
      <c r="C195" s="21" t="str">
        <f>IFERROR(__xludf.DUMMYFUNCTION("""COMPUTED_VALUE"""),"P1208")</f>
        <v>P1208</v>
      </c>
      <c r="D195" s="20" t="str">
        <f>IFERROR(__xludf.DUMMYFUNCTION("""COMPUTED_VALUE"""),"Bánh tráng trộn")</f>
        <v>Bánh tráng trộn</v>
      </c>
      <c r="E195" s="20" t="str">
        <f>IFERROR(__xludf.DUMMYFUNCTION("""COMPUTED_VALUE"""),"Vietnamese Spicy Rice Paper")</f>
        <v>Vietnamese Spicy Rice Paper</v>
      </c>
      <c r="F195" s="20" t="str">
        <f>IFERROR(__xludf.DUMMYFUNCTION("""COMPUTED_VALUE"""),"Vietnamese Spicy Rice Paper - Bánh tráng trộn")</f>
        <v>Vietnamese Spicy Rice Paper - Bánh tráng trộn</v>
      </c>
      <c r="G195" s="4"/>
      <c r="H195" s="22">
        <f>IFERROR(__xludf.DUMMYFUNCTION("""COMPUTED_VALUE"""),16.0)</f>
        <v>16</v>
      </c>
      <c r="I195" s="23">
        <f>IFERROR(__xludf.DUMMYFUNCTION("""COMPUTED_VALUE"""),18.5)</f>
        <v>18.5</v>
      </c>
      <c r="J195" s="20"/>
      <c r="K195" s="24" t="str">
        <f>IFERROR(__xludf.DUMMYFUNCTION("""COMPUTED_VALUE"""),"https://drive.google.com/file/d/1nGnlx5q5UbinlsvZHXLuWv81BFu420c1/view?usp=sharing")</f>
        <v>https://drive.google.com/file/d/1nGnlx5q5UbinlsvZHXLuWv81BFu420c1/view?usp=sharing</v>
      </c>
      <c r="L195" s="4" t="str">
        <f>IFERROR(__xludf.DUMMYFUNCTION("""COMPUTED_VALUE"""),"with dried chicken ")</f>
        <v>with dried chicken 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0" t="str">
        <f>IFERROR(__xludf.DUMMYFUNCTION("""COMPUTED_VALUE"""),"12.CABRA FOODS")</f>
        <v>12.CABRA FOODS</v>
      </c>
      <c r="B196" s="21">
        <f>IFERROR(__xludf.DUMMYFUNCTION("""COMPUTED_VALUE"""),9.0)</f>
        <v>9</v>
      </c>
      <c r="C196" s="21" t="str">
        <f>IFERROR(__xludf.DUMMYFUNCTION("""COMPUTED_VALUE"""),"P1209")</f>
        <v>P1209</v>
      </c>
      <c r="D196" s="20" t="str">
        <f>IFERROR(__xludf.DUMMYFUNCTION("""COMPUTED_VALUE"""),"Bánh tráng cuốn bơ")</f>
        <v>Bánh tráng cuốn bơ</v>
      </c>
      <c r="E196" s="20" t="str">
        <f>IFERROR(__xludf.DUMMYFUNCTION("""COMPUTED_VALUE"""),"Vietnamese Rice Paper Rolls")</f>
        <v>Vietnamese Rice Paper Rolls</v>
      </c>
      <c r="F196" s="20" t="str">
        <f>IFERROR(__xludf.DUMMYFUNCTION("""COMPUTED_VALUE"""),"Vietnamese Rice Paper Rolls - Bánh tráng cuốn bơ")</f>
        <v>Vietnamese Rice Paper Rolls - Bánh tráng cuốn bơ</v>
      </c>
      <c r="G196" s="20" t="str">
        <f>IFERROR(__xludf.DUMMYFUNCTION("""COMPUTED_VALUE"""),"3 rolls")</f>
        <v>3 rolls</v>
      </c>
      <c r="H196" s="22">
        <f>IFERROR(__xludf.DUMMYFUNCTION("""COMPUTED_VALUE"""),17.0)</f>
        <v>17</v>
      </c>
      <c r="I196" s="23">
        <f>IFERROR(__xludf.DUMMYFUNCTION("""COMPUTED_VALUE"""),19.5)</f>
        <v>19.5</v>
      </c>
      <c r="J196" s="20"/>
      <c r="K196" s="24" t="str">
        <f>IFERROR(__xludf.DUMMYFUNCTION("""COMPUTED_VALUE"""),"https://drive.google.com/file/d/1VrPAsZ14MtROq4jCvQFMSL3k14TynXOo/view?usp=sharing")</f>
        <v>https://drive.google.com/file/d/1VrPAsZ14MtROq4jCvQFMSL3k14TynXOo/view?usp=sharing</v>
      </c>
      <c r="L196" s="4" t="str">
        <f>IFERROR(__xludf.DUMMYFUNCTION("""COMPUTED_VALUE"""),"dried chicken &amp; peanuts")</f>
        <v>dried chicken &amp; peanuts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0" t="str">
        <f>IFERROR(__xludf.DUMMYFUNCTION("""COMPUTED_VALUE"""),"12.CABRA FOODS")</f>
        <v>12.CABRA FOODS</v>
      </c>
      <c r="B197" s="25"/>
      <c r="C197" s="25"/>
      <c r="D197" s="20" t="str">
        <f>IFERROR(__xludf.DUMMYFUNCTION("""COMPUTED_VALUE"""),"Bánh tráng cuốn bơ")</f>
        <v>Bánh tráng cuốn bơ</v>
      </c>
      <c r="E197" s="20" t="str">
        <f>IFERROR(__xludf.DUMMYFUNCTION("""COMPUTED_VALUE"""),"Vietnamese Rice Paper Rolls")</f>
        <v>Vietnamese Rice Paper Rolls</v>
      </c>
      <c r="F197" s="20" t="str">
        <f>IFERROR(__xludf.DUMMYFUNCTION("""COMPUTED_VALUE"""),"Vietnamese Rice Paper Rolls - Bánh tráng cuốn bơ")</f>
        <v>Vietnamese Rice Paper Rolls - Bánh tráng cuốn bơ</v>
      </c>
      <c r="G197" s="20" t="str">
        <f>IFERROR(__xludf.DUMMYFUNCTION("""COMPUTED_VALUE"""),"4 rolls")</f>
        <v>4 rolls</v>
      </c>
      <c r="H197" s="22">
        <f>IFERROR(__xludf.DUMMYFUNCTION("""COMPUTED_VALUE"""),19.0)</f>
        <v>19</v>
      </c>
      <c r="I197" s="23">
        <f>IFERROR(__xludf.DUMMYFUNCTION("""COMPUTED_VALUE"""),21.9)</f>
        <v>21.9</v>
      </c>
      <c r="J197" s="20"/>
      <c r="K197" s="26"/>
      <c r="L197" s="4" t="str">
        <f>IFERROR(__xludf.DUMMYFUNCTION("""COMPUTED_VALUE"""),"dried chicken &amp; peanuts")</f>
        <v>dried chicken &amp; peanuts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0" t="str">
        <f>IFERROR(__xludf.DUMMYFUNCTION("""COMPUTED_VALUE"""),"12.CABRA FOODS")</f>
        <v>12.CABRA FOODS</v>
      </c>
      <c r="B198" s="21">
        <f>IFERROR(__xludf.DUMMYFUNCTION("""COMPUTED_VALUE"""),10.0)</f>
        <v>10</v>
      </c>
      <c r="C198" s="21" t="str">
        <f>IFERROR(__xludf.DUMMYFUNCTION("""COMPUTED_VALUE"""),"P1210")</f>
        <v>P1210</v>
      </c>
      <c r="D198" s="20" t="str">
        <f>IFERROR(__xludf.DUMMYFUNCTION("""COMPUTED_VALUE"""),"COMBO CHIÊN")</f>
        <v>COMBO CHIÊN</v>
      </c>
      <c r="E198" s="20" t="str">
        <f>IFERROR(__xludf.DUMMYFUNCTION("""COMPUTED_VALUE"""),"FRIED COMBO")</f>
        <v>FRIED COMBO</v>
      </c>
      <c r="F198" s="20" t="str">
        <f>IFERROR(__xludf.DUMMYFUNCTION("""COMPUTED_VALUE"""),"FRIED COMBO - COMBO CHIÊN")</f>
        <v>FRIED COMBO - COMBO CHIÊN</v>
      </c>
      <c r="G198" s="4"/>
      <c r="H198" s="22">
        <f>IFERROR(__xludf.DUMMYFUNCTION("""COMPUTED_VALUE"""),27.4)</f>
        <v>27.4</v>
      </c>
      <c r="I198" s="23">
        <f>IFERROR(__xludf.DUMMYFUNCTION("""COMPUTED_VALUE"""),31.5)</f>
        <v>31.5</v>
      </c>
      <c r="J198" s="20"/>
      <c r="K198" s="24" t="str">
        <f>IFERROR(__xludf.DUMMYFUNCTION("""COMPUTED_VALUE"""),"https://drive.google.com/file/d/1dTPFhZxBC78kILOy3Ax6sXQdsXENuiF-/view?usp=sharing")</f>
        <v>https://drive.google.com/file/d/1dTPFhZxBC78kILOy3Ax6sXQdsXENuiF-/view?usp=sharing</v>
      </c>
      <c r="L198" s="4" t="str">
        <f>IFERROR(__xludf.DUMMYFUNCTION("""COMPUTED_VALUE"""),"4 fish balls + 4 beef balls + 4 shrimp balls + 1 Chinese sausage + 1 glass of lemon tea")</f>
        <v>4 fish balls + 4 beef balls + 4 shrimp balls + 1 Chinese sausage + 1 glass of lemon tea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0" t="str">
        <f>IFERROR(__xludf.DUMMYFUNCTION("""COMPUTED_VALUE"""),"12.CABRA FOODS")</f>
        <v>12.CABRA FOODS</v>
      </c>
      <c r="B199" s="21">
        <f>IFERROR(__xludf.DUMMYFUNCTION("""COMPUTED_VALUE"""),11.0)</f>
        <v>11</v>
      </c>
      <c r="C199" s="21" t="str">
        <f>IFERROR(__xludf.DUMMYFUNCTION("""COMPUTED_VALUE"""),"P1211")</f>
        <v>P1211</v>
      </c>
      <c r="D199" s="20" t="str">
        <f>IFERROR(__xludf.DUMMYFUNCTION("""COMPUTED_VALUE"""),"COMBO BÁNH TRÁNG")</f>
        <v>COMBO BÁNH TRÁNG</v>
      </c>
      <c r="E199" s="20" t="str">
        <f>IFERROR(__xludf.DUMMYFUNCTION("""COMPUTED_VALUE"""),"RICE PAPERS COMBO")</f>
        <v>RICE PAPERS COMBO</v>
      </c>
      <c r="F199" s="20" t="str">
        <f>IFERROR(__xludf.DUMMYFUNCTION("""COMPUTED_VALUE"""),"RICE PAPERS COMBO - COMBO BÁNH TRÁNG")</f>
        <v>RICE PAPERS COMBO - COMBO BÁNH TRÁNG</v>
      </c>
      <c r="G199" s="4"/>
      <c r="H199" s="22">
        <f>IFERROR(__xludf.DUMMYFUNCTION("""COMPUTED_VALUE"""),31.9)</f>
        <v>31.9</v>
      </c>
      <c r="I199" s="23">
        <f>IFERROR(__xludf.DUMMYFUNCTION("""COMPUTED_VALUE"""),36.5)</f>
        <v>36.5</v>
      </c>
      <c r="J199" s="20"/>
      <c r="K199" s="24" t="str">
        <f>IFERROR(__xludf.DUMMYFUNCTION("""COMPUTED_VALUE"""),"https://drive.google.com/file/d/1v1DWLeTaYz08Kjq3I36LoStkfFfjnZi3/view?usp=sharing")</f>
        <v>https://drive.google.com/file/d/1v1DWLeTaYz08Kjq3I36LoStkfFfjnZi3/view?usp=sharing</v>
      </c>
      <c r="L199" s="4" t="str">
        <f>IFERROR(__xludf.DUMMYFUNCTION("""COMPUTED_VALUE"""),"Mixed rice paper salad + Rice paper rolls + 1 glass of lemon tea")</f>
        <v>Mixed rice paper salad + Rice paper rolls + 1 glass of lemon tea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0" t="str">
        <f>IFERROR(__xludf.DUMMYFUNCTION("""COMPUTED_VALUE"""),"12.CABRA FOODS")</f>
        <v>12.CABRA FOODS</v>
      </c>
      <c r="B200" s="21">
        <f>IFERROR(__xludf.DUMMYFUNCTION("""COMPUTED_VALUE"""),12.0)</f>
        <v>12</v>
      </c>
      <c r="C200" s="21" t="str">
        <f>IFERROR(__xludf.DUMMYFUNCTION("""COMPUTED_VALUE"""),"P1212")</f>
        <v>P1212</v>
      </c>
      <c r="D200" s="20" t="str">
        <f>IFERROR(__xludf.DUMMYFUNCTION("""COMPUTED_VALUE"""),"FISH &amp; CHIPS")</f>
        <v>FISH &amp; CHIPS</v>
      </c>
      <c r="E200" s="20" t="str">
        <f>IFERROR(__xludf.DUMMYFUNCTION("""COMPUTED_VALUE"""),"FISH &amp; CHIPS")</f>
        <v>FISH &amp; CHIPS</v>
      </c>
      <c r="F200" s="20" t="str">
        <f>IFERROR(__xludf.DUMMYFUNCTION("""COMPUTED_VALUE"""),"FISH &amp; CHIPS - FISH &amp; CHIPS")</f>
        <v>FISH &amp; CHIPS - FISH &amp; CHIPS</v>
      </c>
      <c r="G200" s="4"/>
      <c r="H200" s="22">
        <f>IFERROR(__xludf.DUMMYFUNCTION("""COMPUTED_VALUE"""),15.0)</f>
        <v>15</v>
      </c>
      <c r="I200" s="23">
        <f>IFERROR(__xludf.DUMMYFUNCTION("""COMPUTED_VALUE"""),17.5)</f>
        <v>17.5</v>
      </c>
      <c r="J200" s="20"/>
      <c r="K200" s="24" t="str">
        <f>IFERROR(__xludf.DUMMYFUNCTION("""COMPUTED_VALUE"""),"https://drive.google.com/file/d/129lH2GfJc0o11GVM4MjC-ZsqJRZhUMS9/view?usp=sharing")</f>
        <v>https://drive.google.com/file/d/129lH2GfJc0o11GVM4MjC-ZsqJRZhUMS9/view?usp=sharing</v>
      </c>
      <c r="L200" s="4" t="str">
        <f>IFERROR(__xludf.DUMMYFUNCTION("""COMPUTED_VALUE"""),"3 pcs fishes + chips 
with tartar &amp; sweet chilli sauce")</f>
        <v>3 pcs fishes + chips 
with tartar &amp; sweet chilli sauce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0" t="str">
        <f>IFERROR(__xludf.DUMMYFUNCTION("""COMPUTED_VALUE"""),"12.CABRA FOODS")</f>
        <v>12.CABRA FOODS</v>
      </c>
      <c r="B201" s="21">
        <f>IFERROR(__xludf.DUMMYFUNCTION("""COMPUTED_VALUE"""),13.0)</f>
        <v>13</v>
      </c>
      <c r="C201" s="21" t="str">
        <f>IFERROR(__xludf.DUMMYFUNCTION("""COMPUTED_VALUE"""),"P1213")</f>
        <v>P1213</v>
      </c>
      <c r="D201" s="20" t="str">
        <f>IFERROR(__xludf.DUMMYFUNCTION("""COMPUTED_VALUE"""),"Khoai tây chiên")</f>
        <v>Khoai tây chiên</v>
      </c>
      <c r="E201" s="20" t="str">
        <f>IFERROR(__xludf.DUMMYFUNCTION("""COMPUTED_VALUE"""),"POTATO")</f>
        <v>POTATO</v>
      </c>
      <c r="F201" s="20" t="str">
        <f>IFERROR(__xludf.DUMMYFUNCTION("""COMPUTED_VALUE"""),"POTATO - Khoai tây chiên")</f>
        <v>POTATO - Khoai tây chiên</v>
      </c>
      <c r="G201" s="4"/>
      <c r="H201" s="22">
        <f>IFERROR(__xludf.DUMMYFUNCTION("""COMPUTED_VALUE"""),8.9)</f>
        <v>8.9</v>
      </c>
      <c r="I201" s="23">
        <f>IFERROR(__xludf.DUMMYFUNCTION("""COMPUTED_VALUE"""),10.5)</f>
        <v>10.5</v>
      </c>
      <c r="J201" s="20"/>
      <c r="K201" s="26" t="str">
        <f>IFERROR(__xludf.DUMMYFUNCTION("""COMPUTED_VALUE"""),"KHÔNG CẦN HÌNH")</f>
        <v>KHÔNG CẦN HÌNH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0" t="str">
        <f>IFERROR(__xludf.DUMMYFUNCTION("""COMPUTED_VALUE"""),"12.CABRA FOODS")</f>
        <v>12.CABRA FOODS</v>
      </c>
      <c r="B202" s="21">
        <f>IFERROR(__xludf.DUMMYFUNCTION("""COMPUTED_VALUE"""),14.0)</f>
        <v>14</v>
      </c>
      <c r="C202" s="21" t="str">
        <f>IFERROR(__xludf.DUMMYFUNCTION("""COMPUTED_VALUE"""),"P1214")</f>
        <v>P1214</v>
      </c>
      <c r="D202" s="20" t="str">
        <f>IFERROR(__xludf.DUMMYFUNCTION("""COMPUTED_VALUE"""),"khoai lang chiên")</f>
        <v>khoai lang chiên</v>
      </c>
      <c r="E202" s="20" t="str">
        <f>IFERROR(__xludf.DUMMYFUNCTION("""COMPUTED_VALUE"""),"SWEET POTATO")</f>
        <v>SWEET POTATO</v>
      </c>
      <c r="F202" s="20" t="str">
        <f>IFERROR(__xludf.DUMMYFUNCTION("""COMPUTED_VALUE"""),"SWEET POTATO - khoai lang chiên")</f>
        <v>SWEET POTATO - khoai lang chiên</v>
      </c>
      <c r="G202" s="4"/>
      <c r="H202" s="22">
        <f>IFERROR(__xludf.DUMMYFUNCTION("""COMPUTED_VALUE"""),11.9)</f>
        <v>11.9</v>
      </c>
      <c r="I202" s="23">
        <f>IFERROR(__xludf.DUMMYFUNCTION("""COMPUTED_VALUE"""),13.5)</f>
        <v>13.5</v>
      </c>
      <c r="J202" s="4"/>
      <c r="K202" s="2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0" t="str">
        <f>IFERROR(__xludf.DUMMYFUNCTION("""COMPUTED_VALUE"""),"12.CABRA FOODS")</f>
        <v>12.CABRA FOODS</v>
      </c>
      <c r="B203" s="21">
        <f>IFERROR(__xludf.DUMMYFUNCTION("""COMPUTED_VALUE"""),15.0)</f>
        <v>15</v>
      </c>
      <c r="C203" s="21" t="str">
        <f>IFERROR(__xludf.DUMMYFUNCTION("""COMPUTED_VALUE"""),"P1215")</f>
        <v>P1215</v>
      </c>
      <c r="D203" s="20" t="str">
        <f>IFERROR(__xludf.DUMMYFUNCTION("""COMPUTED_VALUE"""),"Khoai tây chiên")</f>
        <v>Khoai tây chiên</v>
      </c>
      <c r="E203" s="20" t="str">
        <f>IFERROR(__xludf.DUMMYFUNCTION("""COMPUTED_VALUE"""),"Wedgeds")</f>
        <v>Wedgeds</v>
      </c>
      <c r="F203" s="20" t="str">
        <f>IFERROR(__xludf.DUMMYFUNCTION("""COMPUTED_VALUE"""),"Wedgeds - Khoai tây chiên")</f>
        <v>Wedgeds - Khoai tây chiên</v>
      </c>
      <c r="G203" s="4"/>
      <c r="H203" s="22">
        <f>IFERROR(__xludf.DUMMYFUNCTION("""COMPUTED_VALUE"""),11.0)</f>
        <v>11</v>
      </c>
      <c r="I203" s="23">
        <f>IFERROR(__xludf.DUMMYFUNCTION("""COMPUTED_VALUE"""),12.5)</f>
        <v>12.5</v>
      </c>
      <c r="J203" s="4"/>
      <c r="K203" s="2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0" t="str">
        <f>IFERROR(__xludf.DUMMYFUNCTION("""COMPUTED_VALUE"""),"12.CABRA FOODS")</f>
        <v>12.CABRA FOODS</v>
      </c>
      <c r="B204" s="21">
        <f>IFERROR(__xludf.DUMMYFUNCTION("""COMPUTED_VALUE"""),16.0)</f>
        <v>16</v>
      </c>
      <c r="C204" s="21" t="str">
        <f>IFERROR(__xludf.DUMMYFUNCTION("""COMPUTED_VALUE"""),"P1216")</f>
        <v>P1216</v>
      </c>
      <c r="D204" s="4"/>
      <c r="E204" s="20" t="str">
        <f>IFERROR(__xludf.DUMMYFUNCTION("""COMPUTED_VALUE"""),"MINI CHURROS")</f>
        <v>MINI CHURROS</v>
      </c>
      <c r="F204" s="20" t="str">
        <f>IFERROR(__xludf.DUMMYFUNCTION("""COMPUTED_VALUE"""),"MINI CHURROS - ")</f>
        <v>MINI CHURROS - </v>
      </c>
      <c r="G204" s="20" t="str">
        <f>IFERROR(__xludf.DUMMYFUNCTION("""COMPUTED_VALUE"""),"6pcs")</f>
        <v>6pcs</v>
      </c>
      <c r="H204" s="22">
        <f>IFERROR(__xludf.DUMMYFUNCTION("""COMPUTED_VALUE"""),11.9)</f>
        <v>11.9</v>
      </c>
      <c r="I204" s="23">
        <f>IFERROR(__xludf.DUMMYFUNCTION("""COMPUTED_VALUE"""),13.5)</f>
        <v>13.5</v>
      </c>
      <c r="J204" s="20"/>
      <c r="K204" s="26"/>
      <c r="L204" s="4" t="str">
        <f>IFERROR(__xludf.DUMMYFUNCTION("""COMPUTED_VALUE"""),"chocolate sauce")</f>
        <v>chocolate sauce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0" t="str">
        <f>IFERROR(__xludf.DUMMYFUNCTION("""COMPUTED_VALUE"""),"12.CABRA FOODS")</f>
        <v>12.CABRA FOODS</v>
      </c>
      <c r="B205" s="21">
        <f>IFERROR(__xludf.DUMMYFUNCTION("""COMPUTED_VALUE"""),17.0)</f>
        <v>17</v>
      </c>
      <c r="C205" s="21" t="str">
        <f>IFERROR(__xludf.DUMMYFUNCTION("""COMPUTED_VALUE"""),"P1217")</f>
        <v>P1217</v>
      </c>
      <c r="D205" s="4"/>
      <c r="E205" s="20" t="str">
        <f>IFERROR(__xludf.DUMMYFUNCTION("""COMPUTED_VALUE"""),"COMBO CHIPS 1 ")</f>
        <v>COMBO CHIPS 1 </v>
      </c>
      <c r="F205" s="4" t="str">
        <f>IFERROR(__xludf.DUMMYFUNCTION("""COMPUTED_VALUE"""),"COMBO CHIPS 1 ")</f>
        <v>COMBO CHIPS 1 </v>
      </c>
      <c r="G205" s="4"/>
      <c r="H205" s="22">
        <f>IFERROR(__xludf.DUMMYFUNCTION("""COMPUTED_VALUE"""),21.9)</f>
        <v>21.9</v>
      </c>
      <c r="I205" s="23">
        <f>IFERROR(__xludf.DUMMYFUNCTION("""COMPUTED_VALUE"""),24.9)</f>
        <v>24.9</v>
      </c>
      <c r="J205" s="20"/>
      <c r="K205" s="24" t="str">
        <f>IFERROR(__xludf.DUMMYFUNCTION("""COMPUTED_VALUE"""),"https://drive.google.com/file/d/14NPnRmil7cRetG3HES6qX7SLLDyxV7tV/view?usp=sharing")</f>
        <v>https://drive.google.com/file/d/14NPnRmil7cRetG3HES6qX7SLLDyxV7tV/view?usp=sharing</v>
      </c>
      <c r="L205" s="4" t="str">
        <f>IFERROR(__xludf.DUMMYFUNCTION("""COMPUTED_VALUE"""),"2pcs of fish chips, wedges, sweet potato chips w mayo , sweet chillie and tarta sauce")</f>
        <v>2pcs of fish chips, wedges, sweet potato chips w mayo , sweet chillie and tarta sauce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0" t="str">
        <f>IFERROR(__xludf.DUMMYFUNCTION("""COMPUTED_VALUE"""),"12.CABRA FOODS")</f>
        <v>12.CABRA FOODS</v>
      </c>
      <c r="B206" s="21">
        <f>IFERROR(__xludf.DUMMYFUNCTION("""COMPUTED_VALUE"""),18.0)</f>
        <v>18</v>
      </c>
      <c r="C206" s="21" t="str">
        <f>IFERROR(__xludf.DUMMYFUNCTION("""COMPUTED_VALUE"""),"P1218")</f>
        <v>P1218</v>
      </c>
      <c r="D206" s="4"/>
      <c r="E206" s="20" t="str">
        <f>IFERROR(__xludf.DUMMYFUNCTION("""COMPUTED_VALUE"""),"COMBO CHIPS 2")</f>
        <v>COMBO CHIPS 2</v>
      </c>
      <c r="F206" s="4" t="str">
        <f>IFERROR(__xludf.DUMMYFUNCTION("""COMPUTED_VALUE"""),"COMBO CHIPS 2")</f>
        <v>COMBO CHIPS 2</v>
      </c>
      <c r="G206" s="4"/>
      <c r="H206" s="22">
        <f>IFERROR(__xludf.DUMMYFUNCTION("""COMPUTED_VALUE"""),18.9)</f>
        <v>18.9</v>
      </c>
      <c r="I206" s="23">
        <f>IFERROR(__xludf.DUMMYFUNCTION("""COMPUTED_VALUE"""),21.9)</f>
        <v>21.9</v>
      </c>
      <c r="J206" s="20"/>
      <c r="K206" s="24" t="str">
        <f>IFERROR(__xludf.DUMMYFUNCTION("""COMPUTED_VALUE"""),"https://drive.google.com/file/d/10dfFRp-YLMCBnm_YjQR9-xiKtrzjDy_r/view?usp=sharing")</f>
        <v>https://drive.google.com/file/d/10dfFRp-YLMCBnm_YjQR9-xiKtrzjDy_r/view?usp=sharing</v>
      </c>
      <c r="L206" s="4" t="str">
        <f>IFERROR(__xludf.DUMMYFUNCTION("""COMPUTED_VALUE"""),"sweet potato chips, potato chips w mayo and sweet chillie
4pcs churros w matcha or choco sauce")</f>
        <v>sweet potato chips, potato chips w mayo and sweet chillie
4pcs churros w matcha or choco sauce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0" t="str">
        <f>IFERROR(__xludf.DUMMYFUNCTION("""COMPUTED_VALUE"""),"12.CABRA FOODS")</f>
        <v>12.CABRA FOODS</v>
      </c>
      <c r="B207" s="21">
        <f>IFERROR(__xludf.DUMMYFUNCTION("""COMPUTED_VALUE"""),19.0)</f>
        <v>19</v>
      </c>
      <c r="C207" s="21" t="str">
        <f>IFERROR(__xludf.DUMMYFUNCTION("""COMPUTED_VALUE"""),"P1219")</f>
        <v>P1219</v>
      </c>
      <c r="D207" s="20" t="str">
        <f>IFERROR(__xludf.DUMMYFUNCTION("""COMPUTED_VALUE"""),"Nghêu Hấp Xả")</f>
        <v>Nghêu Hấp Xả</v>
      </c>
      <c r="E207" s="20" t="str">
        <f>IFERROR(__xludf.DUMMYFUNCTION("""COMPUTED_VALUE"""),"Lemongrass Babyclamps")</f>
        <v>Lemongrass Babyclamps</v>
      </c>
      <c r="F207" s="20" t="str">
        <f>IFERROR(__xludf.DUMMYFUNCTION("""COMPUTED_VALUE"""),"Lemongrass Babyclamps - Nghêu Hấp Xả")</f>
        <v>Lemongrass Babyclamps - Nghêu Hấp Xả</v>
      </c>
      <c r="G207" s="4"/>
      <c r="H207" s="22">
        <f>IFERROR(__xludf.DUMMYFUNCTION("""COMPUTED_VALUE"""),18.5)</f>
        <v>18.5</v>
      </c>
      <c r="I207" s="23">
        <f>IFERROR(__xludf.DUMMYFUNCTION("""COMPUTED_VALUE"""),21.5)</f>
        <v>21.5</v>
      </c>
      <c r="J207" s="20"/>
      <c r="K207" s="24" t="str">
        <f>IFERROR(__xludf.DUMMYFUNCTION("""COMPUTED_VALUE"""),"https://drive.google.com/file/d/1dP8MSgOZabx-z-pljCARjNgDJrC57-6y/view?usp=sharing")</f>
        <v>https://drive.google.com/file/d/1dP8MSgOZabx-z-pljCARjNgDJrC57-6y/view?usp=sharing</v>
      </c>
      <c r="L207" s="4" t="str">
        <f>IFERROR(__xludf.DUMMYFUNCTION("""COMPUTED_VALUE"""),"Baby clamps with Lemongrass")</f>
        <v>Baby clamps with Lemongrass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0" t="str">
        <f>IFERROR(__xludf.DUMMYFUNCTION("""COMPUTED_VALUE"""),"12.CABRA FOODS")</f>
        <v>12.CABRA FOODS</v>
      </c>
      <c r="B208" s="21">
        <f>IFERROR(__xludf.DUMMYFUNCTION("""COMPUTED_VALUE"""),20.0)</f>
        <v>20</v>
      </c>
      <c r="C208" s="21" t="str">
        <f>IFERROR(__xludf.DUMMYFUNCTION("""COMPUTED_VALUE"""),"P1220")</f>
        <v>P1220</v>
      </c>
      <c r="D208" s="20" t="str">
        <f>IFERROR(__xludf.DUMMYFUNCTION("""COMPUTED_VALUE"""),"Nghêu Hấp Thái")</f>
        <v>Nghêu Hấp Thái</v>
      </c>
      <c r="E208" s="20" t="str">
        <f>IFERROR(__xludf.DUMMYFUNCTION("""COMPUTED_VALUE"""),"Tomyum Babyclamps")</f>
        <v>Tomyum Babyclamps</v>
      </c>
      <c r="F208" s="20" t="str">
        <f>IFERROR(__xludf.DUMMYFUNCTION("""COMPUTED_VALUE"""),"Tomyum Babyclamps - Nghêu Hấp Thái")</f>
        <v>Tomyum Babyclamps - Nghêu Hấp Thái</v>
      </c>
      <c r="G208" s="4"/>
      <c r="H208" s="22">
        <f>IFERROR(__xludf.DUMMYFUNCTION("""COMPUTED_VALUE"""),18.5)</f>
        <v>18.5</v>
      </c>
      <c r="I208" s="23">
        <f>IFERROR(__xludf.DUMMYFUNCTION("""COMPUTED_VALUE"""),21.5)</f>
        <v>21.5</v>
      </c>
      <c r="J208" s="20"/>
      <c r="K208" s="24" t="str">
        <f>IFERROR(__xludf.DUMMYFUNCTION("""COMPUTED_VALUE"""),"https://drive.google.com/file/d/1OK118K_EVzOqU50Pn9gUe2sdjCXOxfFo/view?usp=sharing")</f>
        <v>https://drive.google.com/file/d/1OK118K_EVzOqU50Pn9gUe2sdjCXOxfFo/view?usp=sharing</v>
      </c>
      <c r="L208" s="4" t="str">
        <f>IFERROR(__xludf.DUMMYFUNCTION("""COMPUTED_VALUE"""),"Baby clamps with TomYum sauce")</f>
        <v>Baby clamps with TomYum sauce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0" t="str">
        <f>IFERROR(__xludf.DUMMYFUNCTION("""COMPUTED_VALUE"""),"12.CABRA FOODS")</f>
        <v>12.CABRA FOODS</v>
      </c>
      <c r="B209" s="21">
        <f>IFERROR(__xludf.DUMMYFUNCTION("""COMPUTED_VALUE"""),21.0)</f>
        <v>21</v>
      </c>
      <c r="C209" s="21" t="str">
        <f>IFERROR(__xludf.DUMMYFUNCTION("""COMPUTED_VALUE"""),"P1221")</f>
        <v>P1221</v>
      </c>
      <c r="D209" s="20" t="str">
        <f>IFERROR(__xludf.DUMMYFUNCTION("""COMPUTED_VALUE"""),"XÍU MẠI")</f>
        <v>XÍU MẠI</v>
      </c>
      <c r="E209" s="20" t="str">
        <f>IFERROR(__xludf.DUMMYFUNCTION("""COMPUTED_VALUE"""),"DIMSIM")</f>
        <v>DIMSIM</v>
      </c>
      <c r="F209" s="20" t="str">
        <f>IFERROR(__xludf.DUMMYFUNCTION("""COMPUTED_VALUE"""),"DIMSIM - XÍU MẠI")</f>
        <v>DIMSIM - XÍU MẠI</v>
      </c>
      <c r="G209" s="20" t="str">
        <f>IFERROR(__xludf.DUMMYFUNCTION("""COMPUTED_VALUE"""),"6PCS")</f>
        <v>6PCS</v>
      </c>
      <c r="H209" s="22">
        <f>IFERROR(__xludf.DUMMYFUNCTION("""COMPUTED_VALUE"""),8.4)</f>
        <v>8.4</v>
      </c>
      <c r="I209" s="23">
        <f>IFERROR(__xludf.DUMMYFUNCTION("""COMPUTED_VALUE"""),9.5)</f>
        <v>9.5</v>
      </c>
      <c r="J209" s="20"/>
      <c r="K209" s="24" t="str">
        <f>IFERROR(__xludf.DUMMYFUNCTION("""COMPUTED_VALUE"""),"https://drive.google.com/file/d/1YZreCDfAviTFg_yFHzS7JzvwEos8HTC4/view?usp=sharing")</f>
        <v>https://drive.google.com/file/d/1YZreCDfAviTFg_yFHzS7JzvwEos8HTC4/view?usp=sharing</v>
      </c>
      <c r="L209" s="4" t="str">
        <f>IFERROR(__xludf.DUMMYFUNCTION("""COMPUTED_VALUE"""),"w soy sauce")</f>
        <v>w soy sauce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0" t="str">
        <f>IFERROR(__xludf.DUMMYFUNCTION("""COMPUTED_VALUE"""),"12.CABRA FOODS")</f>
        <v>12.CABRA FOODS</v>
      </c>
      <c r="B210" s="21">
        <f>IFERROR(__xludf.DUMMYFUNCTION("""COMPUTED_VALUE"""),22.0)</f>
        <v>22</v>
      </c>
      <c r="C210" s="21" t="str">
        <f>IFERROR(__xludf.DUMMYFUNCTION("""COMPUTED_VALUE"""),"P1222")</f>
        <v>P1222</v>
      </c>
      <c r="D210" s="20" t="str">
        <f>IFERROR(__xludf.DUMMYFUNCTION("""COMPUTED_VALUE"""),"HÁ CẢO")</f>
        <v>HÁ CẢO</v>
      </c>
      <c r="E210" s="20" t="str">
        <f>IFERROR(__xludf.DUMMYFUNCTION("""COMPUTED_VALUE"""),"HAR GOW")</f>
        <v>HAR GOW</v>
      </c>
      <c r="F210" s="20" t="str">
        <f>IFERROR(__xludf.DUMMYFUNCTION("""COMPUTED_VALUE"""),"HAR GOW - HÁ CẢO")</f>
        <v>HAR GOW - HÁ CẢO</v>
      </c>
      <c r="G210" s="20" t="str">
        <f>IFERROR(__xludf.DUMMYFUNCTION("""COMPUTED_VALUE"""),"6PCS")</f>
        <v>6PCS</v>
      </c>
      <c r="H210" s="22">
        <f>IFERROR(__xludf.DUMMYFUNCTION("""COMPUTED_VALUE"""),8.4)</f>
        <v>8.4</v>
      </c>
      <c r="I210" s="23">
        <f>IFERROR(__xludf.DUMMYFUNCTION("""COMPUTED_VALUE"""),9.5)</f>
        <v>9.5</v>
      </c>
      <c r="J210" s="20"/>
      <c r="K210" s="24" t="str">
        <f>IFERROR(__xludf.DUMMYFUNCTION("""COMPUTED_VALUE"""),"https://drive.google.com/file/d/1qxQ9LtTBEbxwBrhYpuca-TGGe72UgqkR/view?usp=sharing")</f>
        <v>https://drive.google.com/file/d/1qxQ9LtTBEbxwBrhYpuca-TGGe72UgqkR/view?usp=sharing</v>
      </c>
      <c r="L210" s="4" t="str">
        <f>IFERROR(__xludf.DUMMYFUNCTION("""COMPUTED_VALUE"""),"w soy sauce")</f>
        <v>w soy sauce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0" t="str">
        <f>IFERROR(__xludf.DUMMYFUNCTION("""COMPUTED_VALUE"""),"12.CABRA FOODS")</f>
        <v>12.CABRA FOODS</v>
      </c>
      <c r="B211" s="21">
        <f>IFERROR(__xludf.DUMMYFUNCTION("""COMPUTED_VALUE"""),23.0)</f>
        <v>23</v>
      </c>
      <c r="C211" s="21" t="str">
        <f>IFERROR(__xludf.DUMMYFUNCTION("""COMPUTED_VALUE"""),"P1223")</f>
        <v>P1223</v>
      </c>
      <c r="D211" s="20" t="str">
        <f>IFERROR(__xludf.DUMMYFUNCTION("""COMPUTED_VALUE"""),"Bánh Tráng Nướng Đà Lạt")</f>
        <v>Bánh Tráng Nướng Đà Lạt</v>
      </c>
      <c r="E211" s="20" t="str">
        <f>IFERROR(__xludf.DUMMYFUNCTION("""COMPUTED_VALUE"""),"Special Grilled Rice Paper")</f>
        <v>Special Grilled Rice Paper</v>
      </c>
      <c r="F211" s="20" t="str">
        <f>IFERROR(__xludf.DUMMYFUNCTION("""COMPUTED_VALUE"""),"Special Grilled Rice Paper - Bánh Tráng Nướng Đà Lạt")</f>
        <v>Special Grilled Rice Paper - Bánh Tráng Nướng Đà Lạt</v>
      </c>
      <c r="G211" s="4"/>
      <c r="H211" s="22">
        <f>IFERROR(__xludf.DUMMYFUNCTION("""COMPUTED_VALUE"""),15.0)</f>
        <v>15</v>
      </c>
      <c r="I211" s="23">
        <f>IFERROR(__xludf.DUMMYFUNCTION("""COMPUTED_VALUE"""),17.5)</f>
        <v>17.5</v>
      </c>
      <c r="J211" s="20"/>
      <c r="K211" s="24" t="str">
        <f>IFERROR(__xludf.DUMMYFUNCTION("""COMPUTED_VALUE"""),"https://drive.google.com/file/d/1KFrjk-OH_Nxexa4pRB9wwddJPWxqRUp-/view?usp=drive_link")</f>
        <v>https://drive.google.com/file/d/1KFrjk-OH_Nxexa4pRB9wwddJPWxqRUp-/view?usp=drive_link</v>
      </c>
      <c r="L211" s="4" t="str">
        <f>IFERROR(__xludf.DUMMYFUNCTION("""COMPUTED_VALUE"""),"Quail eggs, pork floss, mayo sauce, egg oil sauce, scallion oil, sausage, dried shrimp.")</f>
        <v>Quail eggs, pork floss, mayo sauce, egg oil sauce, scallion oil, sausage, dried shrimp.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0" t="str">
        <f>IFERROR(__xludf.DUMMYFUNCTION("""COMPUTED_VALUE"""),"12.CABRA FOODS")</f>
        <v>12.CABRA FOODS</v>
      </c>
      <c r="B212" s="21">
        <f>IFERROR(__xludf.DUMMYFUNCTION("""COMPUTED_VALUE"""),24.0)</f>
        <v>24</v>
      </c>
      <c r="C212" s="21" t="str">
        <f>IFERROR(__xludf.DUMMYFUNCTION("""COMPUTED_VALUE"""),"P1224")</f>
        <v>P1224</v>
      </c>
      <c r="D212" s="20" t="str">
        <f>IFERROR(__xludf.DUMMYFUNCTION("""COMPUTED_VALUE"""),"Bánh Mì Nướng Muối Ớt")</f>
        <v>Bánh Mì Nướng Muối Ớt</v>
      </c>
      <c r="E212" s="20" t="str">
        <f>IFERROR(__xludf.DUMMYFUNCTION("""COMPUTED_VALUE"""),"Grilled Bread w Chilli Salt")</f>
        <v>Grilled Bread w Chilli Salt</v>
      </c>
      <c r="F212" s="20" t="str">
        <f>IFERROR(__xludf.DUMMYFUNCTION("""COMPUTED_VALUE"""),"Grilled Bread w Chilli Salt - Bánh Mì Nướng Muối Ớt")</f>
        <v>Grilled Bread w Chilli Salt - Bánh Mì Nướng Muối Ớt</v>
      </c>
      <c r="G212" s="4"/>
      <c r="H212" s="22">
        <f>IFERROR(__xludf.DUMMYFUNCTION("""COMPUTED_VALUE"""),16.5)</f>
        <v>16.5</v>
      </c>
      <c r="I212" s="23">
        <f>IFERROR(__xludf.DUMMYFUNCTION("""COMPUTED_VALUE"""),18.9)</f>
        <v>18.9</v>
      </c>
      <c r="J212" s="20"/>
      <c r="K212" s="24" t="str">
        <f>IFERROR(__xludf.DUMMYFUNCTION("""COMPUTED_VALUE"""),"https://drive.google.com/file/d/1vm_ZqJodJhc6q71SqzHuPcq5O-y4z6Hb/view?usp=drive_link")</f>
        <v>https://drive.google.com/file/d/1vm_ZqJodJhc6q71SqzHuPcq5O-y4z6Hb/view?usp=drive_link</v>
      </c>
      <c r="L212" s="4" t="str">
        <f>IFERROR(__xludf.DUMMYFUNCTION("""COMPUTED_VALUE"""),"Quail eggs, pork floss, mayo sauce, egg oil sauce, scallion oil, sausage, cucumber.")</f>
        <v>Quail eggs, pork floss, mayo sauce, egg oil sauce, scallion oil, sausage, cucumber.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0"/>
      <c r="B213" s="21"/>
      <c r="C213" s="25"/>
      <c r="D213" s="20"/>
      <c r="E213" s="20"/>
      <c r="F213" s="20"/>
      <c r="G213" s="4"/>
      <c r="H213" s="22"/>
      <c r="I213" s="23"/>
      <c r="J213" s="20"/>
      <c r="K213" s="2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0"/>
      <c r="B214" s="21"/>
      <c r="C214" s="25"/>
      <c r="D214" s="20"/>
      <c r="E214" s="20"/>
      <c r="F214" s="20"/>
      <c r="G214" s="20"/>
      <c r="H214" s="22"/>
      <c r="I214" s="23"/>
      <c r="J214" s="20"/>
      <c r="K214" s="2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0"/>
      <c r="B215" s="21"/>
      <c r="C215" s="25"/>
      <c r="D215" s="20"/>
      <c r="E215" s="20"/>
      <c r="F215" s="20"/>
      <c r="G215" s="20"/>
      <c r="H215" s="22"/>
      <c r="I215" s="23"/>
      <c r="J215" s="20"/>
      <c r="K215" s="2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0"/>
      <c r="B216" s="21"/>
      <c r="C216" s="25"/>
      <c r="D216" s="20"/>
      <c r="E216" s="20"/>
      <c r="F216" s="20"/>
      <c r="G216" s="20"/>
      <c r="H216" s="22"/>
      <c r="I216" s="23"/>
      <c r="J216" s="20"/>
      <c r="K216" s="2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0"/>
      <c r="B217" s="21"/>
      <c r="C217" s="25"/>
      <c r="D217" s="20"/>
      <c r="E217" s="20"/>
      <c r="F217" s="20"/>
      <c r="G217" s="20"/>
      <c r="H217" s="22"/>
      <c r="I217" s="23"/>
      <c r="J217" s="20"/>
      <c r="K217" s="2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0"/>
      <c r="B218" s="21"/>
      <c r="C218" s="25"/>
      <c r="D218" s="20"/>
      <c r="E218" s="20"/>
      <c r="F218" s="20"/>
      <c r="G218" s="20"/>
      <c r="H218" s="22"/>
      <c r="I218" s="23"/>
      <c r="J218" s="20"/>
      <c r="K218" s="2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0"/>
      <c r="B219" s="21"/>
      <c r="C219" s="25"/>
      <c r="D219" s="20"/>
      <c r="E219" s="20"/>
      <c r="F219" s="20"/>
      <c r="G219" s="20"/>
      <c r="H219" s="22"/>
      <c r="I219" s="23"/>
      <c r="J219" s="20"/>
      <c r="K219" s="2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0"/>
      <c r="B220" s="21"/>
      <c r="C220" s="25"/>
      <c r="D220" s="20"/>
      <c r="E220" s="20"/>
      <c r="F220" s="20"/>
      <c r="G220" s="4"/>
      <c r="H220" s="22"/>
      <c r="I220" s="23"/>
      <c r="J220" s="20"/>
      <c r="K220" s="2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0"/>
      <c r="B221" s="21"/>
      <c r="C221" s="25"/>
      <c r="D221" s="20"/>
      <c r="E221" s="20"/>
      <c r="F221" s="20"/>
      <c r="G221" s="20"/>
      <c r="H221" s="22"/>
      <c r="I221" s="23"/>
      <c r="J221" s="20"/>
      <c r="K221" s="2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0"/>
      <c r="B222" s="21"/>
      <c r="C222" s="25"/>
      <c r="D222" s="20"/>
      <c r="E222" s="20"/>
      <c r="F222" s="20"/>
      <c r="G222" s="20"/>
      <c r="H222" s="22"/>
      <c r="I222" s="23"/>
      <c r="J222" s="20"/>
      <c r="K222" s="2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0"/>
      <c r="B223" s="21"/>
      <c r="C223" s="25"/>
      <c r="D223" s="20"/>
      <c r="E223" s="20"/>
      <c r="F223" s="20"/>
      <c r="G223" s="4"/>
      <c r="H223" s="22"/>
      <c r="I223" s="23"/>
      <c r="J223" s="20"/>
      <c r="K223" s="2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0"/>
      <c r="B224" s="21"/>
      <c r="C224" s="25"/>
      <c r="D224" s="20"/>
      <c r="E224" s="20"/>
      <c r="F224" s="20"/>
      <c r="G224" s="4"/>
      <c r="H224" s="22"/>
      <c r="I224" s="23"/>
      <c r="J224" s="20"/>
      <c r="K224" s="2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0"/>
      <c r="B225" s="21"/>
      <c r="C225" s="25"/>
      <c r="D225" s="20"/>
      <c r="E225" s="20"/>
      <c r="F225" s="20"/>
      <c r="G225" s="4"/>
      <c r="H225" s="22"/>
      <c r="I225" s="23"/>
      <c r="J225" s="20"/>
      <c r="K225" s="2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0"/>
      <c r="B226" s="21"/>
      <c r="C226" s="25"/>
      <c r="D226" s="20"/>
      <c r="E226" s="20"/>
      <c r="F226" s="20"/>
      <c r="G226" s="4"/>
      <c r="H226" s="22"/>
      <c r="I226" s="23"/>
      <c r="J226" s="20"/>
      <c r="K226" s="2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0"/>
      <c r="B227" s="21"/>
      <c r="C227" s="25"/>
      <c r="D227" s="20"/>
      <c r="E227" s="20"/>
      <c r="F227" s="20"/>
      <c r="G227" s="4"/>
      <c r="H227" s="22"/>
      <c r="I227" s="23"/>
      <c r="J227" s="4"/>
      <c r="K227" s="2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0"/>
      <c r="B228" s="21"/>
      <c r="C228" s="25"/>
      <c r="D228" s="20"/>
      <c r="E228" s="20"/>
      <c r="F228" s="20"/>
      <c r="G228" s="4"/>
      <c r="H228" s="22"/>
      <c r="I228" s="23"/>
      <c r="J228" s="4"/>
      <c r="K228" s="2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0"/>
      <c r="B229" s="21"/>
      <c r="C229" s="25"/>
      <c r="D229" s="4"/>
      <c r="E229" s="20"/>
      <c r="F229" s="20"/>
      <c r="G229" s="4"/>
      <c r="H229" s="22"/>
      <c r="I229" s="23"/>
      <c r="J229" s="20"/>
      <c r="K229" s="2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0"/>
      <c r="B230" s="21"/>
      <c r="C230" s="25"/>
      <c r="D230" s="4"/>
      <c r="E230" s="20"/>
      <c r="F230" s="4"/>
      <c r="G230" s="4"/>
      <c r="H230" s="22"/>
      <c r="I230" s="23"/>
      <c r="J230" s="20"/>
      <c r="K230" s="2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0"/>
      <c r="B231" s="21"/>
      <c r="C231" s="25"/>
      <c r="D231" s="4"/>
      <c r="E231" s="20"/>
      <c r="F231" s="4"/>
      <c r="G231" s="4"/>
      <c r="H231" s="22"/>
      <c r="I231" s="23"/>
      <c r="J231" s="20"/>
      <c r="K231" s="2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0"/>
      <c r="B232" s="21"/>
      <c r="C232" s="25"/>
      <c r="D232" s="20"/>
      <c r="E232" s="20"/>
      <c r="F232" s="20"/>
      <c r="G232" s="4"/>
      <c r="H232" s="22"/>
      <c r="I232" s="23"/>
      <c r="J232" s="20"/>
      <c r="K232" s="2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0"/>
      <c r="B233" s="21"/>
      <c r="C233" s="25"/>
      <c r="D233" s="20"/>
      <c r="E233" s="20"/>
      <c r="F233" s="20"/>
      <c r="G233" s="4"/>
      <c r="H233" s="22"/>
      <c r="I233" s="23"/>
      <c r="J233" s="20"/>
      <c r="K233" s="2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0"/>
      <c r="B234" s="21"/>
      <c r="C234" s="25"/>
      <c r="D234" s="20"/>
      <c r="E234" s="20"/>
      <c r="F234" s="20"/>
      <c r="G234" s="20"/>
      <c r="H234" s="22"/>
      <c r="I234" s="23"/>
      <c r="J234" s="20"/>
      <c r="K234" s="2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0"/>
      <c r="B235" s="21"/>
      <c r="C235" s="25"/>
      <c r="D235" s="20"/>
      <c r="E235" s="20"/>
      <c r="F235" s="20"/>
      <c r="G235" s="20"/>
      <c r="H235" s="22"/>
      <c r="I235" s="23"/>
      <c r="J235" s="20"/>
      <c r="K235" s="2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25"/>
      <c r="C236" s="25"/>
      <c r="D236" s="4"/>
      <c r="E236" s="4"/>
      <c r="F236" s="4"/>
      <c r="G236" s="4"/>
      <c r="H236" s="25"/>
      <c r="I236" s="4"/>
      <c r="J236" s="4"/>
      <c r="K236" s="2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25"/>
      <c r="C237" s="25"/>
      <c r="D237" s="4"/>
      <c r="E237" s="4"/>
      <c r="F237" s="4"/>
      <c r="G237" s="4"/>
      <c r="H237" s="25"/>
      <c r="I237" s="4"/>
      <c r="J237" s="4"/>
      <c r="K237" s="2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25"/>
      <c r="C238" s="25"/>
      <c r="D238" s="4"/>
      <c r="E238" s="4"/>
      <c r="F238" s="4"/>
      <c r="G238" s="4"/>
      <c r="H238" s="25"/>
      <c r="I238" s="4"/>
      <c r="J238" s="4"/>
      <c r="K238" s="2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25"/>
      <c r="C239" s="25"/>
      <c r="D239" s="4"/>
      <c r="E239" s="4"/>
      <c r="F239" s="4"/>
      <c r="G239" s="4"/>
      <c r="H239" s="25"/>
      <c r="I239" s="4"/>
      <c r="J239" s="4"/>
      <c r="K239" s="2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25"/>
      <c r="C240" s="25"/>
      <c r="D240" s="4"/>
      <c r="E240" s="4"/>
      <c r="F240" s="4"/>
      <c r="G240" s="4"/>
      <c r="H240" s="25"/>
      <c r="I240" s="4"/>
      <c r="J240" s="4"/>
      <c r="K240" s="2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25"/>
      <c r="C241" s="25"/>
      <c r="D241" s="4"/>
      <c r="E241" s="4"/>
      <c r="F241" s="4"/>
      <c r="G241" s="4"/>
      <c r="H241" s="25"/>
      <c r="I241" s="4"/>
      <c r="J241" s="4"/>
      <c r="K241" s="2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25"/>
      <c r="C242" s="25"/>
      <c r="D242" s="4"/>
      <c r="E242" s="4"/>
      <c r="F242" s="4"/>
      <c r="G242" s="4"/>
      <c r="H242" s="25"/>
      <c r="I242" s="4"/>
      <c r="J242" s="4"/>
      <c r="K242" s="2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25"/>
      <c r="C243" s="25"/>
      <c r="D243" s="4"/>
      <c r="E243" s="4"/>
      <c r="F243" s="4"/>
      <c r="G243" s="4"/>
      <c r="H243" s="25"/>
      <c r="I243" s="4"/>
      <c r="J243" s="4"/>
      <c r="K243" s="2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25"/>
      <c r="C244" s="25"/>
      <c r="D244" s="4"/>
      <c r="E244" s="4"/>
      <c r="F244" s="4"/>
      <c r="G244" s="4"/>
      <c r="H244" s="25"/>
      <c r="I244" s="4"/>
      <c r="J244" s="4"/>
      <c r="K244" s="2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25"/>
      <c r="C245" s="25"/>
      <c r="D245" s="4"/>
      <c r="E245" s="4"/>
      <c r="F245" s="4"/>
      <c r="G245" s="4"/>
      <c r="H245" s="25"/>
      <c r="I245" s="4"/>
      <c r="J245" s="4"/>
      <c r="K245" s="2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25"/>
      <c r="C246" s="25"/>
      <c r="D246" s="4"/>
      <c r="E246" s="4"/>
      <c r="F246" s="4"/>
      <c r="G246" s="4"/>
      <c r="H246" s="25"/>
      <c r="I246" s="4"/>
      <c r="J246" s="4"/>
      <c r="K246" s="2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25"/>
      <c r="C247" s="25"/>
      <c r="D247" s="4"/>
      <c r="E247" s="4"/>
      <c r="F247" s="4"/>
      <c r="G247" s="4"/>
      <c r="H247" s="25"/>
      <c r="I247" s="4"/>
      <c r="J247" s="4"/>
      <c r="K247" s="2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25"/>
      <c r="C248" s="25"/>
      <c r="D248" s="4"/>
      <c r="E248" s="4"/>
      <c r="F248" s="4"/>
      <c r="G248" s="4"/>
      <c r="H248" s="25"/>
      <c r="I248" s="4"/>
      <c r="J248" s="4"/>
      <c r="K248" s="2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25"/>
      <c r="C249" s="25"/>
      <c r="D249" s="4"/>
      <c r="E249" s="4"/>
      <c r="F249" s="4"/>
      <c r="G249" s="4"/>
      <c r="H249" s="25"/>
      <c r="I249" s="4"/>
      <c r="J249" s="4"/>
      <c r="K249" s="2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25"/>
      <c r="C250" s="25"/>
      <c r="D250" s="4"/>
      <c r="E250" s="4"/>
      <c r="F250" s="4"/>
      <c r="G250" s="4"/>
      <c r="H250" s="25"/>
      <c r="I250" s="4"/>
      <c r="J250" s="4"/>
      <c r="K250" s="2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25"/>
      <c r="C251" s="25"/>
      <c r="D251" s="4"/>
      <c r="E251" s="4"/>
      <c r="F251" s="4"/>
      <c r="G251" s="4"/>
      <c r="H251" s="25"/>
      <c r="I251" s="4"/>
      <c r="J251" s="4"/>
      <c r="K251" s="2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25"/>
      <c r="C252" s="25"/>
      <c r="D252" s="4"/>
      <c r="E252" s="4"/>
      <c r="F252" s="4"/>
      <c r="G252" s="4"/>
      <c r="H252" s="25"/>
      <c r="I252" s="4"/>
      <c r="J252" s="4"/>
      <c r="K252" s="2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25"/>
      <c r="C253" s="25"/>
      <c r="D253" s="4"/>
      <c r="E253" s="4"/>
      <c r="F253" s="4"/>
      <c r="G253" s="4"/>
      <c r="H253" s="25"/>
      <c r="I253" s="4"/>
      <c r="J253" s="4"/>
      <c r="K253" s="2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25"/>
      <c r="C254" s="25"/>
      <c r="D254" s="4"/>
      <c r="E254" s="4"/>
      <c r="F254" s="4"/>
      <c r="G254" s="4"/>
      <c r="H254" s="25"/>
      <c r="I254" s="4"/>
      <c r="J254" s="4"/>
      <c r="K254" s="2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25"/>
      <c r="C255" s="25"/>
      <c r="D255" s="4"/>
      <c r="E255" s="4"/>
      <c r="F255" s="4"/>
      <c r="G255" s="4"/>
      <c r="H255" s="25"/>
      <c r="I255" s="4"/>
      <c r="J255" s="4"/>
      <c r="K255" s="2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25"/>
      <c r="C256" s="25"/>
      <c r="D256" s="4"/>
      <c r="E256" s="4"/>
      <c r="F256" s="4"/>
      <c r="G256" s="4"/>
      <c r="H256" s="25"/>
      <c r="I256" s="4"/>
      <c r="J256" s="4"/>
      <c r="K256" s="2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25"/>
      <c r="C257" s="25"/>
      <c r="D257" s="4"/>
      <c r="E257" s="4"/>
      <c r="F257" s="4"/>
      <c r="G257" s="4"/>
      <c r="H257" s="25"/>
      <c r="I257" s="4"/>
      <c r="J257" s="4"/>
      <c r="K257" s="2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25"/>
      <c r="C258" s="25"/>
      <c r="D258" s="4"/>
      <c r="E258" s="4"/>
      <c r="F258" s="4"/>
      <c r="G258" s="4"/>
      <c r="H258" s="25"/>
      <c r="I258" s="4"/>
      <c r="J258" s="4"/>
      <c r="K258" s="2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25"/>
      <c r="C259" s="25"/>
      <c r="D259" s="4"/>
      <c r="E259" s="4"/>
      <c r="F259" s="4"/>
      <c r="G259" s="4"/>
      <c r="H259" s="25"/>
      <c r="I259" s="4"/>
      <c r="J259" s="4"/>
      <c r="K259" s="2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25"/>
      <c r="C260" s="25"/>
      <c r="D260" s="4"/>
      <c r="E260" s="4"/>
      <c r="F260" s="4"/>
      <c r="G260" s="4"/>
      <c r="H260" s="25"/>
      <c r="I260" s="4"/>
      <c r="J260" s="4"/>
      <c r="K260" s="2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25"/>
      <c r="C261" s="25"/>
      <c r="D261" s="4"/>
      <c r="E261" s="4"/>
      <c r="F261" s="4"/>
      <c r="G261" s="4"/>
      <c r="H261" s="25"/>
      <c r="I261" s="4"/>
      <c r="J261" s="4"/>
      <c r="K261" s="2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25"/>
      <c r="C262" s="25"/>
      <c r="D262" s="4"/>
      <c r="E262" s="4"/>
      <c r="F262" s="4"/>
      <c r="G262" s="4"/>
      <c r="H262" s="25"/>
      <c r="I262" s="4"/>
      <c r="J262" s="4"/>
      <c r="K262" s="2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25"/>
      <c r="C263" s="25"/>
      <c r="D263" s="4"/>
      <c r="E263" s="4"/>
      <c r="F263" s="4"/>
      <c r="G263" s="4"/>
      <c r="H263" s="25"/>
      <c r="I263" s="4"/>
      <c r="J263" s="4"/>
      <c r="K263" s="2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25"/>
      <c r="C264" s="25"/>
      <c r="D264" s="4"/>
      <c r="E264" s="4"/>
      <c r="F264" s="4"/>
      <c r="G264" s="4"/>
      <c r="H264" s="25"/>
      <c r="I264" s="4"/>
      <c r="J264" s="4"/>
      <c r="K264" s="2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25"/>
      <c r="C265" s="25"/>
      <c r="D265" s="4"/>
      <c r="E265" s="4"/>
      <c r="F265" s="4"/>
      <c r="G265" s="4"/>
      <c r="H265" s="25"/>
      <c r="I265" s="4"/>
      <c r="J265" s="4"/>
      <c r="K265" s="2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25"/>
      <c r="C266" s="25"/>
      <c r="D266" s="4"/>
      <c r="E266" s="4"/>
      <c r="F266" s="4"/>
      <c r="G266" s="4"/>
      <c r="H266" s="25"/>
      <c r="I266" s="4"/>
      <c r="J266" s="4"/>
      <c r="K266" s="2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25"/>
      <c r="C267" s="25"/>
      <c r="D267" s="4"/>
      <c r="E267" s="4"/>
      <c r="F267" s="4"/>
      <c r="G267" s="4"/>
      <c r="H267" s="25"/>
      <c r="I267" s="4"/>
      <c r="J267" s="4"/>
      <c r="K267" s="2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25"/>
      <c r="C268" s="25"/>
      <c r="D268" s="4"/>
      <c r="E268" s="4"/>
      <c r="F268" s="4"/>
      <c r="G268" s="4"/>
      <c r="H268" s="25"/>
      <c r="I268" s="4"/>
      <c r="J268" s="4"/>
      <c r="K268" s="2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25"/>
      <c r="C269" s="25"/>
      <c r="D269" s="4"/>
      <c r="E269" s="4"/>
      <c r="F269" s="4"/>
      <c r="G269" s="4"/>
      <c r="H269" s="25"/>
      <c r="I269" s="4"/>
      <c r="J269" s="4"/>
      <c r="K269" s="2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25"/>
      <c r="C270" s="25"/>
      <c r="D270" s="4"/>
      <c r="E270" s="4"/>
      <c r="F270" s="4"/>
      <c r="G270" s="4"/>
      <c r="H270" s="25"/>
      <c r="I270" s="4"/>
      <c r="J270" s="4"/>
      <c r="K270" s="2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25"/>
      <c r="C271" s="25"/>
      <c r="D271" s="4"/>
      <c r="E271" s="4"/>
      <c r="F271" s="4"/>
      <c r="G271" s="4"/>
      <c r="H271" s="25"/>
      <c r="I271" s="4"/>
      <c r="J271" s="4"/>
      <c r="K271" s="2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25"/>
      <c r="C272" s="25"/>
      <c r="D272" s="4"/>
      <c r="E272" s="4"/>
      <c r="F272" s="4"/>
      <c r="G272" s="4"/>
      <c r="H272" s="25"/>
      <c r="I272" s="4"/>
      <c r="J272" s="4"/>
      <c r="K272" s="2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25"/>
      <c r="C273" s="25"/>
      <c r="D273" s="4"/>
      <c r="E273" s="4"/>
      <c r="F273" s="4"/>
      <c r="G273" s="4"/>
      <c r="H273" s="25"/>
      <c r="I273" s="4"/>
      <c r="J273" s="4"/>
      <c r="K273" s="2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25"/>
      <c r="C274" s="25"/>
      <c r="D274" s="4"/>
      <c r="E274" s="4"/>
      <c r="F274" s="4"/>
      <c r="G274" s="4"/>
      <c r="H274" s="25"/>
      <c r="I274" s="4"/>
      <c r="J274" s="4"/>
      <c r="K274" s="2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25"/>
      <c r="C275" s="25"/>
      <c r="D275" s="4"/>
      <c r="E275" s="4"/>
      <c r="F275" s="4"/>
      <c r="G275" s="4"/>
      <c r="H275" s="25"/>
      <c r="I275" s="4"/>
      <c r="J275" s="4"/>
      <c r="K275" s="2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25"/>
      <c r="C276" s="25"/>
      <c r="D276" s="4"/>
      <c r="E276" s="4"/>
      <c r="F276" s="4"/>
      <c r="G276" s="4"/>
      <c r="H276" s="25"/>
      <c r="I276" s="4"/>
      <c r="J276" s="4"/>
      <c r="K276" s="2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25"/>
      <c r="C277" s="25"/>
      <c r="D277" s="4"/>
      <c r="E277" s="4"/>
      <c r="F277" s="4"/>
      <c r="G277" s="4"/>
      <c r="H277" s="25"/>
      <c r="I277" s="4"/>
      <c r="J277" s="4"/>
      <c r="K277" s="2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25"/>
      <c r="C278" s="25"/>
      <c r="D278" s="4"/>
      <c r="E278" s="4"/>
      <c r="F278" s="4"/>
      <c r="G278" s="4"/>
      <c r="H278" s="25"/>
      <c r="I278" s="4"/>
      <c r="J278" s="4"/>
      <c r="K278" s="2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25"/>
      <c r="C279" s="25"/>
      <c r="D279" s="4"/>
      <c r="E279" s="4"/>
      <c r="F279" s="4"/>
      <c r="G279" s="4"/>
      <c r="H279" s="25"/>
      <c r="I279" s="4"/>
      <c r="J279" s="4"/>
      <c r="K279" s="2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25"/>
      <c r="C280" s="25"/>
      <c r="D280" s="4"/>
      <c r="E280" s="4"/>
      <c r="F280" s="4"/>
      <c r="G280" s="4"/>
      <c r="H280" s="25"/>
      <c r="I280" s="4"/>
      <c r="J280" s="4"/>
      <c r="K280" s="2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25"/>
      <c r="C281" s="25"/>
      <c r="D281" s="4"/>
      <c r="E281" s="4"/>
      <c r="F281" s="4"/>
      <c r="G281" s="4"/>
      <c r="H281" s="25"/>
      <c r="I281" s="4"/>
      <c r="J281" s="4"/>
      <c r="K281" s="2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25"/>
      <c r="C282" s="25"/>
      <c r="D282" s="4"/>
      <c r="E282" s="4"/>
      <c r="F282" s="4"/>
      <c r="G282" s="4"/>
      <c r="H282" s="25"/>
      <c r="I282" s="4"/>
      <c r="J282" s="4"/>
      <c r="K282" s="2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25"/>
      <c r="C283" s="25"/>
      <c r="D283" s="4"/>
      <c r="E283" s="4"/>
      <c r="F283" s="4"/>
      <c r="G283" s="4"/>
      <c r="H283" s="25"/>
      <c r="I283" s="4"/>
      <c r="J283" s="4"/>
      <c r="K283" s="2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25"/>
      <c r="C284" s="25"/>
      <c r="D284" s="4"/>
      <c r="E284" s="4"/>
      <c r="F284" s="4"/>
      <c r="G284" s="4"/>
      <c r="H284" s="25"/>
      <c r="I284" s="4"/>
      <c r="J284" s="4"/>
      <c r="K284" s="2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25"/>
      <c r="C285" s="25"/>
      <c r="D285" s="4"/>
      <c r="E285" s="4"/>
      <c r="F285" s="4"/>
      <c r="G285" s="4"/>
      <c r="H285" s="25"/>
      <c r="I285" s="4"/>
      <c r="J285" s="4"/>
      <c r="K285" s="2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25"/>
      <c r="C286" s="25"/>
      <c r="D286" s="4"/>
      <c r="E286" s="4"/>
      <c r="F286" s="4"/>
      <c r="G286" s="4"/>
      <c r="H286" s="25"/>
      <c r="I286" s="4"/>
      <c r="J286" s="4"/>
      <c r="K286" s="2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25"/>
      <c r="C287" s="25"/>
      <c r="D287" s="4"/>
      <c r="E287" s="4"/>
      <c r="F287" s="4"/>
      <c r="G287" s="4"/>
      <c r="H287" s="25"/>
      <c r="I287" s="4"/>
      <c r="J287" s="4"/>
      <c r="K287" s="2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25"/>
      <c r="C288" s="25"/>
      <c r="D288" s="4"/>
      <c r="E288" s="4"/>
      <c r="F288" s="4"/>
      <c r="G288" s="4"/>
      <c r="H288" s="25"/>
      <c r="I288" s="4"/>
      <c r="J288" s="4"/>
      <c r="K288" s="2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25"/>
      <c r="C289" s="25"/>
      <c r="D289" s="4"/>
      <c r="E289" s="4"/>
      <c r="F289" s="4"/>
      <c r="G289" s="4"/>
      <c r="H289" s="25"/>
      <c r="I289" s="4"/>
      <c r="J289" s="4"/>
      <c r="K289" s="2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25"/>
      <c r="C290" s="25"/>
      <c r="D290" s="4"/>
      <c r="E290" s="4"/>
      <c r="F290" s="4"/>
      <c r="G290" s="4"/>
      <c r="H290" s="25"/>
      <c r="I290" s="4"/>
      <c r="J290" s="4"/>
      <c r="K290" s="2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25"/>
      <c r="C291" s="25"/>
      <c r="D291" s="4"/>
      <c r="E291" s="4"/>
      <c r="F291" s="4"/>
      <c r="G291" s="4"/>
      <c r="H291" s="25"/>
      <c r="I291" s="4"/>
      <c r="J291" s="4"/>
      <c r="K291" s="2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25"/>
      <c r="C292" s="25"/>
      <c r="D292" s="4"/>
      <c r="E292" s="4"/>
      <c r="F292" s="4"/>
      <c r="G292" s="4"/>
      <c r="H292" s="25"/>
      <c r="I292" s="4"/>
      <c r="J292" s="4"/>
      <c r="K292" s="2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25"/>
      <c r="C293" s="25"/>
      <c r="D293" s="4"/>
      <c r="E293" s="4"/>
      <c r="F293" s="4"/>
      <c r="G293" s="4"/>
      <c r="H293" s="25"/>
      <c r="I293" s="4"/>
      <c r="J293" s="4"/>
      <c r="K293" s="2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25"/>
      <c r="C294" s="25"/>
      <c r="D294" s="4"/>
      <c r="E294" s="4"/>
      <c r="F294" s="4"/>
      <c r="G294" s="4"/>
      <c r="H294" s="25"/>
      <c r="I294" s="4"/>
      <c r="J294" s="4"/>
      <c r="K294" s="2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25"/>
      <c r="C295" s="25"/>
      <c r="D295" s="4"/>
      <c r="E295" s="4"/>
      <c r="F295" s="4"/>
      <c r="G295" s="4"/>
      <c r="H295" s="25"/>
      <c r="I295" s="4"/>
      <c r="J295" s="4"/>
      <c r="K295" s="2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25"/>
      <c r="C296" s="25"/>
      <c r="D296" s="4"/>
      <c r="E296" s="4"/>
      <c r="F296" s="4"/>
      <c r="G296" s="4"/>
      <c r="H296" s="25"/>
      <c r="I296" s="4"/>
      <c r="J296" s="4"/>
      <c r="K296" s="2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25"/>
      <c r="C297" s="25"/>
      <c r="D297" s="4"/>
      <c r="E297" s="4"/>
      <c r="F297" s="4"/>
      <c r="G297" s="4"/>
      <c r="H297" s="25"/>
      <c r="I297" s="4"/>
      <c r="J297" s="4"/>
      <c r="K297" s="2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25"/>
      <c r="C298" s="25"/>
      <c r="D298" s="4"/>
      <c r="E298" s="4"/>
      <c r="F298" s="4"/>
      <c r="G298" s="4"/>
      <c r="H298" s="25"/>
      <c r="I298" s="4"/>
      <c r="J298" s="4"/>
      <c r="K298" s="2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25"/>
      <c r="C299" s="25"/>
      <c r="D299" s="4"/>
      <c r="E299" s="4"/>
      <c r="F299" s="4"/>
      <c r="G299" s="4"/>
      <c r="H299" s="25"/>
      <c r="I299" s="4"/>
      <c r="J299" s="4"/>
      <c r="K299" s="2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25"/>
      <c r="C300" s="25"/>
      <c r="D300" s="4"/>
      <c r="E300" s="4"/>
      <c r="F300" s="4"/>
      <c r="G300" s="4"/>
      <c r="H300" s="25"/>
      <c r="I300" s="4"/>
      <c r="J300" s="4"/>
      <c r="K300" s="2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25"/>
      <c r="C301" s="25"/>
      <c r="D301" s="4"/>
      <c r="E301" s="4"/>
      <c r="F301" s="4"/>
      <c r="G301" s="4"/>
      <c r="H301" s="25"/>
      <c r="I301" s="4"/>
      <c r="J301" s="4"/>
      <c r="K301" s="2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25"/>
      <c r="C302" s="25"/>
      <c r="D302" s="4"/>
      <c r="E302" s="4"/>
      <c r="F302" s="4"/>
      <c r="G302" s="4"/>
      <c r="H302" s="25"/>
      <c r="I302" s="4"/>
      <c r="J302" s="4"/>
      <c r="K302" s="2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25"/>
      <c r="C303" s="25"/>
      <c r="D303" s="4"/>
      <c r="E303" s="4"/>
      <c r="F303" s="4"/>
      <c r="G303" s="4"/>
      <c r="H303" s="25"/>
      <c r="I303" s="4"/>
      <c r="J303" s="4"/>
      <c r="K303" s="2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25"/>
      <c r="C304" s="25"/>
      <c r="D304" s="4"/>
      <c r="E304" s="4"/>
      <c r="F304" s="4"/>
      <c r="G304" s="4"/>
      <c r="H304" s="25"/>
      <c r="I304" s="4"/>
      <c r="J304" s="4"/>
      <c r="K304" s="2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25"/>
      <c r="C305" s="25"/>
      <c r="D305" s="4"/>
      <c r="E305" s="4"/>
      <c r="F305" s="4"/>
      <c r="G305" s="4"/>
      <c r="H305" s="25"/>
      <c r="I305" s="4"/>
      <c r="J305" s="4"/>
      <c r="K305" s="2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25"/>
      <c r="C306" s="25"/>
      <c r="D306" s="4"/>
      <c r="E306" s="4"/>
      <c r="F306" s="4"/>
      <c r="G306" s="4"/>
      <c r="H306" s="25"/>
      <c r="I306" s="4"/>
      <c r="J306" s="4"/>
      <c r="K306" s="2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25"/>
      <c r="C307" s="25"/>
      <c r="D307" s="4"/>
      <c r="E307" s="4"/>
      <c r="F307" s="4"/>
      <c r="G307" s="4"/>
      <c r="H307" s="25"/>
      <c r="I307" s="4"/>
      <c r="J307" s="4"/>
      <c r="K307" s="2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25"/>
      <c r="C308" s="25"/>
      <c r="D308" s="4"/>
      <c r="E308" s="4"/>
      <c r="F308" s="4"/>
      <c r="G308" s="4"/>
      <c r="H308" s="25"/>
      <c r="I308" s="4"/>
      <c r="J308" s="4"/>
      <c r="K308" s="2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25"/>
      <c r="C309" s="25"/>
      <c r="D309" s="4"/>
      <c r="E309" s="4"/>
      <c r="F309" s="4"/>
      <c r="G309" s="4"/>
      <c r="H309" s="25"/>
      <c r="I309" s="4"/>
      <c r="J309" s="4"/>
      <c r="K309" s="2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25"/>
      <c r="C310" s="25"/>
      <c r="D310" s="4"/>
      <c r="E310" s="4"/>
      <c r="F310" s="4"/>
      <c r="G310" s="4"/>
      <c r="H310" s="25"/>
      <c r="I310" s="4"/>
      <c r="J310" s="4"/>
      <c r="K310" s="2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25"/>
      <c r="C311" s="25"/>
      <c r="D311" s="4"/>
      <c r="E311" s="4"/>
      <c r="F311" s="4"/>
      <c r="G311" s="4"/>
      <c r="H311" s="25"/>
      <c r="I311" s="4"/>
      <c r="J311" s="4"/>
      <c r="K311" s="2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25"/>
      <c r="C312" s="25"/>
      <c r="D312" s="4"/>
      <c r="E312" s="4"/>
      <c r="F312" s="4"/>
      <c r="G312" s="4"/>
      <c r="H312" s="25"/>
      <c r="I312" s="4"/>
      <c r="J312" s="4"/>
      <c r="K312" s="2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25"/>
      <c r="C313" s="25"/>
      <c r="D313" s="4"/>
      <c r="E313" s="4"/>
      <c r="F313" s="4"/>
      <c r="G313" s="4"/>
      <c r="H313" s="25"/>
      <c r="I313" s="4"/>
      <c r="J313" s="4"/>
      <c r="K313" s="2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25"/>
      <c r="C314" s="25"/>
      <c r="D314" s="4"/>
      <c r="E314" s="4"/>
      <c r="F314" s="4"/>
      <c r="G314" s="4"/>
      <c r="H314" s="25"/>
      <c r="I314" s="4"/>
      <c r="J314" s="4"/>
      <c r="K314" s="2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25"/>
      <c r="C315" s="25"/>
      <c r="D315" s="4"/>
      <c r="E315" s="4"/>
      <c r="F315" s="4"/>
      <c r="G315" s="4"/>
      <c r="H315" s="25"/>
      <c r="I315" s="4"/>
      <c r="J315" s="4"/>
      <c r="K315" s="2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25"/>
      <c r="C316" s="25"/>
      <c r="D316" s="4"/>
      <c r="E316" s="4"/>
      <c r="F316" s="4"/>
      <c r="G316" s="4"/>
      <c r="H316" s="25"/>
      <c r="I316" s="4"/>
      <c r="J316" s="4"/>
      <c r="K316" s="2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25"/>
      <c r="C317" s="25"/>
      <c r="D317" s="4"/>
      <c r="E317" s="4"/>
      <c r="F317" s="4"/>
      <c r="G317" s="4"/>
      <c r="H317" s="25"/>
      <c r="I317" s="4"/>
      <c r="J317" s="4"/>
      <c r="K317" s="2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25"/>
      <c r="C318" s="25"/>
      <c r="D318" s="4"/>
      <c r="E318" s="4"/>
      <c r="F318" s="4"/>
      <c r="G318" s="4"/>
      <c r="H318" s="25"/>
      <c r="I318" s="4"/>
      <c r="J318" s="4"/>
      <c r="K318" s="2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25"/>
      <c r="C319" s="25"/>
      <c r="D319" s="4"/>
      <c r="E319" s="4"/>
      <c r="F319" s="4"/>
      <c r="G319" s="4"/>
      <c r="H319" s="25"/>
      <c r="I319" s="4"/>
      <c r="J319" s="4"/>
      <c r="K319" s="2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25"/>
      <c r="C320" s="25"/>
      <c r="D320" s="4"/>
      <c r="E320" s="4"/>
      <c r="F320" s="4"/>
      <c r="G320" s="4"/>
      <c r="H320" s="25"/>
      <c r="I320" s="4"/>
      <c r="J320" s="4"/>
      <c r="K320" s="2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25"/>
      <c r="C321" s="25"/>
      <c r="D321" s="4"/>
      <c r="E321" s="4"/>
      <c r="F321" s="4"/>
      <c r="G321" s="4"/>
      <c r="H321" s="25"/>
      <c r="I321" s="4"/>
      <c r="J321" s="4"/>
      <c r="K321" s="2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25"/>
      <c r="C322" s="25"/>
      <c r="D322" s="4"/>
      <c r="E322" s="4"/>
      <c r="F322" s="4"/>
      <c r="G322" s="4"/>
      <c r="H322" s="25"/>
      <c r="I322" s="4"/>
      <c r="J322" s="4"/>
      <c r="K322" s="2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25"/>
      <c r="C323" s="25"/>
      <c r="D323" s="4"/>
      <c r="E323" s="4"/>
      <c r="F323" s="4"/>
      <c r="G323" s="4"/>
      <c r="H323" s="25"/>
      <c r="I323" s="4"/>
      <c r="J323" s="4"/>
      <c r="K323" s="2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25"/>
      <c r="C324" s="25"/>
      <c r="D324" s="4"/>
      <c r="E324" s="4"/>
      <c r="F324" s="4"/>
      <c r="G324" s="4"/>
      <c r="H324" s="25"/>
      <c r="I324" s="4"/>
      <c r="J324" s="4"/>
      <c r="K324" s="2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25"/>
      <c r="C325" s="25"/>
      <c r="D325" s="4"/>
      <c r="E325" s="4"/>
      <c r="F325" s="4"/>
      <c r="G325" s="4"/>
      <c r="H325" s="25"/>
      <c r="I325" s="4"/>
      <c r="J325" s="4"/>
      <c r="K325" s="2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25"/>
      <c r="C326" s="25"/>
      <c r="D326" s="4"/>
      <c r="E326" s="4"/>
      <c r="F326" s="4"/>
      <c r="G326" s="4"/>
      <c r="H326" s="25"/>
      <c r="I326" s="4"/>
      <c r="J326" s="4"/>
      <c r="K326" s="2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25"/>
      <c r="C327" s="25"/>
      <c r="D327" s="4"/>
      <c r="E327" s="4"/>
      <c r="F327" s="4"/>
      <c r="G327" s="4"/>
      <c r="H327" s="25"/>
      <c r="I327" s="4"/>
      <c r="J327" s="4"/>
      <c r="K327" s="2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25"/>
      <c r="C328" s="25"/>
      <c r="D328" s="4"/>
      <c r="E328" s="4"/>
      <c r="F328" s="4"/>
      <c r="G328" s="4"/>
      <c r="H328" s="25"/>
      <c r="I328" s="4"/>
      <c r="J328" s="4"/>
      <c r="K328" s="2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25"/>
      <c r="C329" s="25"/>
      <c r="D329" s="4"/>
      <c r="E329" s="4"/>
      <c r="F329" s="4"/>
      <c r="G329" s="4"/>
      <c r="H329" s="25"/>
      <c r="I329" s="4"/>
      <c r="J329" s="4"/>
      <c r="K329" s="2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25"/>
      <c r="C330" s="25"/>
      <c r="D330" s="4"/>
      <c r="E330" s="4"/>
      <c r="F330" s="4"/>
      <c r="G330" s="4"/>
      <c r="H330" s="25"/>
      <c r="I330" s="4"/>
      <c r="J330" s="4"/>
      <c r="K330" s="2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25"/>
      <c r="C331" s="25"/>
      <c r="D331" s="4"/>
      <c r="E331" s="4"/>
      <c r="F331" s="4"/>
      <c r="G331" s="4"/>
      <c r="H331" s="25"/>
      <c r="I331" s="4"/>
      <c r="J331" s="4"/>
      <c r="K331" s="2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25"/>
      <c r="C332" s="25"/>
      <c r="D332" s="4"/>
      <c r="E332" s="4"/>
      <c r="F332" s="4"/>
      <c r="G332" s="4"/>
      <c r="H332" s="25"/>
      <c r="I332" s="4"/>
      <c r="J332" s="4"/>
      <c r="K332" s="2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25"/>
      <c r="C333" s="25"/>
      <c r="D333" s="4"/>
      <c r="E333" s="4"/>
      <c r="F333" s="4"/>
      <c r="G333" s="4"/>
      <c r="H333" s="25"/>
      <c r="I333" s="4"/>
      <c r="J333" s="4"/>
      <c r="K333" s="2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25"/>
      <c r="C334" s="25"/>
      <c r="D334" s="4"/>
      <c r="E334" s="4"/>
      <c r="F334" s="4"/>
      <c r="G334" s="4"/>
      <c r="H334" s="25"/>
      <c r="I334" s="4"/>
      <c r="J334" s="4"/>
      <c r="K334" s="2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25"/>
      <c r="C335" s="25"/>
      <c r="D335" s="4"/>
      <c r="E335" s="4"/>
      <c r="F335" s="4"/>
      <c r="G335" s="4"/>
      <c r="H335" s="25"/>
      <c r="I335" s="4"/>
      <c r="J335" s="4"/>
      <c r="K335" s="2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25"/>
      <c r="C336" s="25"/>
      <c r="D336" s="4"/>
      <c r="E336" s="4"/>
      <c r="F336" s="4"/>
      <c r="G336" s="4"/>
      <c r="H336" s="25"/>
      <c r="I336" s="4"/>
      <c r="J336" s="4"/>
      <c r="K336" s="2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25"/>
      <c r="C337" s="25"/>
      <c r="D337" s="4"/>
      <c r="E337" s="4"/>
      <c r="F337" s="4"/>
      <c r="G337" s="4"/>
      <c r="H337" s="25"/>
      <c r="I337" s="4"/>
      <c r="J337" s="4"/>
      <c r="K337" s="2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25"/>
      <c r="C338" s="25"/>
      <c r="D338" s="4"/>
      <c r="E338" s="4"/>
      <c r="F338" s="4"/>
      <c r="G338" s="4"/>
      <c r="H338" s="25"/>
      <c r="I338" s="4"/>
      <c r="J338" s="4"/>
      <c r="K338" s="2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25"/>
      <c r="C339" s="25"/>
      <c r="D339" s="4"/>
      <c r="E339" s="4"/>
      <c r="F339" s="4"/>
      <c r="G339" s="4"/>
      <c r="H339" s="25"/>
      <c r="I339" s="4"/>
      <c r="J339" s="4"/>
      <c r="K339" s="2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25"/>
      <c r="C340" s="25"/>
      <c r="D340" s="4"/>
      <c r="E340" s="4"/>
      <c r="F340" s="4"/>
      <c r="G340" s="4"/>
      <c r="H340" s="25"/>
      <c r="I340" s="4"/>
      <c r="J340" s="4"/>
      <c r="K340" s="2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25"/>
      <c r="C341" s="25"/>
      <c r="D341" s="4"/>
      <c r="E341" s="4"/>
      <c r="F341" s="4"/>
      <c r="G341" s="4"/>
      <c r="H341" s="25"/>
      <c r="I341" s="4"/>
      <c r="J341" s="4"/>
      <c r="K341" s="2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25"/>
      <c r="C342" s="25"/>
      <c r="D342" s="4"/>
      <c r="E342" s="4"/>
      <c r="F342" s="4"/>
      <c r="G342" s="4"/>
      <c r="H342" s="25"/>
      <c r="I342" s="4"/>
      <c r="J342" s="4"/>
      <c r="K342" s="2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25"/>
      <c r="C343" s="25"/>
      <c r="D343" s="4"/>
      <c r="E343" s="4"/>
      <c r="F343" s="4"/>
      <c r="G343" s="4"/>
      <c r="H343" s="25"/>
      <c r="I343" s="4"/>
      <c r="J343" s="4"/>
      <c r="K343" s="2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25"/>
      <c r="C344" s="25"/>
      <c r="D344" s="4"/>
      <c r="E344" s="4"/>
      <c r="F344" s="4"/>
      <c r="G344" s="4"/>
      <c r="H344" s="25"/>
      <c r="I344" s="4"/>
      <c r="J344" s="4"/>
      <c r="K344" s="2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25"/>
      <c r="C345" s="25"/>
      <c r="D345" s="4"/>
      <c r="E345" s="4"/>
      <c r="F345" s="4"/>
      <c r="G345" s="4"/>
      <c r="H345" s="25"/>
      <c r="I345" s="4"/>
      <c r="J345" s="4"/>
      <c r="K345" s="2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25"/>
      <c r="C346" s="25"/>
      <c r="D346" s="4"/>
      <c r="E346" s="4"/>
      <c r="F346" s="4"/>
      <c r="G346" s="4"/>
      <c r="H346" s="25"/>
      <c r="I346" s="4"/>
      <c r="J346" s="4"/>
      <c r="K346" s="2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25"/>
      <c r="C347" s="25"/>
      <c r="D347" s="4"/>
      <c r="E347" s="4"/>
      <c r="F347" s="4"/>
      <c r="G347" s="4"/>
      <c r="H347" s="25"/>
      <c r="I347" s="4"/>
      <c r="J347" s="4"/>
      <c r="K347" s="2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25"/>
      <c r="C348" s="25"/>
      <c r="D348" s="4"/>
      <c r="E348" s="4"/>
      <c r="F348" s="4"/>
      <c r="G348" s="4"/>
      <c r="H348" s="25"/>
      <c r="I348" s="4"/>
      <c r="J348" s="4"/>
      <c r="K348" s="2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25"/>
      <c r="C349" s="25"/>
      <c r="D349" s="4"/>
      <c r="E349" s="4"/>
      <c r="F349" s="4"/>
      <c r="G349" s="4"/>
      <c r="H349" s="25"/>
      <c r="I349" s="4"/>
      <c r="J349" s="4"/>
      <c r="K349" s="2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25"/>
      <c r="C350" s="25"/>
      <c r="D350" s="4"/>
      <c r="E350" s="4"/>
      <c r="F350" s="4"/>
      <c r="G350" s="4"/>
      <c r="H350" s="25"/>
      <c r="I350" s="4"/>
      <c r="J350" s="4"/>
      <c r="K350" s="2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25"/>
      <c r="C351" s="25"/>
      <c r="D351" s="4"/>
      <c r="E351" s="4"/>
      <c r="F351" s="4"/>
      <c r="G351" s="4"/>
      <c r="H351" s="25"/>
      <c r="I351" s="4"/>
      <c r="J351" s="4"/>
      <c r="K351" s="2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25"/>
      <c r="C352" s="25"/>
      <c r="D352" s="4"/>
      <c r="E352" s="4"/>
      <c r="F352" s="4"/>
      <c r="G352" s="4"/>
      <c r="H352" s="25"/>
      <c r="I352" s="4"/>
      <c r="J352" s="4"/>
      <c r="K352" s="2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25"/>
      <c r="C353" s="25"/>
      <c r="D353" s="4"/>
      <c r="E353" s="4"/>
      <c r="F353" s="4"/>
      <c r="G353" s="4"/>
      <c r="H353" s="25"/>
      <c r="I353" s="4"/>
      <c r="J353" s="4"/>
      <c r="K353" s="2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25"/>
      <c r="C354" s="25"/>
      <c r="D354" s="4"/>
      <c r="E354" s="4"/>
      <c r="F354" s="4"/>
      <c r="G354" s="4"/>
      <c r="H354" s="25"/>
      <c r="I354" s="4"/>
      <c r="J354" s="4"/>
      <c r="K354" s="2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25"/>
      <c r="C355" s="25"/>
      <c r="D355" s="4"/>
      <c r="E355" s="4"/>
      <c r="F355" s="4"/>
      <c r="G355" s="4"/>
      <c r="H355" s="25"/>
      <c r="I355" s="4"/>
      <c r="J355" s="4"/>
      <c r="K355" s="2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25"/>
      <c r="C356" s="25"/>
      <c r="D356" s="4"/>
      <c r="E356" s="4"/>
      <c r="F356" s="4"/>
      <c r="G356" s="4"/>
      <c r="H356" s="25"/>
      <c r="I356" s="4"/>
      <c r="J356" s="4"/>
      <c r="K356" s="2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25"/>
      <c r="C357" s="25"/>
      <c r="D357" s="4"/>
      <c r="E357" s="4"/>
      <c r="F357" s="4"/>
      <c r="G357" s="4"/>
      <c r="H357" s="25"/>
      <c r="I357" s="4"/>
      <c r="J357" s="4"/>
      <c r="K357" s="2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25"/>
      <c r="C358" s="25"/>
      <c r="D358" s="4"/>
      <c r="E358" s="4"/>
      <c r="F358" s="4"/>
      <c r="G358" s="4"/>
      <c r="H358" s="25"/>
      <c r="I358" s="4"/>
      <c r="J358" s="4"/>
      <c r="K358" s="2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25"/>
      <c r="C359" s="25"/>
      <c r="D359" s="4"/>
      <c r="E359" s="4"/>
      <c r="F359" s="4"/>
      <c r="G359" s="4"/>
      <c r="H359" s="25"/>
      <c r="I359" s="4"/>
      <c r="J359" s="4"/>
      <c r="K359" s="2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25"/>
      <c r="C360" s="25"/>
      <c r="D360" s="4"/>
      <c r="E360" s="4"/>
      <c r="F360" s="4"/>
      <c r="G360" s="4"/>
      <c r="H360" s="25"/>
      <c r="I360" s="4"/>
      <c r="J360" s="4"/>
      <c r="K360" s="2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25"/>
      <c r="C361" s="25"/>
      <c r="D361" s="4"/>
      <c r="E361" s="4"/>
      <c r="F361" s="4"/>
      <c r="G361" s="4"/>
      <c r="H361" s="25"/>
      <c r="I361" s="4"/>
      <c r="J361" s="4"/>
      <c r="K361" s="2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25"/>
      <c r="C362" s="25"/>
      <c r="D362" s="4"/>
      <c r="E362" s="4"/>
      <c r="F362" s="4"/>
      <c r="G362" s="4"/>
      <c r="H362" s="25"/>
      <c r="I362" s="4"/>
      <c r="J362" s="4"/>
      <c r="K362" s="2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25"/>
      <c r="C363" s="25"/>
      <c r="D363" s="4"/>
      <c r="E363" s="4"/>
      <c r="F363" s="4"/>
      <c r="G363" s="4"/>
      <c r="H363" s="25"/>
      <c r="I363" s="4"/>
      <c r="J363" s="4"/>
      <c r="K363" s="2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25"/>
      <c r="C364" s="25"/>
      <c r="D364" s="4"/>
      <c r="E364" s="4"/>
      <c r="F364" s="4"/>
      <c r="G364" s="4"/>
      <c r="H364" s="25"/>
      <c r="I364" s="4"/>
      <c r="J364" s="4"/>
      <c r="K364" s="2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25"/>
      <c r="C365" s="25"/>
      <c r="D365" s="4"/>
      <c r="E365" s="4"/>
      <c r="F365" s="4"/>
      <c r="G365" s="4"/>
      <c r="H365" s="25"/>
      <c r="I365" s="4"/>
      <c r="J365" s="4"/>
      <c r="K365" s="2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25"/>
      <c r="C366" s="25"/>
      <c r="D366" s="4"/>
      <c r="E366" s="4"/>
      <c r="F366" s="4"/>
      <c r="G366" s="4"/>
      <c r="H366" s="25"/>
      <c r="I366" s="4"/>
      <c r="J366" s="4"/>
      <c r="K366" s="2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25"/>
      <c r="C367" s="25"/>
      <c r="D367" s="4"/>
      <c r="E367" s="4"/>
      <c r="F367" s="4"/>
      <c r="G367" s="4"/>
      <c r="H367" s="25"/>
      <c r="I367" s="4"/>
      <c r="J367" s="4"/>
      <c r="K367" s="2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25"/>
      <c r="C368" s="25"/>
      <c r="D368" s="4"/>
      <c r="E368" s="4"/>
      <c r="F368" s="4"/>
      <c r="G368" s="4"/>
      <c r="H368" s="25"/>
      <c r="I368" s="4"/>
      <c r="J368" s="4"/>
      <c r="K368" s="2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25"/>
      <c r="C369" s="25"/>
      <c r="D369" s="4"/>
      <c r="E369" s="4"/>
      <c r="F369" s="4"/>
      <c r="G369" s="4"/>
      <c r="H369" s="25"/>
      <c r="I369" s="4"/>
      <c r="J369" s="4"/>
      <c r="K369" s="2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25"/>
      <c r="C370" s="25"/>
      <c r="D370" s="4"/>
      <c r="E370" s="4"/>
      <c r="F370" s="4"/>
      <c r="G370" s="4"/>
      <c r="H370" s="25"/>
      <c r="I370" s="4"/>
      <c r="J370" s="4"/>
      <c r="K370" s="2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25"/>
      <c r="C371" s="25"/>
      <c r="D371" s="4"/>
      <c r="E371" s="4"/>
      <c r="F371" s="4"/>
      <c r="G371" s="4"/>
      <c r="H371" s="25"/>
      <c r="I371" s="4"/>
      <c r="J371" s="4"/>
      <c r="K371" s="2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25"/>
      <c r="C372" s="25"/>
      <c r="D372" s="4"/>
      <c r="E372" s="4"/>
      <c r="F372" s="4"/>
      <c r="G372" s="4"/>
      <c r="H372" s="25"/>
      <c r="I372" s="4"/>
      <c r="J372" s="4"/>
      <c r="K372" s="2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25"/>
      <c r="C373" s="25"/>
      <c r="D373" s="4"/>
      <c r="E373" s="4"/>
      <c r="F373" s="4"/>
      <c r="G373" s="4"/>
      <c r="H373" s="25"/>
      <c r="I373" s="4"/>
      <c r="J373" s="4"/>
      <c r="K373" s="2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25"/>
      <c r="C374" s="25"/>
      <c r="D374" s="4"/>
      <c r="E374" s="4"/>
      <c r="F374" s="4"/>
      <c r="G374" s="4"/>
      <c r="H374" s="25"/>
      <c r="I374" s="4"/>
      <c r="J374" s="4"/>
      <c r="K374" s="2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25"/>
      <c r="C375" s="25"/>
      <c r="D375" s="4"/>
      <c r="E375" s="4"/>
      <c r="F375" s="4"/>
      <c r="G375" s="4"/>
      <c r="H375" s="25"/>
      <c r="I375" s="4"/>
      <c r="J375" s="4"/>
      <c r="K375" s="2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25"/>
      <c r="C376" s="25"/>
      <c r="D376" s="4"/>
      <c r="E376" s="4"/>
      <c r="F376" s="4"/>
      <c r="G376" s="4"/>
      <c r="H376" s="25"/>
      <c r="I376" s="4"/>
      <c r="J376" s="4"/>
      <c r="K376" s="2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25"/>
      <c r="C377" s="25"/>
      <c r="D377" s="4"/>
      <c r="E377" s="4"/>
      <c r="F377" s="4"/>
      <c r="G377" s="4"/>
      <c r="H377" s="25"/>
      <c r="I377" s="4"/>
      <c r="J377" s="4"/>
      <c r="K377" s="2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25"/>
      <c r="C378" s="25"/>
      <c r="D378" s="4"/>
      <c r="E378" s="4"/>
      <c r="F378" s="4"/>
      <c r="G378" s="4"/>
      <c r="H378" s="25"/>
      <c r="I378" s="4"/>
      <c r="J378" s="4"/>
      <c r="K378" s="2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25"/>
      <c r="C379" s="25"/>
      <c r="D379" s="4"/>
      <c r="E379" s="4"/>
      <c r="F379" s="4"/>
      <c r="G379" s="4"/>
      <c r="H379" s="25"/>
      <c r="I379" s="4"/>
      <c r="J379" s="4"/>
      <c r="K379" s="2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25"/>
      <c r="C380" s="25"/>
      <c r="D380" s="4"/>
      <c r="E380" s="4"/>
      <c r="F380" s="4"/>
      <c r="G380" s="4"/>
      <c r="H380" s="25"/>
      <c r="I380" s="4"/>
      <c r="J380" s="4"/>
      <c r="K380" s="2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25"/>
      <c r="C381" s="25"/>
      <c r="D381" s="4"/>
      <c r="E381" s="4"/>
      <c r="F381" s="4"/>
      <c r="G381" s="4"/>
      <c r="H381" s="25"/>
      <c r="I381" s="4"/>
      <c r="J381" s="4"/>
      <c r="K381" s="2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25"/>
      <c r="C382" s="25"/>
      <c r="D382" s="4"/>
      <c r="E382" s="4"/>
      <c r="F382" s="4"/>
      <c r="G382" s="4"/>
      <c r="H382" s="25"/>
      <c r="I382" s="4"/>
      <c r="J382" s="4"/>
      <c r="K382" s="2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25"/>
      <c r="C383" s="25"/>
      <c r="D383" s="4"/>
      <c r="E383" s="4"/>
      <c r="F383" s="4"/>
      <c r="G383" s="4"/>
      <c r="H383" s="25"/>
      <c r="I383" s="4"/>
      <c r="J383" s="4"/>
      <c r="K383" s="2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25"/>
      <c r="C384" s="25"/>
      <c r="D384" s="4"/>
      <c r="E384" s="4"/>
      <c r="F384" s="4"/>
      <c r="G384" s="4"/>
      <c r="H384" s="25"/>
      <c r="I384" s="4"/>
      <c r="J384" s="4"/>
      <c r="K384" s="2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25"/>
      <c r="C385" s="25"/>
      <c r="D385" s="4"/>
      <c r="E385" s="4"/>
      <c r="F385" s="4"/>
      <c r="G385" s="4"/>
      <c r="H385" s="25"/>
      <c r="I385" s="4"/>
      <c r="J385" s="4"/>
      <c r="K385" s="2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25"/>
      <c r="C386" s="25"/>
      <c r="D386" s="4"/>
      <c r="E386" s="4"/>
      <c r="F386" s="4"/>
      <c r="G386" s="4"/>
      <c r="H386" s="25"/>
      <c r="I386" s="4"/>
      <c r="J386" s="4"/>
      <c r="K386" s="2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25"/>
      <c r="C387" s="25"/>
      <c r="D387" s="4"/>
      <c r="E387" s="4"/>
      <c r="F387" s="4"/>
      <c r="G387" s="4"/>
      <c r="H387" s="25"/>
      <c r="I387" s="4"/>
      <c r="J387" s="4"/>
      <c r="K387" s="2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25"/>
      <c r="C388" s="25"/>
      <c r="D388" s="4"/>
      <c r="E388" s="4"/>
      <c r="F388" s="4"/>
      <c r="G388" s="4"/>
      <c r="H388" s="25"/>
      <c r="I388" s="4"/>
      <c r="J388" s="4"/>
      <c r="K388" s="2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25"/>
      <c r="C389" s="25"/>
      <c r="D389" s="4"/>
      <c r="E389" s="4"/>
      <c r="F389" s="4"/>
      <c r="G389" s="4"/>
      <c r="H389" s="25"/>
      <c r="I389" s="4"/>
      <c r="J389" s="4"/>
      <c r="K389" s="2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25"/>
      <c r="C390" s="25"/>
      <c r="D390" s="4"/>
      <c r="E390" s="4"/>
      <c r="F390" s="4"/>
      <c r="G390" s="4"/>
      <c r="H390" s="25"/>
      <c r="I390" s="4"/>
      <c r="J390" s="4"/>
      <c r="K390" s="2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25"/>
      <c r="C391" s="25"/>
      <c r="D391" s="4"/>
      <c r="E391" s="4"/>
      <c r="F391" s="4"/>
      <c r="G391" s="4"/>
      <c r="H391" s="25"/>
      <c r="I391" s="4"/>
      <c r="J391" s="4"/>
      <c r="K391" s="2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25"/>
      <c r="C392" s="25"/>
      <c r="D392" s="4"/>
      <c r="E392" s="4"/>
      <c r="F392" s="4"/>
      <c r="G392" s="4"/>
      <c r="H392" s="25"/>
      <c r="I392" s="4"/>
      <c r="J392" s="4"/>
      <c r="K392" s="2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25"/>
      <c r="C393" s="25"/>
      <c r="D393" s="4"/>
      <c r="E393" s="4"/>
      <c r="F393" s="4"/>
      <c r="G393" s="4"/>
      <c r="H393" s="25"/>
      <c r="I393" s="4"/>
      <c r="J393" s="4"/>
      <c r="K393" s="2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25"/>
      <c r="C394" s="25"/>
      <c r="D394" s="4"/>
      <c r="E394" s="4"/>
      <c r="F394" s="4"/>
      <c r="G394" s="4"/>
      <c r="H394" s="25"/>
      <c r="I394" s="4"/>
      <c r="J394" s="4"/>
      <c r="K394" s="2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25"/>
      <c r="C395" s="25"/>
      <c r="D395" s="4"/>
      <c r="E395" s="4"/>
      <c r="F395" s="4"/>
      <c r="G395" s="4"/>
      <c r="H395" s="25"/>
      <c r="I395" s="4"/>
      <c r="J395" s="4"/>
      <c r="K395" s="2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25"/>
      <c r="C396" s="25"/>
      <c r="D396" s="4"/>
      <c r="E396" s="4"/>
      <c r="F396" s="4"/>
      <c r="G396" s="4"/>
      <c r="H396" s="25"/>
      <c r="I396" s="4"/>
      <c r="J396" s="4"/>
      <c r="K396" s="2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25"/>
      <c r="C397" s="25"/>
      <c r="D397" s="4"/>
      <c r="E397" s="4"/>
      <c r="F397" s="4"/>
      <c r="G397" s="4"/>
      <c r="H397" s="25"/>
      <c r="I397" s="4"/>
      <c r="J397" s="4"/>
      <c r="K397" s="2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25"/>
      <c r="C398" s="25"/>
      <c r="D398" s="4"/>
      <c r="E398" s="4"/>
      <c r="F398" s="4"/>
      <c r="G398" s="4"/>
      <c r="H398" s="25"/>
      <c r="I398" s="4"/>
      <c r="J398" s="4"/>
      <c r="K398" s="2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25"/>
      <c r="C399" s="25"/>
      <c r="D399" s="4"/>
      <c r="E399" s="4"/>
      <c r="F399" s="4"/>
      <c r="G399" s="4"/>
      <c r="H399" s="25"/>
      <c r="I399" s="4"/>
      <c r="J399" s="4"/>
      <c r="K399" s="2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25"/>
      <c r="C400" s="25"/>
      <c r="D400" s="4"/>
      <c r="E400" s="4"/>
      <c r="F400" s="4"/>
      <c r="G400" s="4"/>
      <c r="H400" s="25"/>
      <c r="I400" s="4"/>
      <c r="J400" s="4"/>
      <c r="K400" s="2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25"/>
      <c r="C401" s="25"/>
      <c r="D401" s="4"/>
      <c r="E401" s="4"/>
      <c r="F401" s="4"/>
      <c r="G401" s="4"/>
      <c r="H401" s="25"/>
      <c r="I401" s="4"/>
      <c r="J401" s="4"/>
      <c r="K401" s="2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25"/>
      <c r="C402" s="25"/>
      <c r="D402" s="4"/>
      <c r="E402" s="4"/>
      <c r="F402" s="4"/>
      <c r="G402" s="4"/>
      <c r="H402" s="25"/>
      <c r="I402" s="4"/>
      <c r="J402" s="4"/>
      <c r="K402" s="2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25"/>
      <c r="C403" s="25"/>
      <c r="D403" s="4"/>
      <c r="E403" s="4"/>
      <c r="F403" s="4"/>
      <c r="G403" s="4"/>
      <c r="H403" s="25"/>
      <c r="I403" s="4"/>
      <c r="J403" s="4"/>
      <c r="K403" s="2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25"/>
      <c r="C404" s="25"/>
      <c r="D404" s="4"/>
      <c r="E404" s="4"/>
      <c r="F404" s="4"/>
      <c r="G404" s="4"/>
      <c r="H404" s="25"/>
      <c r="I404" s="4"/>
      <c r="J404" s="4"/>
      <c r="K404" s="2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25"/>
      <c r="C405" s="25"/>
      <c r="D405" s="4"/>
      <c r="E405" s="4"/>
      <c r="F405" s="4"/>
      <c r="G405" s="4"/>
      <c r="H405" s="25"/>
      <c r="I405" s="4"/>
      <c r="J405" s="4"/>
      <c r="K405" s="2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25"/>
      <c r="C406" s="25"/>
      <c r="D406" s="4"/>
      <c r="E406" s="4"/>
      <c r="F406" s="4"/>
      <c r="G406" s="4"/>
      <c r="H406" s="25"/>
      <c r="I406" s="4"/>
      <c r="J406" s="4"/>
      <c r="K406" s="2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25"/>
      <c r="C407" s="25"/>
      <c r="D407" s="4"/>
      <c r="E407" s="4"/>
      <c r="F407" s="4"/>
      <c r="G407" s="4"/>
      <c r="H407" s="25"/>
      <c r="I407" s="4"/>
      <c r="J407" s="4"/>
      <c r="K407" s="2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25"/>
      <c r="C408" s="25"/>
      <c r="D408" s="4"/>
      <c r="E408" s="4"/>
      <c r="F408" s="4"/>
      <c r="G408" s="4"/>
      <c r="H408" s="25"/>
      <c r="I408" s="4"/>
      <c r="J408" s="4"/>
      <c r="K408" s="2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25"/>
      <c r="C409" s="25"/>
      <c r="D409" s="4"/>
      <c r="E409" s="4"/>
      <c r="F409" s="4"/>
      <c r="G409" s="4"/>
      <c r="H409" s="25"/>
      <c r="I409" s="4"/>
      <c r="J409" s="4"/>
      <c r="K409" s="2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25"/>
      <c r="C410" s="25"/>
      <c r="D410" s="4"/>
      <c r="E410" s="4"/>
      <c r="F410" s="4"/>
      <c r="G410" s="4"/>
      <c r="H410" s="25"/>
      <c r="I410" s="4"/>
      <c r="J410" s="4"/>
      <c r="K410" s="2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25"/>
      <c r="C411" s="25"/>
      <c r="D411" s="4"/>
      <c r="E411" s="4"/>
      <c r="F411" s="4"/>
      <c r="G411" s="4"/>
      <c r="H411" s="25"/>
      <c r="I411" s="4"/>
      <c r="J411" s="4"/>
      <c r="K411" s="2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25"/>
      <c r="C412" s="25"/>
      <c r="D412" s="4"/>
      <c r="E412" s="4"/>
      <c r="F412" s="4"/>
      <c r="G412" s="4"/>
      <c r="H412" s="25"/>
      <c r="I412" s="4"/>
      <c r="J412" s="4"/>
      <c r="K412" s="2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25"/>
      <c r="C413" s="25"/>
      <c r="D413" s="4"/>
      <c r="E413" s="4"/>
      <c r="F413" s="4"/>
      <c r="G413" s="4"/>
      <c r="H413" s="25"/>
      <c r="I413" s="4"/>
      <c r="J413" s="4"/>
      <c r="K413" s="2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25"/>
      <c r="C414" s="25"/>
      <c r="D414" s="4"/>
      <c r="E414" s="4"/>
      <c r="F414" s="4"/>
      <c r="G414" s="4"/>
      <c r="H414" s="25"/>
      <c r="I414" s="4"/>
      <c r="J414" s="4"/>
      <c r="K414" s="2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25"/>
      <c r="C415" s="25"/>
      <c r="D415" s="4"/>
      <c r="E415" s="4"/>
      <c r="F415" s="4"/>
      <c r="G415" s="4"/>
      <c r="H415" s="25"/>
      <c r="I415" s="4"/>
      <c r="J415" s="4"/>
      <c r="K415" s="2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25"/>
      <c r="C416" s="25"/>
      <c r="D416" s="4"/>
      <c r="E416" s="4"/>
      <c r="F416" s="4"/>
      <c r="G416" s="4"/>
      <c r="H416" s="25"/>
      <c r="I416" s="4"/>
      <c r="J416" s="4"/>
      <c r="K416" s="2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25"/>
      <c r="C417" s="25"/>
      <c r="D417" s="4"/>
      <c r="E417" s="4"/>
      <c r="F417" s="4"/>
      <c r="G417" s="4"/>
      <c r="H417" s="25"/>
      <c r="I417" s="4"/>
      <c r="J417" s="4"/>
      <c r="K417" s="2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25"/>
      <c r="C418" s="25"/>
      <c r="D418" s="4"/>
      <c r="E418" s="4"/>
      <c r="F418" s="4"/>
      <c r="G418" s="4"/>
      <c r="H418" s="25"/>
      <c r="I418" s="4"/>
      <c r="J418" s="4"/>
      <c r="K418" s="2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25"/>
      <c r="C419" s="25"/>
      <c r="D419" s="4"/>
      <c r="E419" s="4"/>
      <c r="F419" s="4"/>
      <c r="G419" s="4"/>
      <c r="H419" s="25"/>
      <c r="I419" s="4"/>
      <c r="J419" s="4"/>
      <c r="K419" s="2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25"/>
      <c r="C420" s="25"/>
      <c r="D420" s="4"/>
      <c r="E420" s="4"/>
      <c r="F420" s="4"/>
      <c r="G420" s="4"/>
      <c r="H420" s="25"/>
      <c r="I420" s="4"/>
      <c r="J420" s="4"/>
      <c r="K420" s="2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25"/>
      <c r="C421" s="25"/>
      <c r="D421" s="4"/>
      <c r="E421" s="4"/>
      <c r="F421" s="4"/>
      <c r="G421" s="4"/>
      <c r="H421" s="25"/>
      <c r="I421" s="4"/>
      <c r="J421" s="4"/>
      <c r="K421" s="2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25"/>
      <c r="C422" s="25"/>
      <c r="D422" s="4"/>
      <c r="E422" s="4"/>
      <c r="F422" s="4"/>
      <c r="G422" s="4"/>
      <c r="H422" s="25"/>
      <c r="I422" s="4"/>
      <c r="J422" s="4"/>
      <c r="K422" s="2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25"/>
      <c r="C423" s="25"/>
      <c r="D423" s="4"/>
      <c r="E423" s="4"/>
      <c r="F423" s="4"/>
      <c r="G423" s="4"/>
      <c r="H423" s="25"/>
      <c r="I423" s="4"/>
      <c r="J423" s="4"/>
      <c r="K423" s="2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25"/>
      <c r="C424" s="25"/>
      <c r="D424" s="4"/>
      <c r="E424" s="4"/>
      <c r="F424" s="4"/>
      <c r="G424" s="4"/>
      <c r="H424" s="25"/>
      <c r="I424" s="4"/>
      <c r="J424" s="4"/>
      <c r="K424" s="2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25"/>
      <c r="C425" s="25"/>
      <c r="D425" s="4"/>
      <c r="E425" s="4"/>
      <c r="F425" s="4"/>
      <c r="G425" s="4"/>
      <c r="H425" s="25"/>
      <c r="I425" s="4"/>
      <c r="J425" s="4"/>
      <c r="K425" s="2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25"/>
      <c r="C426" s="25"/>
      <c r="D426" s="4"/>
      <c r="E426" s="4"/>
      <c r="F426" s="4"/>
      <c r="G426" s="4"/>
      <c r="H426" s="25"/>
      <c r="I426" s="4"/>
      <c r="J426" s="4"/>
      <c r="K426" s="2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25"/>
      <c r="C427" s="25"/>
      <c r="D427" s="4"/>
      <c r="E427" s="4"/>
      <c r="F427" s="4"/>
      <c r="G427" s="4"/>
      <c r="H427" s="25"/>
      <c r="I427" s="4"/>
      <c r="J427" s="4"/>
      <c r="K427" s="2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25"/>
      <c r="C428" s="25"/>
      <c r="D428" s="4"/>
      <c r="E428" s="4"/>
      <c r="F428" s="4"/>
      <c r="G428" s="4"/>
      <c r="H428" s="25"/>
      <c r="I428" s="4"/>
      <c r="J428" s="4"/>
      <c r="K428" s="2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25"/>
      <c r="C429" s="25"/>
      <c r="D429" s="4"/>
      <c r="E429" s="4"/>
      <c r="F429" s="4"/>
      <c r="G429" s="4"/>
      <c r="H429" s="25"/>
      <c r="I429" s="4"/>
      <c r="J429" s="4"/>
      <c r="K429" s="2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25"/>
      <c r="C430" s="25"/>
      <c r="D430" s="4"/>
      <c r="E430" s="4"/>
      <c r="F430" s="4"/>
      <c r="G430" s="4"/>
      <c r="H430" s="25"/>
      <c r="I430" s="4"/>
      <c r="J430" s="4"/>
      <c r="K430" s="2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25"/>
      <c r="C431" s="25"/>
      <c r="D431" s="4"/>
      <c r="E431" s="4"/>
      <c r="F431" s="4"/>
      <c r="G431" s="4"/>
      <c r="H431" s="25"/>
      <c r="I431" s="4"/>
      <c r="J431" s="4"/>
      <c r="K431" s="2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25"/>
      <c r="C432" s="25"/>
      <c r="D432" s="4"/>
      <c r="E432" s="4"/>
      <c r="F432" s="4"/>
      <c r="G432" s="4"/>
      <c r="H432" s="25"/>
      <c r="I432" s="4"/>
      <c r="J432" s="4"/>
      <c r="K432" s="2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25"/>
      <c r="C433" s="25"/>
      <c r="D433" s="4"/>
      <c r="E433" s="4"/>
      <c r="F433" s="4"/>
      <c r="G433" s="4"/>
      <c r="H433" s="25"/>
      <c r="I433" s="4"/>
      <c r="J433" s="4"/>
      <c r="K433" s="2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25"/>
      <c r="C434" s="25"/>
      <c r="D434" s="4"/>
      <c r="E434" s="4"/>
      <c r="F434" s="4"/>
      <c r="G434" s="4"/>
      <c r="H434" s="25"/>
      <c r="I434" s="4"/>
      <c r="J434" s="4"/>
      <c r="K434" s="2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25"/>
      <c r="C435" s="25"/>
      <c r="D435" s="4"/>
      <c r="E435" s="4"/>
      <c r="F435" s="4"/>
      <c r="G435" s="4"/>
      <c r="H435" s="25"/>
      <c r="I435" s="4"/>
      <c r="J435" s="4"/>
      <c r="K435" s="2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25"/>
      <c r="C436" s="25"/>
      <c r="D436" s="4"/>
      <c r="E436" s="4"/>
      <c r="F436" s="4"/>
      <c r="G436" s="4"/>
      <c r="H436" s="25"/>
      <c r="I436" s="4"/>
      <c r="J436" s="4"/>
      <c r="K436" s="2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25"/>
      <c r="C437" s="25"/>
      <c r="D437" s="4"/>
      <c r="E437" s="4"/>
      <c r="F437" s="4"/>
      <c r="G437" s="4"/>
      <c r="H437" s="25"/>
      <c r="I437" s="4"/>
      <c r="J437" s="4"/>
      <c r="K437" s="2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25"/>
      <c r="C438" s="25"/>
      <c r="D438" s="4"/>
      <c r="E438" s="4"/>
      <c r="F438" s="4"/>
      <c r="G438" s="4"/>
      <c r="H438" s="25"/>
      <c r="I438" s="4"/>
      <c r="J438" s="4"/>
      <c r="K438" s="2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25"/>
      <c r="C439" s="25"/>
      <c r="D439" s="4"/>
      <c r="E439" s="4"/>
      <c r="F439" s="4"/>
      <c r="G439" s="4"/>
      <c r="H439" s="25"/>
      <c r="I439" s="4"/>
      <c r="J439" s="4"/>
      <c r="K439" s="2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25"/>
      <c r="C440" s="25"/>
      <c r="D440" s="4"/>
      <c r="E440" s="4"/>
      <c r="F440" s="4"/>
      <c r="G440" s="4"/>
      <c r="H440" s="25"/>
      <c r="I440" s="4"/>
      <c r="J440" s="4"/>
      <c r="K440" s="2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25"/>
      <c r="C441" s="25"/>
      <c r="D441" s="4"/>
      <c r="E441" s="4"/>
      <c r="F441" s="4"/>
      <c r="G441" s="4"/>
      <c r="H441" s="25"/>
      <c r="I441" s="4"/>
      <c r="J441" s="4"/>
      <c r="K441" s="2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25"/>
      <c r="C442" s="25"/>
      <c r="D442" s="4"/>
      <c r="E442" s="4"/>
      <c r="F442" s="4"/>
      <c r="G442" s="4"/>
      <c r="H442" s="25"/>
      <c r="I442" s="4"/>
      <c r="J442" s="4"/>
      <c r="K442" s="2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25"/>
      <c r="C443" s="25"/>
      <c r="D443" s="4"/>
      <c r="E443" s="4"/>
      <c r="F443" s="4"/>
      <c r="G443" s="4"/>
      <c r="H443" s="25"/>
      <c r="I443" s="4"/>
      <c r="J443" s="4"/>
      <c r="K443" s="2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25"/>
      <c r="C444" s="25"/>
      <c r="D444" s="4"/>
      <c r="E444" s="4"/>
      <c r="F444" s="4"/>
      <c r="G444" s="4"/>
      <c r="H444" s="25"/>
      <c r="I444" s="4"/>
      <c r="J444" s="4"/>
      <c r="K444" s="2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25"/>
      <c r="C445" s="25"/>
      <c r="D445" s="4"/>
      <c r="E445" s="4"/>
      <c r="F445" s="4"/>
      <c r="G445" s="4"/>
      <c r="H445" s="25"/>
      <c r="I445" s="4"/>
      <c r="J445" s="4"/>
      <c r="K445" s="2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25"/>
      <c r="C446" s="25"/>
      <c r="D446" s="4"/>
      <c r="E446" s="4"/>
      <c r="F446" s="4"/>
      <c r="G446" s="4"/>
      <c r="H446" s="25"/>
      <c r="I446" s="4"/>
      <c r="J446" s="4"/>
      <c r="K446" s="2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25"/>
      <c r="C447" s="25"/>
      <c r="D447" s="4"/>
      <c r="E447" s="4"/>
      <c r="F447" s="4"/>
      <c r="G447" s="4"/>
      <c r="H447" s="25"/>
      <c r="I447" s="4"/>
      <c r="J447" s="4"/>
      <c r="K447" s="2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25"/>
      <c r="C448" s="25"/>
      <c r="D448" s="4"/>
      <c r="E448" s="4"/>
      <c r="F448" s="4"/>
      <c r="G448" s="4"/>
      <c r="H448" s="25"/>
      <c r="I448" s="4"/>
      <c r="J448" s="4"/>
      <c r="K448" s="2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25"/>
      <c r="C449" s="25"/>
      <c r="D449" s="4"/>
      <c r="E449" s="4"/>
      <c r="F449" s="4"/>
      <c r="G449" s="4"/>
      <c r="H449" s="25"/>
      <c r="I449" s="4"/>
      <c r="J449" s="4"/>
      <c r="K449" s="2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25"/>
      <c r="C450" s="25"/>
      <c r="D450" s="4"/>
      <c r="E450" s="4"/>
      <c r="F450" s="4"/>
      <c r="G450" s="4"/>
      <c r="H450" s="25"/>
      <c r="I450" s="4"/>
      <c r="J450" s="4"/>
      <c r="K450" s="2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25"/>
      <c r="C451" s="25"/>
      <c r="D451" s="4"/>
      <c r="E451" s="4"/>
      <c r="F451" s="4"/>
      <c r="G451" s="4"/>
      <c r="H451" s="25"/>
      <c r="I451" s="4"/>
      <c r="J451" s="4"/>
      <c r="K451" s="2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25"/>
      <c r="C452" s="25"/>
      <c r="D452" s="4"/>
      <c r="E452" s="4"/>
      <c r="F452" s="4"/>
      <c r="G452" s="4"/>
      <c r="H452" s="25"/>
      <c r="I452" s="4"/>
      <c r="J452" s="4"/>
      <c r="K452" s="2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25"/>
      <c r="C453" s="25"/>
      <c r="D453" s="4"/>
      <c r="E453" s="4"/>
      <c r="F453" s="4"/>
      <c r="G453" s="4"/>
      <c r="H453" s="25"/>
      <c r="I453" s="4"/>
      <c r="J453" s="4"/>
      <c r="K453" s="2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25"/>
      <c r="C454" s="25"/>
      <c r="D454" s="4"/>
      <c r="E454" s="4"/>
      <c r="F454" s="4"/>
      <c r="G454" s="4"/>
      <c r="H454" s="25"/>
      <c r="I454" s="4"/>
      <c r="J454" s="4"/>
      <c r="K454" s="2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25"/>
      <c r="C455" s="25"/>
      <c r="D455" s="4"/>
      <c r="E455" s="4"/>
      <c r="F455" s="4"/>
      <c r="G455" s="4"/>
      <c r="H455" s="25"/>
      <c r="I455" s="4"/>
      <c r="J455" s="4"/>
      <c r="K455" s="2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25"/>
      <c r="C456" s="25"/>
      <c r="D456" s="4"/>
      <c r="E456" s="4"/>
      <c r="F456" s="4"/>
      <c r="G456" s="4"/>
      <c r="H456" s="25"/>
      <c r="I456" s="4"/>
      <c r="J456" s="4"/>
      <c r="K456" s="2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25"/>
      <c r="C457" s="25"/>
      <c r="D457" s="4"/>
      <c r="E457" s="4"/>
      <c r="F457" s="4"/>
      <c r="G457" s="4"/>
      <c r="H457" s="25"/>
      <c r="I457" s="4"/>
      <c r="J457" s="4"/>
      <c r="K457" s="2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25"/>
      <c r="C458" s="25"/>
      <c r="D458" s="4"/>
      <c r="E458" s="4"/>
      <c r="F458" s="4"/>
      <c r="G458" s="4"/>
      <c r="H458" s="25"/>
      <c r="I458" s="4"/>
      <c r="J458" s="4"/>
      <c r="K458" s="2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25"/>
      <c r="C459" s="25"/>
      <c r="D459" s="4"/>
      <c r="E459" s="4"/>
      <c r="F459" s="4"/>
      <c r="G459" s="4"/>
      <c r="H459" s="25"/>
      <c r="I459" s="4"/>
      <c r="J459" s="4"/>
      <c r="K459" s="2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25"/>
      <c r="C460" s="25"/>
      <c r="D460" s="4"/>
      <c r="E460" s="4"/>
      <c r="F460" s="4"/>
      <c r="G460" s="4"/>
      <c r="H460" s="25"/>
      <c r="I460" s="4"/>
      <c r="J460" s="4"/>
      <c r="K460" s="2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25"/>
      <c r="C461" s="25"/>
      <c r="D461" s="4"/>
      <c r="E461" s="4"/>
      <c r="F461" s="4"/>
      <c r="G461" s="4"/>
      <c r="H461" s="25"/>
      <c r="I461" s="4"/>
      <c r="J461" s="4"/>
      <c r="K461" s="2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25"/>
      <c r="C462" s="25"/>
      <c r="D462" s="4"/>
      <c r="E462" s="4"/>
      <c r="F462" s="4"/>
      <c r="G462" s="4"/>
      <c r="H462" s="25"/>
      <c r="I462" s="4"/>
      <c r="J462" s="4"/>
      <c r="K462" s="2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25"/>
      <c r="C463" s="25"/>
      <c r="D463" s="4"/>
      <c r="E463" s="4"/>
      <c r="F463" s="4"/>
      <c r="G463" s="4"/>
      <c r="H463" s="25"/>
      <c r="I463" s="4"/>
      <c r="J463" s="4"/>
      <c r="K463" s="2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25"/>
      <c r="C464" s="25"/>
      <c r="D464" s="4"/>
      <c r="E464" s="4"/>
      <c r="F464" s="4"/>
      <c r="G464" s="4"/>
      <c r="H464" s="25"/>
      <c r="I464" s="4"/>
      <c r="J464" s="4"/>
      <c r="K464" s="2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25"/>
      <c r="C465" s="25"/>
      <c r="D465" s="4"/>
      <c r="E465" s="4"/>
      <c r="F465" s="4"/>
      <c r="G465" s="4"/>
      <c r="H465" s="25"/>
      <c r="I465" s="4"/>
      <c r="J465" s="4"/>
      <c r="K465" s="2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25"/>
      <c r="C466" s="25"/>
      <c r="D466" s="4"/>
      <c r="E466" s="4"/>
      <c r="F466" s="4"/>
      <c r="G466" s="4"/>
      <c r="H466" s="25"/>
      <c r="I466" s="4"/>
      <c r="J466" s="4"/>
      <c r="K466" s="2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25"/>
      <c r="C467" s="25"/>
      <c r="D467" s="4"/>
      <c r="E467" s="4"/>
      <c r="F467" s="4"/>
      <c r="G467" s="4"/>
      <c r="H467" s="25"/>
      <c r="I467" s="4"/>
      <c r="J467" s="4"/>
      <c r="K467" s="2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25"/>
      <c r="C468" s="25"/>
      <c r="D468" s="4"/>
      <c r="E468" s="4"/>
      <c r="F468" s="4"/>
      <c r="G468" s="4"/>
      <c r="H468" s="25"/>
      <c r="I468" s="4"/>
      <c r="J468" s="4"/>
      <c r="K468" s="2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25"/>
      <c r="C469" s="25"/>
      <c r="D469" s="4"/>
      <c r="E469" s="4"/>
      <c r="F469" s="4"/>
      <c r="G469" s="4"/>
      <c r="H469" s="25"/>
      <c r="I469" s="4"/>
      <c r="J469" s="4"/>
      <c r="K469" s="2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25"/>
      <c r="C470" s="25"/>
      <c r="D470" s="4"/>
      <c r="E470" s="4"/>
      <c r="F470" s="4"/>
      <c r="G470" s="4"/>
      <c r="H470" s="25"/>
      <c r="I470" s="4"/>
      <c r="J470" s="4"/>
      <c r="K470" s="2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25"/>
      <c r="C471" s="25"/>
      <c r="D471" s="4"/>
      <c r="E471" s="4"/>
      <c r="F471" s="4"/>
      <c r="G471" s="4"/>
      <c r="H471" s="25"/>
      <c r="I471" s="4"/>
      <c r="J471" s="4"/>
      <c r="K471" s="2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25"/>
      <c r="C472" s="25"/>
      <c r="D472" s="4"/>
      <c r="E472" s="4"/>
      <c r="F472" s="4"/>
      <c r="G472" s="4"/>
      <c r="H472" s="25"/>
      <c r="I472" s="4"/>
      <c r="J472" s="4"/>
      <c r="K472" s="2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25"/>
      <c r="C473" s="25"/>
      <c r="D473" s="4"/>
      <c r="E473" s="4"/>
      <c r="F473" s="4"/>
      <c r="G473" s="4"/>
      <c r="H473" s="25"/>
      <c r="I473" s="4"/>
      <c r="J473" s="4"/>
      <c r="K473" s="2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25"/>
      <c r="C474" s="25"/>
      <c r="D474" s="4"/>
      <c r="E474" s="4"/>
      <c r="F474" s="4"/>
      <c r="G474" s="4"/>
      <c r="H474" s="25"/>
      <c r="I474" s="4"/>
      <c r="J474" s="4"/>
      <c r="K474" s="2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25"/>
      <c r="C475" s="25"/>
      <c r="D475" s="4"/>
      <c r="E475" s="4"/>
      <c r="F475" s="4"/>
      <c r="G475" s="4"/>
      <c r="H475" s="25"/>
      <c r="I475" s="4"/>
      <c r="J475" s="4"/>
      <c r="K475" s="2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25"/>
      <c r="C476" s="25"/>
      <c r="D476" s="4"/>
      <c r="E476" s="4"/>
      <c r="F476" s="4"/>
      <c r="G476" s="4"/>
      <c r="H476" s="25"/>
      <c r="I476" s="4"/>
      <c r="J476" s="4"/>
      <c r="K476" s="2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25"/>
      <c r="C477" s="25"/>
      <c r="D477" s="4"/>
      <c r="E477" s="4"/>
      <c r="F477" s="4"/>
      <c r="G477" s="4"/>
      <c r="H477" s="25"/>
      <c r="I477" s="4"/>
      <c r="J477" s="4"/>
      <c r="K477" s="2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25"/>
      <c r="C478" s="25"/>
      <c r="D478" s="4"/>
      <c r="E478" s="4"/>
      <c r="F478" s="4"/>
      <c r="G478" s="4"/>
      <c r="H478" s="25"/>
      <c r="I478" s="4"/>
      <c r="J478" s="4"/>
      <c r="K478" s="2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25"/>
      <c r="C479" s="25"/>
      <c r="D479" s="4"/>
      <c r="E479" s="4"/>
      <c r="F479" s="4"/>
      <c r="G479" s="4"/>
      <c r="H479" s="25"/>
      <c r="I479" s="4"/>
      <c r="J479" s="4"/>
      <c r="K479" s="2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25"/>
      <c r="C480" s="25"/>
      <c r="D480" s="4"/>
      <c r="E480" s="4"/>
      <c r="F480" s="4"/>
      <c r="G480" s="4"/>
      <c r="H480" s="25"/>
      <c r="I480" s="4"/>
      <c r="J480" s="4"/>
      <c r="K480" s="2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25"/>
      <c r="C481" s="25"/>
      <c r="D481" s="4"/>
      <c r="E481" s="4"/>
      <c r="F481" s="4"/>
      <c r="G481" s="4"/>
      <c r="H481" s="25"/>
      <c r="I481" s="4"/>
      <c r="J481" s="4"/>
      <c r="K481" s="2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25"/>
      <c r="C482" s="25"/>
      <c r="D482" s="4"/>
      <c r="E482" s="4"/>
      <c r="F482" s="4"/>
      <c r="G482" s="4"/>
      <c r="H482" s="25"/>
      <c r="I482" s="4"/>
      <c r="J482" s="4"/>
      <c r="K482" s="2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25"/>
      <c r="C483" s="25"/>
      <c r="D483" s="4"/>
      <c r="E483" s="4"/>
      <c r="F483" s="4"/>
      <c r="G483" s="4"/>
      <c r="H483" s="25"/>
      <c r="I483" s="4"/>
      <c r="J483" s="4"/>
      <c r="K483" s="2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25"/>
      <c r="C484" s="25"/>
      <c r="D484" s="4"/>
      <c r="E484" s="4"/>
      <c r="F484" s="4"/>
      <c r="G484" s="4"/>
      <c r="H484" s="25"/>
      <c r="I484" s="4"/>
      <c r="J484" s="4"/>
      <c r="K484" s="2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25"/>
      <c r="C485" s="25"/>
      <c r="D485" s="4"/>
      <c r="E485" s="4"/>
      <c r="F485" s="4"/>
      <c r="G485" s="4"/>
      <c r="H485" s="25"/>
      <c r="I485" s="4"/>
      <c r="J485" s="4"/>
      <c r="K485" s="2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25"/>
      <c r="C486" s="25"/>
      <c r="D486" s="4"/>
      <c r="E486" s="4"/>
      <c r="F486" s="4"/>
      <c r="G486" s="4"/>
      <c r="H486" s="25"/>
      <c r="I486" s="4"/>
      <c r="J486" s="4"/>
      <c r="K486" s="2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25"/>
      <c r="C487" s="25"/>
      <c r="D487" s="4"/>
      <c r="E487" s="4"/>
      <c r="F487" s="4"/>
      <c r="G487" s="4"/>
      <c r="H487" s="25"/>
      <c r="I487" s="4"/>
      <c r="J487" s="4"/>
      <c r="K487" s="2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25"/>
      <c r="C488" s="25"/>
      <c r="D488" s="4"/>
      <c r="E488" s="4"/>
      <c r="F488" s="4"/>
      <c r="G488" s="4"/>
      <c r="H488" s="25"/>
      <c r="I488" s="4"/>
      <c r="J488" s="4"/>
      <c r="K488" s="2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25"/>
      <c r="C489" s="25"/>
      <c r="D489" s="4"/>
      <c r="E489" s="4"/>
      <c r="F489" s="4"/>
      <c r="G489" s="4"/>
      <c r="H489" s="25"/>
      <c r="I489" s="4"/>
      <c r="J489" s="4"/>
      <c r="K489" s="2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25"/>
      <c r="C490" s="25"/>
      <c r="D490" s="4"/>
      <c r="E490" s="4"/>
      <c r="F490" s="4"/>
      <c r="G490" s="4"/>
      <c r="H490" s="25"/>
      <c r="I490" s="4"/>
      <c r="J490" s="4"/>
      <c r="K490" s="2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25"/>
      <c r="C491" s="25"/>
      <c r="D491" s="4"/>
      <c r="E491" s="4"/>
      <c r="F491" s="4"/>
      <c r="G491" s="4"/>
      <c r="H491" s="25"/>
      <c r="I491" s="4"/>
      <c r="J491" s="4"/>
      <c r="K491" s="2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25"/>
      <c r="C492" s="25"/>
      <c r="D492" s="4"/>
      <c r="E492" s="4"/>
      <c r="F492" s="4"/>
      <c r="G492" s="4"/>
      <c r="H492" s="25"/>
      <c r="I492" s="4"/>
      <c r="J492" s="4"/>
      <c r="K492" s="2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25"/>
      <c r="C493" s="25"/>
      <c r="D493" s="4"/>
      <c r="E493" s="4"/>
      <c r="F493" s="4"/>
      <c r="G493" s="4"/>
      <c r="H493" s="25"/>
      <c r="I493" s="4"/>
      <c r="J493" s="4"/>
      <c r="K493" s="2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25"/>
      <c r="C494" s="25"/>
      <c r="D494" s="4"/>
      <c r="E494" s="4"/>
      <c r="F494" s="4"/>
      <c r="G494" s="4"/>
      <c r="H494" s="25"/>
      <c r="I494" s="4"/>
      <c r="J494" s="4"/>
      <c r="K494" s="2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25"/>
      <c r="C495" s="25"/>
      <c r="D495" s="4"/>
      <c r="E495" s="4"/>
      <c r="F495" s="4"/>
      <c r="G495" s="4"/>
      <c r="H495" s="25"/>
      <c r="I495" s="4"/>
      <c r="J495" s="4"/>
      <c r="K495" s="2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25"/>
      <c r="C496" s="25"/>
      <c r="D496" s="4"/>
      <c r="E496" s="4"/>
      <c r="F496" s="4"/>
      <c r="G496" s="4"/>
      <c r="H496" s="25"/>
      <c r="I496" s="4"/>
      <c r="J496" s="4"/>
      <c r="K496" s="2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25"/>
      <c r="C497" s="25"/>
      <c r="D497" s="4"/>
      <c r="E497" s="4"/>
      <c r="F497" s="4"/>
      <c r="G497" s="4"/>
      <c r="H497" s="25"/>
      <c r="I497" s="4"/>
      <c r="J497" s="4"/>
      <c r="K497" s="2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25"/>
      <c r="C498" s="25"/>
      <c r="D498" s="4"/>
      <c r="E498" s="4"/>
      <c r="F498" s="4"/>
      <c r="G498" s="4"/>
      <c r="H498" s="25"/>
      <c r="I498" s="4"/>
      <c r="J498" s="4"/>
      <c r="K498" s="2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25"/>
      <c r="C499" s="25"/>
      <c r="D499" s="4"/>
      <c r="E499" s="4"/>
      <c r="F499" s="4"/>
      <c r="G499" s="4"/>
      <c r="H499" s="25"/>
      <c r="I499" s="4"/>
      <c r="J499" s="4"/>
      <c r="K499" s="2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25"/>
      <c r="C500" s="25"/>
      <c r="D500" s="4"/>
      <c r="E500" s="4"/>
      <c r="F500" s="4"/>
      <c r="G500" s="4"/>
      <c r="H500" s="25"/>
      <c r="I500" s="4"/>
      <c r="J500" s="4"/>
      <c r="K500" s="2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25"/>
      <c r="C501" s="25"/>
      <c r="D501" s="4"/>
      <c r="E501" s="4"/>
      <c r="F501" s="4"/>
      <c r="G501" s="4"/>
      <c r="H501" s="25"/>
      <c r="I501" s="4"/>
      <c r="J501" s="4"/>
      <c r="K501" s="2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25"/>
      <c r="C502" s="25"/>
      <c r="D502" s="4"/>
      <c r="E502" s="4"/>
      <c r="F502" s="4"/>
      <c r="G502" s="4"/>
      <c r="H502" s="25"/>
      <c r="I502" s="4"/>
      <c r="J502" s="4"/>
      <c r="K502" s="2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25"/>
      <c r="C503" s="25"/>
      <c r="D503" s="4"/>
      <c r="E503" s="4"/>
      <c r="F503" s="4"/>
      <c r="G503" s="4"/>
      <c r="H503" s="25"/>
      <c r="I503" s="4"/>
      <c r="J503" s="4"/>
      <c r="K503" s="2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25"/>
      <c r="C504" s="25"/>
      <c r="D504" s="4"/>
      <c r="E504" s="4"/>
      <c r="F504" s="4"/>
      <c r="G504" s="4"/>
      <c r="H504" s="25"/>
      <c r="I504" s="4"/>
      <c r="J504" s="4"/>
      <c r="K504" s="2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25"/>
      <c r="C505" s="25"/>
      <c r="D505" s="4"/>
      <c r="E505" s="4"/>
      <c r="F505" s="4"/>
      <c r="G505" s="4"/>
      <c r="H505" s="25"/>
      <c r="I505" s="4"/>
      <c r="J505" s="4"/>
      <c r="K505" s="2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25"/>
      <c r="C506" s="25"/>
      <c r="D506" s="4"/>
      <c r="E506" s="4"/>
      <c r="F506" s="4"/>
      <c r="G506" s="4"/>
      <c r="H506" s="25"/>
      <c r="I506" s="4"/>
      <c r="J506" s="4"/>
      <c r="K506" s="2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25"/>
      <c r="C507" s="25"/>
      <c r="D507" s="4"/>
      <c r="E507" s="4"/>
      <c r="F507" s="4"/>
      <c r="G507" s="4"/>
      <c r="H507" s="25"/>
      <c r="I507" s="4"/>
      <c r="J507" s="4"/>
      <c r="K507" s="2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25"/>
      <c r="C508" s="25"/>
      <c r="D508" s="4"/>
      <c r="E508" s="4"/>
      <c r="F508" s="4"/>
      <c r="G508" s="4"/>
      <c r="H508" s="25"/>
      <c r="I508" s="4"/>
      <c r="J508" s="4"/>
      <c r="K508" s="2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25"/>
      <c r="C509" s="25"/>
      <c r="D509" s="4"/>
      <c r="E509" s="4"/>
      <c r="F509" s="4"/>
      <c r="G509" s="4"/>
      <c r="H509" s="25"/>
      <c r="I509" s="4"/>
      <c r="J509" s="4"/>
      <c r="K509" s="2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25"/>
      <c r="C510" s="25"/>
      <c r="D510" s="4"/>
      <c r="E510" s="4"/>
      <c r="F510" s="4"/>
      <c r="G510" s="4"/>
      <c r="H510" s="25"/>
      <c r="I510" s="4"/>
      <c r="J510" s="4"/>
      <c r="K510" s="2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25"/>
      <c r="C511" s="25"/>
      <c r="D511" s="4"/>
      <c r="E511" s="4"/>
      <c r="F511" s="4"/>
      <c r="G511" s="4"/>
      <c r="H511" s="25"/>
      <c r="I511" s="4"/>
      <c r="J511" s="4"/>
      <c r="K511" s="2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25"/>
      <c r="C512" s="25"/>
      <c r="D512" s="4"/>
      <c r="E512" s="4"/>
      <c r="F512" s="4"/>
      <c r="G512" s="4"/>
      <c r="H512" s="25"/>
      <c r="I512" s="4"/>
      <c r="J512" s="4"/>
      <c r="K512" s="2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25"/>
      <c r="C513" s="25"/>
      <c r="D513" s="4"/>
      <c r="E513" s="4"/>
      <c r="F513" s="4"/>
      <c r="G513" s="4"/>
      <c r="H513" s="25"/>
      <c r="I513" s="4"/>
      <c r="J513" s="4"/>
      <c r="K513" s="2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25"/>
      <c r="C514" s="25"/>
      <c r="D514" s="4"/>
      <c r="E514" s="4"/>
      <c r="F514" s="4"/>
      <c r="G514" s="4"/>
      <c r="H514" s="25"/>
      <c r="I514" s="4"/>
      <c r="J514" s="4"/>
      <c r="K514" s="2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25"/>
      <c r="C515" s="25"/>
      <c r="D515" s="4"/>
      <c r="E515" s="4"/>
      <c r="F515" s="4"/>
      <c r="G515" s="4"/>
      <c r="H515" s="25"/>
      <c r="I515" s="4"/>
      <c r="J515" s="4"/>
      <c r="K515" s="2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25"/>
      <c r="C516" s="25"/>
      <c r="D516" s="4"/>
      <c r="E516" s="4"/>
      <c r="F516" s="4"/>
      <c r="G516" s="4"/>
      <c r="H516" s="25"/>
      <c r="I516" s="4"/>
      <c r="J516" s="4"/>
      <c r="K516" s="2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25"/>
      <c r="C517" s="25"/>
      <c r="D517" s="4"/>
      <c r="E517" s="4"/>
      <c r="F517" s="4"/>
      <c r="G517" s="4"/>
      <c r="H517" s="25"/>
      <c r="I517" s="4"/>
      <c r="J517" s="4"/>
      <c r="K517" s="2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25"/>
      <c r="C518" s="25"/>
      <c r="D518" s="4"/>
      <c r="E518" s="4"/>
      <c r="F518" s="4"/>
      <c r="G518" s="4"/>
      <c r="H518" s="25"/>
      <c r="I518" s="4"/>
      <c r="J518" s="4"/>
      <c r="K518" s="2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25"/>
      <c r="C519" s="25"/>
      <c r="D519" s="4"/>
      <c r="E519" s="4"/>
      <c r="F519" s="4"/>
      <c r="G519" s="4"/>
      <c r="H519" s="25"/>
      <c r="I519" s="4"/>
      <c r="J519" s="4"/>
      <c r="K519" s="2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25"/>
      <c r="C520" s="25"/>
      <c r="D520" s="4"/>
      <c r="E520" s="4"/>
      <c r="F520" s="4"/>
      <c r="G520" s="4"/>
      <c r="H520" s="25"/>
      <c r="I520" s="4"/>
      <c r="J520" s="4"/>
      <c r="K520" s="2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25"/>
      <c r="C521" s="25"/>
      <c r="D521" s="4"/>
      <c r="E521" s="4"/>
      <c r="F521" s="4"/>
      <c r="G521" s="4"/>
      <c r="H521" s="25"/>
      <c r="I521" s="4"/>
      <c r="J521" s="4"/>
      <c r="K521" s="2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25"/>
      <c r="C522" s="25"/>
      <c r="D522" s="4"/>
      <c r="E522" s="4"/>
      <c r="F522" s="4"/>
      <c r="G522" s="4"/>
      <c r="H522" s="25"/>
      <c r="I522" s="4"/>
      <c r="J522" s="4"/>
      <c r="K522" s="2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25"/>
      <c r="C523" s="25"/>
      <c r="D523" s="4"/>
      <c r="E523" s="4"/>
      <c r="F523" s="4"/>
      <c r="G523" s="4"/>
      <c r="H523" s="25"/>
      <c r="I523" s="4"/>
      <c r="J523" s="4"/>
      <c r="K523" s="2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25"/>
      <c r="C524" s="25"/>
      <c r="D524" s="4"/>
      <c r="E524" s="4"/>
      <c r="F524" s="4"/>
      <c r="G524" s="4"/>
      <c r="H524" s="25"/>
      <c r="I524" s="4"/>
      <c r="J524" s="4"/>
      <c r="K524" s="2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25"/>
      <c r="C525" s="25"/>
      <c r="D525" s="4"/>
      <c r="E525" s="4"/>
      <c r="F525" s="4"/>
      <c r="G525" s="4"/>
      <c r="H525" s="25"/>
      <c r="I525" s="4"/>
      <c r="J525" s="4"/>
      <c r="K525" s="2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25"/>
      <c r="C526" s="25"/>
      <c r="D526" s="4"/>
      <c r="E526" s="4"/>
      <c r="F526" s="4"/>
      <c r="G526" s="4"/>
      <c r="H526" s="25"/>
      <c r="I526" s="4"/>
      <c r="J526" s="4"/>
      <c r="K526" s="2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25"/>
      <c r="C527" s="25"/>
      <c r="D527" s="4"/>
      <c r="E527" s="4"/>
      <c r="F527" s="4"/>
      <c r="G527" s="4"/>
      <c r="H527" s="25"/>
      <c r="I527" s="4"/>
      <c r="J527" s="4"/>
      <c r="K527" s="2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25"/>
      <c r="C528" s="25"/>
      <c r="D528" s="4"/>
      <c r="E528" s="4"/>
      <c r="F528" s="4"/>
      <c r="G528" s="4"/>
      <c r="H528" s="25"/>
      <c r="I528" s="4"/>
      <c r="J528" s="4"/>
      <c r="K528" s="2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25"/>
      <c r="C529" s="25"/>
      <c r="D529" s="4"/>
      <c r="E529" s="4"/>
      <c r="F529" s="4"/>
      <c r="G529" s="4"/>
      <c r="H529" s="25"/>
      <c r="I529" s="4"/>
      <c r="J529" s="4"/>
      <c r="K529" s="2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25"/>
      <c r="C530" s="25"/>
      <c r="D530" s="4"/>
      <c r="E530" s="4"/>
      <c r="F530" s="4"/>
      <c r="G530" s="4"/>
      <c r="H530" s="25"/>
      <c r="I530" s="4"/>
      <c r="J530" s="4"/>
      <c r="K530" s="2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25"/>
      <c r="C531" s="25"/>
      <c r="D531" s="4"/>
      <c r="E531" s="4"/>
      <c r="F531" s="4"/>
      <c r="G531" s="4"/>
      <c r="H531" s="25"/>
      <c r="I531" s="4"/>
      <c r="J531" s="4"/>
      <c r="K531" s="2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25"/>
      <c r="C532" s="25"/>
      <c r="D532" s="4"/>
      <c r="E532" s="4"/>
      <c r="F532" s="4"/>
      <c r="G532" s="4"/>
      <c r="H532" s="25"/>
      <c r="I532" s="4"/>
      <c r="J532" s="4"/>
      <c r="K532" s="2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25"/>
      <c r="C533" s="25"/>
      <c r="D533" s="4"/>
      <c r="E533" s="4"/>
      <c r="F533" s="4"/>
      <c r="G533" s="4"/>
      <c r="H533" s="25"/>
      <c r="I533" s="4"/>
      <c r="J533" s="4"/>
      <c r="K533" s="2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25"/>
      <c r="C534" s="25"/>
      <c r="D534" s="4"/>
      <c r="E534" s="4"/>
      <c r="F534" s="4"/>
      <c r="G534" s="4"/>
      <c r="H534" s="25"/>
      <c r="I534" s="4"/>
      <c r="J534" s="4"/>
      <c r="K534" s="2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25"/>
      <c r="C535" s="25"/>
      <c r="D535" s="4"/>
      <c r="E535" s="4"/>
      <c r="F535" s="4"/>
      <c r="G535" s="4"/>
      <c r="H535" s="25"/>
      <c r="I535" s="4"/>
      <c r="J535" s="4"/>
      <c r="K535" s="2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25"/>
      <c r="C536" s="25"/>
      <c r="D536" s="4"/>
      <c r="E536" s="4"/>
      <c r="F536" s="4"/>
      <c r="G536" s="4"/>
      <c r="H536" s="25"/>
      <c r="I536" s="4"/>
      <c r="J536" s="4"/>
      <c r="K536" s="2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25"/>
      <c r="C537" s="25"/>
      <c r="D537" s="4"/>
      <c r="E537" s="4"/>
      <c r="F537" s="4"/>
      <c r="G537" s="4"/>
      <c r="H537" s="25"/>
      <c r="I537" s="4"/>
      <c r="J537" s="4"/>
      <c r="K537" s="2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25"/>
      <c r="C538" s="25"/>
      <c r="D538" s="4"/>
      <c r="E538" s="4"/>
      <c r="F538" s="4"/>
      <c r="G538" s="4"/>
      <c r="H538" s="25"/>
      <c r="I538" s="4"/>
      <c r="J538" s="4"/>
      <c r="K538" s="2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25"/>
      <c r="C539" s="25"/>
      <c r="D539" s="4"/>
      <c r="E539" s="4"/>
      <c r="F539" s="4"/>
      <c r="G539" s="4"/>
      <c r="H539" s="25"/>
      <c r="I539" s="4"/>
      <c r="J539" s="4"/>
      <c r="K539" s="2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25"/>
      <c r="C540" s="25"/>
      <c r="D540" s="4"/>
      <c r="E540" s="4"/>
      <c r="F540" s="4"/>
      <c r="G540" s="4"/>
      <c r="H540" s="25"/>
      <c r="I540" s="4"/>
      <c r="J540" s="4"/>
      <c r="K540" s="2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25"/>
      <c r="C541" s="25"/>
      <c r="D541" s="4"/>
      <c r="E541" s="4"/>
      <c r="F541" s="4"/>
      <c r="G541" s="4"/>
      <c r="H541" s="25"/>
      <c r="I541" s="4"/>
      <c r="J541" s="4"/>
      <c r="K541" s="2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25"/>
      <c r="C542" s="25"/>
      <c r="D542" s="4"/>
      <c r="E542" s="4"/>
      <c r="F542" s="4"/>
      <c r="G542" s="4"/>
      <c r="H542" s="25"/>
      <c r="I542" s="4"/>
      <c r="J542" s="4"/>
      <c r="K542" s="2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25"/>
      <c r="C543" s="25"/>
      <c r="D543" s="4"/>
      <c r="E543" s="4"/>
      <c r="F543" s="4"/>
      <c r="G543" s="4"/>
      <c r="H543" s="25"/>
      <c r="I543" s="4"/>
      <c r="J543" s="4"/>
      <c r="K543" s="2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25"/>
      <c r="C544" s="25"/>
      <c r="D544" s="4"/>
      <c r="E544" s="4"/>
      <c r="F544" s="4"/>
      <c r="G544" s="4"/>
      <c r="H544" s="25"/>
      <c r="I544" s="4"/>
      <c r="J544" s="4"/>
      <c r="K544" s="2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25"/>
      <c r="C545" s="25"/>
      <c r="D545" s="4"/>
      <c r="E545" s="4"/>
      <c r="F545" s="4"/>
      <c r="G545" s="4"/>
      <c r="H545" s="25"/>
      <c r="I545" s="4"/>
      <c r="J545" s="4"/>
      <c r="K545" s="2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25"/>
      <c r="C546" s="25"/>
      <c r="D546" s="4"/>
      <c r="E546" s="4"/>
      <c r="F546" s="4"/>
      <c r="G546" s="4"/>
      <c r="H546" s="25"/>
      <c r="I546" s="4"/>
      <c r="J546" s="4"/>
      <c r="K546" s="2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25"/>
      <c r="C547" s="25"/>
      <c r="D547" s="4"/>
      <c r="E547" s="4"/>
      <c r="F547" s="4"/>
      <c r="G547" s="4"/>
      <c r="H547" s="25"/>
      <c r="I547" s="4"/>
      <c r="J547" s="4"/>
      <c r="K547" s="2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25"/>
      <c r="C548" s="25"/>
      <c r="D548" s="4"/>
      <c r="E548" s="4"/>
      <c r="F548" s="4"/>
      <c r="G548" s="4"/>
      <c r="H548" s="25"/>
      <c r="I548" s="4"/>
      <c r="J548" s="4"/>
      <c r="K548" s="2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25"/>
      <c r="C549" s="25"/>
      <c r="D549" s="4"/>
      <c r="E549" s="4"/>
      <c r="F549" s="4"/>
      <c r="G549" s="4"/>
      <c r="H549" s="25"/>
      <c r="I549" s="4"/>
      <c r="J549" s="4"/>
      <c r="K549" s="2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25"/>
      <c r="C550" s="25"/>
      <c r="D550" s="4"/>
      <c r="E550" s="4"/>
      <c r="F550" s="4"/>
      <c r="G550" s="4"/>
      <c r="H550" s="25"/>
      <c r="I550" s="4"/>
      <c r="J550" s="4"/>
      <c r="K550" s="2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25"/>
      <c r="C551" s="25"/>
      <c r="D551" s="4"/>
      <c r="E551" s="4"/>
      <c r="F551" s="4"/>
      <c r="G551" s="4"/>
      <c r="H551" s="25"/>
      <c r="I551" s="4"/>
      <c r="J551" s="4"/>
      <c r="K551" s="2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25"/>
      <c r="C552" s="25"/>
      <c r="D552" s="4"/>
      <c r="E552" s="4"/>
      <c r="F552" s="4"/>
      <c r="G552" s="4"/>
      <c r="H552" s="25"/>
      <c r="I552" s="4"/>
      <c r="J552" s="4"/>
      <c r="K552" s="2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25"/>
      <c r="C553" s="25"/>
      <c r="D553" s="4"/>
      <c r="E553" s="4"/>
      <c r="F553" s="4"/>
      <c r="G553" s="4"/>
      <c r="H553" s="25"/>
      <c r="I553" s="4"/>
      <c r="J553" s="4"/>
      <c r="K553" s="2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25"/>
      <c r="C554" s="25"/>
      <c r="D554" s="4"/>
      <c r="E554" s="4"/>
      <c r="F554" s="4"/>
      <c r="G554" s="4"/>
      <c r="H554" s="25"/>
      <c r="I554" s="4"/>
      <c r="J554" s="4"/>
      <c r="K554" s="2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25"/>
      <c r="C555" s="25"/>
      <c r="D555" s="4"/>
      <c r="E555" s="4"/>
      <c r="F555" s="4"/>
      <c r="G555" s="4"/>
      <c r="H555" s="25"/>
      <c r="I555" s="4"/>
      <c r="J555" s="4"/>
      <c r="K555" s="2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25"/>
      <c r="C556" s="25"/>
      <c r="D556" s="4"/>
      <c r="E556" s="4"/>
      <c r="F556" s="4"/>
      <c r="G556" s="4"/>
      <c r="H556" s="25"/>
      <c r="I556" s="4"/>
      <c r="J556" s="4"/>
      <c r="K556" s="2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25"/>
      <c r="C557" s="25"/>
      <c r="D557" s="4"/>
      <c r="E557" s="4"/>
      <c r="F557" s="4"/>
      <c r="G557" s="4"/>
      <c r="H557" s="25"/>
      <c r="I557" s="4"/>
      <c r="J557" s="4"/>
      <c r="K557" s="2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25"/>
      <c r="C558" s="25"/>
      <c r="D558" s="4"/>
      <c r="E558" s="4"/>
      <c r="F558" s="4"/>
      <c r="G558" s="4"/>
      <c r="H558" s="25"/>
      <c r="I558" s="4"/>
      <c r="J558" s="4"/>
      <c r="K558" s="2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25"/>
      <c r="C559" s="25"/>
      <c r="D559" s="4"/>
      <c r="E559" s="4"/>
      <c r="F559" s="4"/>
      <c r="G559" s="4"/>
      <c r="H559" s="25"/>
      <c r="I559" s="4"/>
      <c r="J559" s="4"/>
      <c r="K559" s="2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25"/>
      <c r="C560" s="25"/>
      <c r="D560" s="4"/>
      <c r="E560" s="4"/>
      <c r="F560" s="4"/>
      <c r="G560" s="4"/>
      <c r="H560" s="25"/>
      <c r="I560" s="4"/>
      <c r="J560" s="4"/>
      <c r="K560" s="2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25"/>
      <c r="C561" s="25"/>
      <c r="D561" s="4"/>
      <c r="E561" s="4"/>
      <c r="F561" s="4"/>
      <c r="G561" s="4"/>
      <c r="H561" s="25"/>
      <c r="I561" s="4"/>
      <c r="J561" s="4"/>
      <c r="K561" s="2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25"/>
      <c r="C562" s="25"/>
      <c r="D562" s="4"/>
      <c r="E562" s="4"/>
      <c r="F562" s="4"/>
      <c r="G562" s="4"/>
      <c r="H562" s="25"/>
      <c r="I562" s="4"/>
      <c r="J562" s="4"/>
      <c r="K562" s="2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25"/>
      <c r="C563" s="25"/>
      <c r="D563" s="4"/>
      <c r="E563" s="4"/>
      <c r="F563" s="4"/>
      <c r="G563" s="4"/>
      <c r="H563" s="25"/>
      <c r="I563" s="4"/>
      <c r="J563" s="4"/>
      <c r="K563" s="2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25"/>
      <c r="C564" s="25"/>
      <c r="D564" s="4"/>
      <c r="E564" s="4"/>
      <c r="F564" s="4"/>
      <c r="G564" s="4"/>
      <c r="H564" s="25"/>
      <c r="I564" s="4"/>
      <c r="J564" s="4"/>
      <c r="K564" s="2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25"/>
      <c r="C565" s="25"/>
      <c r="D565" s="4"/>
      <c r="E565" s="4"/>
      <c r="F565" s="4"/>
      <c r="G565" s="4"/>
      <c r="H565" s="25"/>
      <c r="I565" s="4"/>
      <c r="J565" s="4"/>
      <c r="K565" s="2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25"/>
      <c r="C566" s="25"/>
      <c r="D566" s="4"/>
      <c r="E566" s="4"/>
      <c r="F566" s="4"/>
      <c r="G566" s="4"/>
      <c r="H566" s="25"/>
      <c r="I566" s="4"/>
      <c r="J566" s="4"/>
      <c r="K566" s="2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25"/>
      <c r="C567" s="25"/>
      <c r="D567" s="4"/>
      <c r="E567" s="4"/>
      <c r="F567" s="4"/>
      <c r="G567" s="4"/>
      <c r="H567" s="25"/>
      <c r="I567" s="4"/>
      <c r="J567" s="4"/>
      <c r="K567" s="2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25"/>
      <c r="C568" s="25"/>
      <c r="D568" s="4"/>
      <c r="E568" s="4"/>
      <c r="F568" s="4"/>
      <c r="G568" s="4"/>
      <c r="H568" s="25"/>
      <c r="I568" s="4"/>
      <c r="J568" s="4"/>
      <c r="K568" s="2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25"/>
      <c r="C569" s="25"/>
      <c r="D569" s="4"/>
      <c r="E569" s="4"/>
      <c r="F569" s="4"/>
      <c r="G569" s="4"/>
      <c r="H569" s="25"/>
      <c r="I569" s="4"/>
      <c r="J569" s="4"/>
      <c r="K569" s="2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25"/>
      <c r="C570" s="25"/>
      <c r="D570" s="4"/>
      <c r="E570" s="4"/>
      <c r="F570" s="4"/>
      <c r="G570" s="4"/>
      <c r="H570" s="25"/>
      <c r="I570" s="4"/>
      <c r="J570" s="4"/>
      <c r="K570" s="2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25"/>
      <c r="C571" s="25"/>
      <c r="D571" s="4"/>
      <c r="E571" s="4"/>
      <c r="F571" s="4"/>
      <c r="G571" s="4"/>
      <c r="H571" s="25"/>
      <c r="I571" s="4"/>
      <c r="J571" s="4"/>
      <c r="K571" s="2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25"/>
      <c r="C572" s="25"/>
      <c r="D572" s="4"/>
      <c r="E572" s="4"/>
      <c r="F572" s="4"/>
      <c r="G572" s="4"/>
      <c r="H572" s="25"/>
      <c r="I572" s="4"/>
      <c r="J572" s="4"/>
      <c r="K572" s="2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25"/>
      <c r="C573" s="25"/>
      <c r="D573" s="4"/>
      <c r="E573" s="4"/>
      <c r="F573" s="4"/>
      <c r="G573" s="4"/>
      <c r="H573" s="25"/>
      <c r="I573" s="4"/>
      <c r="J573" s="4"/>
      <c r="K573" s="2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25"/>
      <c r="C574" s="25"/>
      <c r="D574" s="4"/>
      <c r="E574" s="4"/>
      <c r="F574" s="4"/>
      <c r="G574" s="4"/>
      <c r="H574" s="25"/>
      <c r="I574" s="4"/>
      <c r="J574" s="4"/>
      <c r="K574" s="2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25"/>
      <c r="C575" s="25"/>
      <c r="D575" s="4"/>
      <c r="E575" s="4"/>
      <c r="F575" s="4"/>
      <c r="G575" s="4"/>
      <c r="H575" s="25"/>
      <c r="I575" s="4"/>
      <c r="J575" s="4"/>
      <c r="K575" s="2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25"/>
      <c r="C576" s="25"/>
      <c r="D576" s="4"/>
      <c r="E576" s="4"/>
      <c r="F576" s="4"/>
      <c r="G576" s="4"/>
      <c r="H576" s="25"/>
      <c r="I576" s="4"/>
      <c r="J576" s="4"/>
      <c r="K576" s="2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25"/>
      <c r="C577" s="25"/>
      <c r="D577" s="4"/>
      <c r="E577" s="4"/>
      <c r="F577" s="4"/>
      <c r="G577" s="4"/>
      <c r="H577" s="25"/>
      <c r="I577" s="4"/>
      <c r="J577" s="4"/>
      <c r="K577" s="2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25"/>
      <c r="C578" s="25"/>
      <c r="D578" s="4"/>
      <c r="E578" s="4"/>
      <c r="F578" s="4"/>
      <c r="G578" s="4"/>
      <c r="H578" s="25"/>
      <c r="I578" s="4"/>
      <c r="J578" s="4"/>
      <c r="K578" s="2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25"/>
      <c r="C579" s="25"/>
      <c r="D579" s="4"/>
      <c r="E579" s="4"/>
      <c r="F579" s="4"/>
      <c r="G579" s="4"/>
      <c r="H579" s="25"/>
      <c r="I579" s="4"/>
      <c r="J579" s="4"/>
      <c r="K579" s="2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25"/>
      <c r="C580" s="25"/>
      <c r="D580" s="4"/>
      <c r="E580" s="4"/>
      <c r="F580" s="4"/>
      <c r="G580" s="4"/>
      <c r="H580" s="25"/>
      <c r="I580" s="4"/>
      <c r="J580" s="4"/>
      <c r="K580" s="2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25"/>
      <c r="C581" s="25"/>
      <c r="D581" s="4"/>
      <c r="E581" s="4"/>
      <c r="F581" s="4"/>
      <c r="G581" s="4"/>
      <c r="H581" s="25"/>
      <c r="I581" s="4"/>
      <c r="J581" s="4"/>
      <c r="K581" s="2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25"/>
      <c r="C582" s="25"/>
      <c r="D582" s="4"/>
      <c r="E582" s="4"/>
      <c r="F582" s="4"/>
      <c r="G582" s="4"/>
      <c r="H582" s="25"/>
      <c r="I582" s="4"/>
      <c r="J582" s="4"/>
      <c r="K582" s="2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25"/>
      <c r="C583" s="25"/>
      <c r="D583" s="4"/>
      <c r="E583" s="4"/>
      <c r="F583" s="4"/>
      <c r="G583" s="4"/>
      <c r="H583" s="25"/>
      <c r="I583" s="4"/>
      <c r="J583" s="4"/>
      <c r="K583" s="2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25"/>
      <c r="C584" s="25"/>
      <c r="D584" s="4"/>
      <c r="E584" s="4"/>
      <c r="F584" s="4"/>
      <c r="G584" s="4"/>
      <c r="H584" s="25"/>
      <c r="I584" s="4"/>
      <c r="J584" s="4"/>
      <c r="K584" s="2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25"/>
      <c r="C585" s="25"/>
      <c r="D585" s="4"/>
      <c r="E585" s="4"/>
      <c r="F585" s="4"/>
      <c r="G585" s="4"/>
      <c r="H585" s="25"/>
      <c r="I585" s="4"/>
      <c r="J585" s="4"/>
      <c r="K585" s="2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25"/>
      <c r="C586" s="25"/>
      <c r="D586" s="4"/>
      <c r="E586" s="4"/>
      <c r="F586" s="4"/>
      <c r="G586" s="4"/>
      <c r="H586" s="25"/>
      <c r="I586" s="4"/>
      <c r="J586" s="4"/>
      <c r="K586" s="2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25"/>
      <c r="C587" s="25"/>
      <c r="D587" s="4"/>
      <c r="E587" s="4"/>
      <c r="F587" s="4"/>
      <c r="G587" s="4"/>
      <c r="H587" s="25"/>
      <c r="I587" s="4"/>
      <c r="J587" s="4"/>
      <c r="K587" s="2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25"/>
      <c r="C588" s="25"/>
      <c r="D588" s="4"/>
      <c r="E588" s="4"/>
      <c r="F588" s="4"/>
      <c r="G588" s="4"/>
      <c r="H588" s="25"/>
      <c r="I588" s="4"/>
      <c r="J588" s="4"/>
      <c r="K588" s="2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25"/>
      <c r="C589" s="25"/>
      <c r="D589" s="4"/>
      <c r="E589" s="4"/>
      <c r="F589" s="4"/>
      <c r="G589" s="4"/>
      <c r="H589" s="25"/>
      <c r="I589" s="4"/>
      <c r="J589" s="4"/>
      <c r="K589" s="2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25"/>
      <c r="C590" s="25"/>
      <c r="D590" s="4"/>
      <c r="E590" s="4"/>
      <c r="F590" s="4"/>
      <c r="G590" s="4"/>
      <c r="H590" s="25"/>
      <c r="I590" s="4"/>
      <c r="J590" s="4"/>
      <c r="K590" s="2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25"/>
      <c r="C591" s="25"/>
      <c r="D591" s="4"/>
      <c r="E591" s="4"/>
      <c r="F591" s="4"/>
      <c r="G591" s="4"/>
      <c r="H591" s="25"/>
      <c r="I591" s="4"/>
      <c r="J591" s="4"/>
      <c r="K591" s="2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25"/>
      <c r="C592" s="25"/>
      <c r="D592" s="4"/>
      <c r="E592" s="4"/>
      <c r="F592" s="4"/>
      <c r="G592" s="4"/>
      <c r="H592" s="25"/>
      <c r="I592" s="4"/>
      <c r="J592" s="4"/>
      <c r="K592" s="2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25"/>
      <c r="C593" s="25"/>
      <c r="D593" s="4"/>
      <c r="E593" s="4"/>
      <c r="F593" s="4"/>
      <c r="G593" s="4"/>
      <c r="H593" s="25"/>
      <c r="I593" s="4"/>
      <c r="J593" s="4"/>
      <c r="K593" s="2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25"/>
      <c r="C594" s="25"/>
      <c r="D594" s="4"/>
      <c r="E594" s="4"/>
      <c r="F594" s="4"/>
      <c r="G594" s="4"/>
      <c r="H594" s="25"/>
      <c r="I594" s="4"/>
      <c r="J594" s="4"/>
      <c r="K594" s="2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25"/>
      <c r="C595" s="25"/>
      <c r="D595" s="4"/>
      <c r="E595" s="4"/>
      <c r="F595" s="4"/>
      <c r="G595" s="4"/>
      <c r="H595" s="25"/>
      <c r="I595" s="4"/>
      <c r="J595" s="4"/>
      <c r="K595" s="2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25"/>
      <c r="C596" s="25"/>
      <c r="D596" s="4"/>
      <c r="E596" s="4"/>
      <c r="F596" s="4"/>
      <c r="G596" s="4"/>
      <c r="H596" s="25"/>
      <c r="I596" s="4"/>
      <c r="J596" s="4"/>
      <c r="K596" s="2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25"/>
      <c r="C597" s="25"/>
      <c r="D597" s="4"/>
      <c r="E597" s="4"/>
      <c r="F597" s="4"/>
      <c r="G597" s="4"/>
      <c r="H597" s="25"/>
      <c r="I597" s="4"/>
      <c r="J597" s="4"/>
      <c r="K597" s="2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25"/>
      <c r="C598" s="25"/>
      <c r="D598" s="4"/>
      <c r="E598" s="4"/>
      <c r="F598" s="4"/>
      <c r="G598" s="4"/>
      <c r="H598" s="25"/>
      <c r="I598" s="4"/>
      <c r="J598" s="4"/>
      <c r="K598" s="2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25"/>
      <c r="C599" s="25"/>
      <c r="D599" s="4"/>
      <c r="E599" s="4"/>
      <c r="F599" s="4"/>
      <c r="G599" s="4"/>
      <c r="H599" s="25"/>
      <c r="I599" s="4"/>
      <c r="J599" s="4"/>
      <c r="K599" s="2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25"/>
      <c r="C600" s="25"/>
      <c r="D600" s="4"/>
      <c r="E600" s="4"/>
      <c r="F600" s="4"/>
      <c r="G600" s="4"/>
      <c r="H600" s="25"/>
      <c r="I600" s="4"/>
      <c r="J600" s="4"/>
      <c r="K600" s="2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25"/>
      <c r="C601" s="25"/>
      <c r="D601" s="4"/>
      <c r="E601" s="4"/>
      <c r="F601" s="4"/>
      <c r="G601" s="4"/>
      <c r="H601" s="25"/>
      <c r="I601" s="4"/>
      <c r="J601" s="4"/>
      <c r="K601" s="2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25"/>
      <c r="C602" s="25"/>
      <c r="D602" s="4"/>
      <c r="E602" s="4"/>
      <c r="F602" s="4"/>
      <c r="G602" s="4"/>
      <c r="H602" s="25"/>
      <c r="I602" s="4"/>
      <c r="J602" s="4"/>
      <c r="K602" s="2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25"/>
      <c r="C603" s="25"/>
      <c r="D603" s="4"/>
      <c r="E603" s="4"/>
      <c r="F603" s="4"/>
      <c r="G603" s="4"/>
      <c r="H603" s="25"/>
      <c r="I603" s="4"/>
      <c r="J603" s="4"/>
      <c r="K603" s="2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25"/>
      <c r="C604" s="25"/>
      <c r="D604" s="4"/>
      <c r="E604" s="4"/>
      <c r="F604" s="4"/>
      <c r="G604" s="4"/>
      <c r="H604" s="25"/>
      <c r="I604" s="4"/>
      <c r="J604" s="4"/>
      <c r="K604" s="2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25"/>
      <c r="C605" s="25"/>
      <c r="D605" s="4"/>
      <c r="E605" s="4"/>
      <c r="F605" s="4"/>
      <c r="G605" s="4"/>
      <c r="H605" s="25"/>
      <c r="I605" s="4"/>
      <c r="J605" s="4"/>
      <c r="K605" s="2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25"/>
      <c r="C606" s="25"/>
      <c r="D606" s="4"/>
      <c r="E606" s="4"/>
      <c r="F606" s="4"/>
      <c r="G606" s="4"/>
      <c r="H606" s="25"/>
      <c r="I606" s="4"/>
      <c r="J606" s="4"/>
      <c r="K606" s="2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25"/>
      <c r="C607" s="25"/>
      <c r="D607" s="4"/>
      <c r="E607" s="4"/>
      <c r="F607" s="4"/>
      <c r="G607" s="4"/>
      <c r="H607" s="25"/>
      <c r="I607" s="4"/>
      <c r="J607" s="4"/>
      <c r="K607" s="2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25"/>
      <c r="C608" s="25"/>
      <c r="D608" s="4"/>
      <c r="E608" s="4"/>
      <c r="F608" s="4"/>
      <c r="G608" s="4"/>
      <c r="H608" s="25"/>
      <c r="I608" s="4"/>
      <c r="J608" s="4"/>
      <c r="K608" s="2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25"/>
      <c r="C609" s="25"/>
      <c r="D609" s="4"/>
      <c r="E609" s="4"/>
      <c r="F609" s="4"/>
      <c r="G609" s="4"/>
      <c r="H609" s="25"/>
      <c r="I609" s="4"/>
      <c r="J609" s="4"/>
      <c r="K609" s="2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25"/>
      <c r="C610" s="25"/>
      <c r="D610" s="4"/>
      <c r="E610" s="4"/>
      <c r="F610" s="4"/>
      <c r="G610" s="4"/>
      <c r="H610" s="25"/>
      <c r="I610" s="4"/>
      <c r="J610" s="4"/>
      <c r="K610" s="2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25"/>
      <c r="C611" s="25"/>
      <c r="D611" s="4"/>
      <c r="E611" s="4"/>
      <c r="F611" s="4"/>
      <c r="G611" s="4"/>
      <c r="H611" s="25"/>
      <c r="I611" s="4"/>
      <c r="J611" s="4"/>
      <c r="K611" s="2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25"/>
      <c r="C612" s="25"/>
      <c r="D612" s="4"/>
      <c r="E612" s="4"/>
      <c r="F612" s="4"/>
      <c r="G612" s="4"/>
      <c r="H612" s="25"/>
      <c r="I612" s="4"/>
      <c r="J612" s="4"/>
      <c r="K612" s="2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25"/>
      <c r="C613" s="25"/>
      <c r="D613" s="4"/>
      <c r="E613" s="4"/>
      <c r="F613" s="4"/>
      <c r="G613" s="4"/>
      <c r="H613" s="25"/>
      <c r="I613" s="4"/>
      <c r="J613" s="4"/>
      <c r="K613" s="2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25"/>
      <c r="C614" s="25"/>
      <c r="D614" s="4"/>
      <c r="E614" s="4"/>
      <c r="F614" s="4"/>
      <c r="G614" s="4"/>
      <c r="H614" s="25"/>
      <c r="I614" s="4"/>
      <c r="J614" s="4"/>
      <c r="K614" s="2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25"/>
      <c r="C615" s="25"/>
      <c r="D615" s="4"/>
      <c r="E615" s="4"/>
      <c r="F615" s="4"/>
      <c r="G615" s="4"/>
      <c r="H615" s="25"/>
      <c r="I615" s="4"/>
      <c r="J615" s="4"/>
      <c r="K615" s="2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25"/>
      <c r="C616" s="25"/>
      <c r="D616" s="4"/>
      <c r="E616" s="4"/>
      <c r="F616" s="4"/>
      <c r="G616" s="4"/>
      <c r="H616" s="25"/>
      <c r="I616" s="4"/>
      <c r="J616" s="4"/>
      <c r="K616" s="2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25"/>
      <c r="C617" s="25"/>
      <c r="D617" s="4"/>
      <c r="E617" s="4"/>
      <c r="F617" s="4"/>
      <c r="G617" s="4"/>
      <c r="H617" s="25"/>
      <c r="I617" s="4"/>
      <c r="J617" s="4"/>
      <c r="K617" s="2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25"/>
      <c r="C618" s="25"/>
      <c r="D618" s="4"/>
      <c r="E618" s="4"/>
      <c r="F618" s="4"/>
      <c r="G618" s="4"/>
      <c r="H618" s="25"/>
      <c r="I618" s="4"/>
      <c r="J618" s="4"/>
      <c r="K618" s="2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25"/>
      <c r="C619" s="25"/>
      <c r="D619" s="4"/>
      <c r="E619" s="4"/>
      <c r="F619" s="4"/>
      <c r="G619" s="4"/>
      <c r="H619" s="25"/>
      <c r="I619" s="4"/>
      <c r="J619" s="4"/>
      <c r="K619" s="2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25"/>
      <c r="C620" s="25"/>
      <c r="D620" s="4"/>
      <c r="E620" s="4"/>
      <c r="F620" s="4"/>
      <c r="G620" s="4"/>
      <c r="H620" s="25"/>
      <c r="I620" s="4"/>
      <c r="J620" s="4"/>
      <c r="K620" s="2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25"/>
      <c r="C621" s="25"/>
      <c r="D621" s="4"/>
      <c r="E621" s="4"/>
      <c r="F621" s="4"/>
      <c r="G621" s="4"/>
      <c r="H621" s="25"/>
      <c r="I621" s="4"/>
      <c r="J621" s="4"/>
      <c r="K621" s="2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25"/>
      <c r="C622" s="25"/>
      <c r="D622" s="4"/>
      <c r="E622" s="4"/>
      <c r="F622" s="4"/>
      <c r="G622" s="4"/>
      <c r="H622" s="25"/>
      <c r="I622" s="4"/>
      <c r="J622" s="4"/>
      <c r="K622" s="2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25"/>
      <c r="C623" s="25"/>
      <c r="D623" s="4"/>
      <c r="E623" s="4"/>
      <c r="F623" s="4"/>
      <c r="G623" s="4"/>
      <c r="H623" s="25"/>
      <c r="I623" s="4"/>
      <c r="J623" s="4"/>
      <c r="K623" s="2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25"/>
      <c r="C624" s="25"/>
      <c r="D624" s="4"/>
      <c r="E624" s="4"/>
      <c r="F624" s="4"/>
      <c r="G624" s="4"/>
      <c r="H624" s="25"/>
      <c r="I624" s="4"/>
      <c r="J624" s="4"/>
      <c r="K624" s="2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25"/>
      <c r="C625" s="25"/>
      <c r="D625" s="4"/>
      <c r="E625" s="4"/>
      <c r="F625" s="4"/>
      <c r="G625" s="4"/>
      <c r="H625" s="25"/>
      <c r="I625" s="4"/>
      <c r="J625" s="4"/>
      <c r="K625" s="2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25"/>
      <c r="C626" s="25"/>
      <c r="D626" s="4"/>
      <c r="E626" s="4"/>
      <c r="F626" s="4"/>
      <c r="G626" s="4"/>
      <c r="H626" s="25"/>
      <c r="I626" s="4"/>
      <c r="J626" s="4"/>
      <c r="K626" s="2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25"/>
      <c r="C627" s="25"/>
      <c r="D627" s="4"/>
      <c r="E627" s="4"/>
      <c r="F627" s="4"/>
      <c r="G627" s="4"/>
      <c r="H627" s="25"/>
      <c r="I627" s="4"/>
      <c r="J627" s="4"/>
      <c r="K627" s="2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25"/>
      <c r="C628" s="25"/>
      <c r="D628" s="4"/>
      <c r="E628" s="4"/>
      <c r="F628" s="4"/>
      <c r="G628" s="4"/>
      <c r="H628" s="25"/>
      <c r="I628" s="4"/>
      <c r="J628" s="4"/>
      <c r="K628" s="2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25"/>
      <c r="C629" s="25"/>
      <c r="D629" s="4"/>
      <c r="E629" s="4"/>
      <c r="F629" s="4"/>
      <c r="G629" s="4"/>
      <c r="H629" s="25"/>
      <c r="I629" s="4"/>
      <c r="J629" s="4"/>
      <c r="K629" s="2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25"/>
      <c r="C630" s="25"/>
      <c r="D630" s="4"/>
      <c r="E630" s="4"/>
      <c r="F630" s="4"/>
      <c r="G630" s="4"/>
      <c r="H630" s="25"/>
      <c r="I630" s="4"/>
      <c r="J630" s="4"/>
      <c r="K630" s="2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25"/>
      <c r="C631" s="25"/>
      <c r="D631" s="4"/>
      <c r="E631" s="4"/>
      <c r="F631" s="4"/>
      <c r="G631" s="4"/>
      <c r="H631" s="25"/>
      <c r="I631" s="4"/>
      <c r="J631" s="4"/>
      <c r="K631" s="2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25"/>
      <c r="C632" s="25"/>
      <c r="D632" s="4"/>
      <c r="E632" s="4"/>
      <c r="F632" s="4"/>
      <c r="G632" s="4"/>
      <c r="H632" s="25"/>
      <c r="I632" s="4"/>
      <c r="J632" s="4"/>
      <c r="K632" s="2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25"/>
      <c r="C633" s="25"/>
      <c r="D633" s="4"/>
      <c r="E633" s="4"/>
      <c r="F633" s="4"/>
      <c r="G633" s="4"/>
      <c r="H633" s="25"/>
      <c r="I633" s="4"/>
      <c r="J633" s="4"/>
      <c r="K633" s="2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25"/>
      <c r="C634" s="25"/>
      <c r="D634" s="4"/>
      <c r="E634" s="4"/>
      <c r="F634" s="4"/>
      <c r="G634" s="4"/>
      <c r="H634" s="25"/>
      <c r="I634" s="4"/>
      <c r="J634" s="4"/>
      <c r="K634" s="2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25"/>
      <c r="C635" s="25"/>
      <c r="D635" s="4"/>
      <c r="E635" s="4"/>
      <c r="F635" s="4"/>
      <c r="G635" s="4"/>
      <c r="H635" s="25"/>
      <c r="I635" s="4"/>
      <c r="J635" s="4"/>
      <c r="K635" s="2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25"/>
      <c r="C636" s="25"/>
      <c r="D636" s="4"/>
      <c r="E636" s="4"/>
      <c r="F636" s="4"/>
      <c r="G636" s="4"/>
      <c r="H636" s="25"/>
      <c r="I636" s="4"/>
      <c r="J636" s="4"/>
      <c r="K636" s="2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25"/>
      <c r="C637" s="25"/>
      <c r="D637" s="4"/>
      <c r="E637" s="4"/>
      <c r="F637" s="4"/>
      <c r="G637" s="4"/>
      <c r="H637" s="25"/>
      <c r="I637" s="4"/>
      <c r="J637" s="4"/>
      <c r="K637" s="2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25"/>
      <c r="C638" s="25"/>
      <c r="D638" s="4"/>
      <c r="E638" s="4"/>
      <c r="F638" s="4"/>
      <c r="G638" s="4"/>
      <c r="H638" s="25"/>
      <c r="I638" s="4"/>
      <c r="J638" s="4"/>
      <c r="K638" s="2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25"/>
      <c r="C639" s="25"/>
      <c r="D639" s="4"/>
      <c r="E639" s="4"/>
      <c r="F639" s="4"/>
      <c r="G639" s="4"/>
      <c r="H639" s="25"/>
      <c r="I639" s="4"/>
      <c r="J639" s="4"/>
      <c r="K639" s="2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25"/>
      <c r="C640" s="25"/>
      <c r="D640" s="4"/>
      <c r="E640" s="4"/>
      <c r="F640" s="4"/>
      <c r="G640" s="4"/>
      <c r="H640" s="25"/>
      <c r="I640" s="4"/>
      <c r="J640" s="4"/>
      <c r="K640" s="2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25"/>
      <c r="C641" s="25"/>
      <c r="D641" s="4"/>
      <c r="E641" s="4"/>
      <c r="F641" s="4"/>
      <c r="G641" s="4"/>
      <c r="H641" s="25"/>
      <c r="I641" s="4"/>
      <c r="J641" s="4"/>
      <c r="K641" s="2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25"/>
      <c r="C642" s="25"/>
      <c r="D642" s="4"/>
      <c r="E642" s="4"/>
      <c r="F642" s="4"/>
      <c r="G642" s="4"/>
      <c r="H642" s="25"/>
      <c r="I642" s="4"/>
      <c r="J642" s="4"/>
      <c r="K642" s="2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25"/>
      <c r="C643" s="25"/>
      <c r="D643" s="4"/>
      <c r="E643" s="4"/>
      <c r="F643" s="4"/>
      <c r="G643" s="4"/>
      <c r="H643" s="25"/>
      <c r="I643" s="4"/>
      <c r="J643" s="4"/>
      <c r="K643" s="2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25"/>
      <c r="C644" s="25"/>
      <c r="D644" s="4"/>
      <c r="E644" s="4"/>
      <c r="F644" s="4"/>
      <c r="G644" s="4"/>
      <c r="H644" s="25"/>
      <c r="I644" s="4"/>
      <c r="J644" s="4"/>
      <c r="K644" s="2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25"/>
      <c r="C645" s="25"/>
      <c r="D645" s="4"/>
      <c r="E645" s="4"/>
      <c r="F645" s="4"/>
      <c r="G645" s="4"/>
      <c r="H645" s="25"/>
      <c r="I645" s="4"/>
      <c r="J645" s="4"/>
      <c r="K645" s="2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25"/>
      <c r="C646" s="25"/>
      <c r="D646" s="4"/>
      <c r="E646" s="4"/>
      <c r="F646" s="4"/>
      <c r="G646" s="4"/>
      <c r="H646" s="25"/>
      <c r="I646" s="4"/>
      <c r="J646" s="4"/>
      <c r="K646" s="2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25"/>
      <c r="C647" s="25"/>
      <c r="D647" s="4"/>
      <c r="E647" s="4"/>
      <c r="F647" s="4"/>
      <c r="G647" s="4"/>
      <c r="H647" s="25"/>
      <c r="I647" s="4"/>
      <c r="J647" s="4"/>
      <c r="K647" s="2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25"/>
      <c r="C648" s="25"/>
      <c r="D648" s="4"/>
      <c r="E648" s="4"/>
      <c r="F648" s="4"/>
      <c r="G648" s="4"/>
      <c r="H648" s="25"/>
      <c r="I648" s="4"/>
      <c r="J648" s="4"/>
      <c r="K648" s="2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25"/>
      <c r="C649" s="25"/>
      <c r="D649" s="4"/>
      <c r="E649" s="4"/>
      <c r="F649" s="4"/>
      <c r="G649" s="4"/>
      <c r="H649" s="25"/>
      <c r="I649" s="4"/>
      <c r="J649" s="4"/>
      <c r="K649" s="2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25"/>
      <c r="C650" s="25"/>
      <c r="D650" s="4"/>
      <c r="E650" s="4"/>
      <c r="F650" s="4"/>
      <c r="G650" s="4"/>
      <c r="H650" s="25"/>
      <c r="I650" s="4"/>
      <c r="J650" s="4"/>
      <c r="K650" s="2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25"/>
      <c r="C651" s="25"/>
      <c r="D651" s="4"/>
      <c r="E651" s="4"/>
      <c r="F651" s="4"/>
      <c r="G651" s="4"/>
      <c r="H651" s="25"/>
      <c r="I651" s="4"/>
      <c r="J651" s="4"/>
      <c r="K651" s="2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25"/>
      <c r="C652" s="25"/>
      <c r="D652" s="4"/>
      <c r="E652" s="4"/>
      <c r="F652" s="4"/>
      <c r="G652" s="4"/>
      <c r="H652" s="25"/>
      <c r="I652" s="4"/>
      <c r="J652" s="4"/>
      <c r="K652" s="2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25"/>
      <c r="C653" s="25"/>
      <c r="D653" s="4"/>
      <c r="E653" s="4"/>
      <c r="F653" s="4"/>
      <c r="G653" s="4"/>
      <c r="H653" s="25"/>
      <c r="I653" s="4"/>
      <c r="J653" s="4"/>
      <c r="K653" s="2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25"/>
      <c r="C654" s="25"/>
      <c r="D654" s="4"/>
      <c r="E654" s="4"/>
      <c r="F654" s="4"/>
      <c r="G654" s="4"/>
      <c r="H654" s="25"/>
      <c r="I654" s="4"/>
      <c r="J654" s="4"/>
      <c r="K654" s="2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25"/>
      <c r="C655" s="25"/>
      <c r="D655" s="4"/>
      <c r="E655" s="4"/>
      <c r="F655" s="4"/>
      <c r="G655" s="4"/>
      <c r="H655" s="25"/>
      <c r="I655" s="4"/>
      <c r="J655" s="4"/>
      <c r="K655" s="2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25"/>
      <c r="C656" s="25"/>
      <c r="D656" s="4"/>
      <c r="E656" s="4"/>
      <c r="F656" s="4"/>
      <c r="G656" s="4"/>
      <c r="H656" s="25"/>
      <c r="I656" s="4"/>
      <c r="J656" s="4"/>
      <c r="K656" s="2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25"/>
      <c r="C657" s="25"/>
      <c r="D657" s="4"/>
      <c r="E657" s="4"/>
      <c r="F657" s="4"/>
      <c r="G657" s="4"/>
      <c r="H657" s="25"/>
      <c r="I657" s="4"/>
      <c r="J657" s="4"/>
      <c r="K657" s="2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25"/>
      <c r="C658" s="25"/>
      <c r="D658" s="4"/>
      <c r="E658" s="4"/>
      <c r="F658" s="4"/>
      <c r="G658" s="4"/>
      <c r="H658" s="25"/>
      <c r="I658" s="4"/>
      <c r="J658" s="4"/>
      <c r="K658" s="2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25"/>
      <c r="C659" s="25"/>
      <c r="D659" s="4"/>
      <c r="E659" s="4"/>
      <c r="F659" s="4"/>
      <c r="G659" s="4"/>
      <c r="H659" s="25"/>
      <c r="I659" s="4"/>
      <c r="J659" s="4"/>
      <c r="K659" s="2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25"/>
      <c r="C660" s="25"/>
      <c r="D660" s="4"/>
      <c r="E660" s="4"/>
      <c r="F660" s="4"/>
      <c r="G660" s="4"/>
      <c r="H660" s="25"/>
      <c r="I660" s="4"/>
      <c r="J660" s="4"/>
      <c r="K660" s="2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25"/>
      <c r="C661" s="25"/>
      <c r="D661" s="4"/>
      <c r="E661" s="4"/>
      <c r="F661" s="4"/>
      <c r="G661" s="4"/>
      <c r="H661" s="25"/>
      <c r="I661" s="4"/>
      <c r="J661" s="4"/>
      <c r="K661" s="2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25"/>
      <c r="C662" s="25"/>
      <c r="D662" s="4"/>
      <c r="E662" s="4"/>
      <c r="F662" s="4"/>
      <c r="G662" s="4"/>
      <c r="H662" s="25"/>
      <c r="I662" s="4"/>
      <c r="J662" s="4"/>
      <c r="K662" s="2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25"/>
      <c r="C663" s="25"/>
      <c r="D663" s="4"/>
      <c r="E663" s="4"/>
      <c r="F663" s="4"/>
      <c r="G663" s="4"/>
      <c r="H663" s="25"/>
      <c r="I663" s="4"/>
      <c r="J663" s="4"/>
      <c r="K663" s="2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25"/>
      <c r="C664" s="25"/>
      <c r="D664" s="4"/>
      <c r="E664" s="4"/>
      <c r="F664" s="4"/>
      <c r="G664" s="4"/>
      <c r="H664" s="25"/>
      <c r="I664" s="4"/>
      <c r="J664" s="4"/>
      <c r="K664" s="2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25"/>
      <c r="C665" s="25"/>
      <c r="D665" s="4"/>
      <c r="E665" s="4"/>
      <c r="F665" s="4"/>
      <c r="G665" s="4"/>
      <c r="H665" s="25"/>
      <c r="I665" s="4"/>
      <c r="J665" s="4"/>
      <c r="K665" s="2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25"/>
      <c r="C666" s="25"/>
      <c r="D666" s="4"/>
      <c r="E666" s="4"/>
      <c r="F666" s="4"/>
      <c r="G666" s="4"/>
      <c r="H666" s="25"/>
      <c r="I666" s="4"/>
      <c r="J666" s="4"/>
      <c r="K666" s="2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25"/>
      <c r="C667" s="25"/>
      <c r="D667" s="4"/>
      <c r="E667" s="4"/>
      <c r="F667" s="4"/>
      <c r="G667" s="4"/>
      <c r="H667" s="25"/>
      <c r="I667" s="4"/>
      <c r="J667" s="4"/>
      <c r="K667" s="2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25"/>
      <c r="C668" s="25"/>
      <c r="D668" s="4"/>
      <c r="E668" s="4"/>
      <c r="F668" s="4"/>
      <c r="G668" s="4"/>
      <c r="H668" s="25"/>
      <c r="I668" s="4"/>
      <c r="J668" s="4"/>
      <c r="K668" s="2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25"/>
      <c r="C669" s="25"/>
      <c r="D669" s="4"/>
      <c r="E669" s="4"/>
      <c r="F669" s="4"/>
      <c r="G669" s="4"/>
      <c r="H669" s="25"/>
      <c r="I669" s="4"/>
      <c r="J669" s="4"/>
      <c r="K669" s="2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25"/>
      <c r="C670" s="25"/>
      <c r="D670" s="4"/>
      <c r="E670" s="4"/>
      <c r="F670" s="4"/>
      <c r="G670" s="4"/>
      <c r="H670" s="25"/>
      <c r="I670" s="4"/>
      <c r="J670" s="4"/>
      <c r="K670" s="2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25"/>
      <c r="C671" s="25"/>
      <c r="D671" s="4"/>
      <c r="E671" s="4"/>
      <c r="F671" s="4"/>
      <c r="G671" s="4"/>
      <c r="H671" s="25"/>
      <c r="I671" s="4"/>
      <c r="J671" s="4"/>
      <c r="K671" s="2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25"/>
      <c r="C672" s="25"/>
      <c r="D672" s="4"/>
      <c r="E672" s="4"/>
      <c r="F672" s="4"/>
      <c r="G672" s="4"/>
      <c r="H672" s="25"/>
      <c r="I672" s="4"/>
      <c r="J672" s="4"/>
      <c r="K672" s="2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25"/>
      <c r="C673" s="25"/>
      <c r="D673" s="4"/>
      <c r="E673" s="4"/>
      <c r="F673" s="4"/>
      <c r="G673" s="4"/>
      <c r="H673" s="25"/>
      <c r="I673" s="4"/>
      <c r="J673" s="4"/>
      <c r="K673" s="2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25"/>
      <c r="C674" s="25"/>
      <c r="D674" s="4"/>
      <c r="E674" s="4"/>
      <c r="F674" s="4"/>
      <c r="G674" s="4"/>
      <c r="H674" s="25"/>
      <c r="I674" s="4"/>
      <c r="J674" s="4"/>
      <c r="K674" s="2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25"/>
      <c r="C675" s="25"/>
      <c r="D675" s="4"/>
      <c r="E675" s="4"/>
      <c r="F675" s="4"/>
      <c r="G675" s="4"/>
      <c r="H675" s="25"/>
      <c r="I675" s="4"/>
      <c r="J675" s="4"/>
      <c r="K675" s="2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25"/>
      <c r="C676" s="25"/>
      <c r="D676" s="4"/>
      <c r="E676" s="4"/>
      <c r="F676" s="4"/>
      <c r="G676" s="4"/>
      <c r="H676" s="25"/>
      <c r="I676" s="4"/>
      <c r="J676" s="4"/>
      <c r="K676" s="2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25"/>
      <c r="C677" s="25"/>
      <c r="D677" s="4"/>
      <c r="E677" s="4"/>
      <c r="F677" s="4"/>
      <c r="G677" s="4"/>
      <c r="H677" s="25"/>
      <c r="I677" s="4"/>
      <c r="J677" s="4"/>
      <c r="K677" s="2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25"/>
      <c r="C678" s="25"/>
      <c r="D678" s="4"/>
      <c r="E678" s="4"/>
      <c r="F678" s="4"/>
      <c r="G678" s="4"/>
      <c r="H678" s="25"/>
      <c r="I678" s="4"/>
      <c r="J678" s="4"/>
      <c r="K678" s="2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25"/>
      <c r="C679" s="25"/>
      <c r="D679" s="4"/>
      <c r="E679" s="4"/>
      <c r="F679" s="4"/>
      <c r="G679" s="4"/>
      <c r="H679" s="25"/>
      <c r="I679" s="4"/>
      <c r="J679" s="4"/>
      <c r="K679" s="2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25"/>
      <c r="C680" s="25"/>
      <c r="D680" s="4"/>
      <c r="E680" s="4"/>
      <c r="F680" s="4"/>
      <c r="G680" s="4"/>
      <c r="H680" s="25"/>
      <c r="I680" s="4"/>
      <c r="J680" s="4"/>
      <c r="K680" s="2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25"/>
      <c r="C681" s="25"/>
      <c r="D681" s="4"/>
      <c r="E681" s="4"/>
      <c r="F681" s="4"/>
      <c r="G681" s="4"/>
      <c r="H681" s="25"/>
      <c r="I681" s="4"/>
      <c r="J681" s="4"/>
      <c r="K681" s="2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25"/>
      <c r="C682" s="25"/>
      <c r="D682" s="4"/>
      <c r="E682" s="4"/>
      <c r="F682" s="4"/>
      <c r="G682" s="4"/>
      <c r="H682" s="25"/>
      <c r="I682" s="4"/>
      <c r="J682" s="4"/>
      <c r="K682" s="2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25"/>
      <c r="C683" s="25"/>
      <c r="D683" s="4"/>
      <c r="E683" s="4"/>
      <c r="F683" s="4"/>
      <c r="G683" s="4"/>
      <c r="H683" s="25"/>
      <c r="I683" s="4"/>
      <c r="J683" s="4"/>
      <c r="K683" s="2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25"/>
      <c r="C684" s="25"/>
      <c r="D684" s="4"/>
      <c r="E684" s="4"/>
      <c r="F684" s="4"/>
      <c r="G684" s="4"/>
      <c r="H684" s="25"/>
      <c r="I684" s="4"/>
      <c r="J684" s="4"/>
      <c r="K684" s="2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25"/>
      <c r="C685" s="25"/>
      <c r="D685" s="4"/>
      <c r="E685" s="4"/>
      <c r="F685" s="4"/>
      <c r="G685" s="4"/>
      <c r="H685" s="25"/>
      <c r="I685" s="4"/>
      <c r="J685" s="4"/>
      <c r="K685" s="2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25"/>
      <c r="C686" s="25"/>
      <c r="D686" s="4"/>
      <c r="E686" s="4"/>
      <c r="F686" s="4"/>
      <c r="G686" s="4"/>
      <c r="H686" s="25"/>
      <c r="I686" s="4"/>
      <c r="J686" s="4"/>
      <c r="K686" s="2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25"/>
      <c r="C687" s="25"/>
      <c r="D687" s="4"/>
      <c r="E687" s="4"/>
      <c r="F687" s="4"/>
      <c r="G687" s="4"/>
      <c r="H687" s="25"/>
      <c r="I687" s="4"/>
      <c r="J687" s="4"/>
      <c r="K687" s="2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25"/>
      <c r="C688" s="25"/>
      <c r="D688" s="4"/>
      <c r="E688" s="4"/>
      <c r="F688" s="4"/>
      <c r="G688" s="4"/>
      <c r="H688" s="25"/>
      <c r="I688" s="4"/>
      <c r="J688" s="4"/>
      <c r="K688" s="2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25"/>
      <c r="C689" s="25"/>
      <c r="D689" s="4"/>
      <c r="E689" s="4"/>
      <c r="F689" s="4"/>
      <c r="G689" s="4"/>
      <c r="H689" s="25"/>
      <c r="I689" s="4"/>
      <c r="J689" s="4"/>
      <c r="K689" s="2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25"/>
      <c r="C690" s="25"/>
      <c r="D690" s="4"/>
      <c r="E690" s="4"/>
      <c r="F690" s="4"/>
      <c r="G690" s="4"/>
      <c r="H690" s="25"/>
      <c r="I690" s="4"/>
      <c r="J690" s="4"/>
      <c r="K690" s="2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25"/>
      <c r="C691" s="25"/>
      <c r="D691" s="4"/>
      <c r="E691" s="4"/>
      <c r="F691" s="4"/>
      <c r="G691" s="4"/>
      <c r="H691" s="25"/>
      <c r="I691" s="4"/>
      <c r="J691" s="4"/>
      <c r="K691" s="2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25"/>
      <c r="C692" s="25"/>
      <c r="D692" s="4"/>
      <c r="E692" s="4"/>
      <c r="F692" s="4"/>
      <c r="G692" s="4"/>
      <c r="H692" s="25"/>
      <c r="I692" s="4"/>
      <c r="J692" s="4"/>
      <c r="K692" s="2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25"/>
      <c r="C693" s="25"/>
      <c r="D693" s="4"/>
      <c r="E693" s="4"/>
      <c r="F693" s="4"/>
      <c r="G693" s="4"/>
      <c r="H693" s="25"/>
      <c r="I693" s="4"/>
      <c r="J693" s="4"/>
      <c r="K693" s="2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25"/>
      <c r="C694" s="25"/>
      <c r="D694" s="4"/>
      <c r="E694" s="4"/>
      <c r="F694" s="4"/>
      <c r="G694" s="4"/>
      <c r="H694" s="25"/>
      <c r="I694" s="4"/>
      <c r="J694" s="4"/>
      <c r="K694" s="2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25"/>
      <c r="C695" s="25"/>
      <c r="D695" s="4"/>
      <c r="E695" s="4"/>
      <c r="F695" s="4"/>
      <c r="G695" s="4"/>
      <c r="H695" s="25"/>
      <c r="I695" s="4"/>
      <c r="J695" s="4"/>
      <c r="K695" s="2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25"/>
      <c r="C696" s="25"/>
      <c r="D696" s="4"/>
      <c r="E696" s="4"/>
      <c r="F696" s="4"/>
      <c r="G696" s="4"/>
      <c r="H696" s="25"/>
      <c r="I696" s="4"/>
      <c r="J696" s="4"/>
      <c r="K696" s="2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25"/>
      <c r="C697" s="25"/>
      <c r="D697" s="4"/>
      <c r="E697" s="4"/>
      <c r="F697" s="4"/>
      <c r="G697" s="4"/>
      <c r="H697" s="25"/>
      <c r="I697" s="4"/>
      <c r="J697" s="4"/>
      <c r="K697" s="2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25"/>
      <c r="C698" s="25"/>
      <c r="D698" s="4"/>
      <c r="E698" s="4"/>
      <c r="F698" s="4"/>
      <c r="G698" s="4"/>
      <c r="H698" s="25"/>
      <c r="I698" s="4"/>
      <c r="J698" s="4"/>
      <c r="K698" s="2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25"/>
      <c r="C699" s="25"/>
      <c r="D699" s="4"/>
      <c r="E699" s="4"/>
      <c r="F699" s="4"/>
      <c r="G699" s="4"/>
      <c r="H699" s="25"/>
      <c r="I699" s="4"/>
      <c r="J699" s="4"/>
      <c r="K699" s="2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25"/>
      <c r="C700" s="25"/>
      <c r="D700" s="4"/>
      <c r="E700" s="4"/>
      <c r="F700" s="4"/>
      <c r="G700" s="4"/>
      <c r="H700" s="25"/>
      <c r="I700" s="4"/>
      <c r="J700" s="4"/>
      <c r="K700" s="2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25"/>
      <c r="C701" s="25"/>
      <c r="D701" s="4"/>
      <c r="E701" s="4"/>
      <c r="F701" s="4"/>
      <c r="G701" s="4"/>
      <c r="H701" s="25"/>
      <c r="I701" s="4"/>
      <c r="J701" s="4"/>
      <c r="K701" s="2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25"/>
      <c r="C702" s="25"/>
      <c r="D702" s="4"/>
      <c r="E702" s="4"/>
      <c r="F702" s="4"/>
      <c r="G702" s="4"/>
      <c r="H702" s="25"/>
      <c r="I702" s="4"/>
      <c r="J702" s="4"/>
      <c r="K702" s="2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25"/>
      <c r="C703" s="25"/>
      <c r="D703" s="4"/>
      <c r="E703" s="4"/>
      <c r="F703" s="4"/>
      <c r="G703" s="4"/>
      <c r="H703" s="25"/>
      <c r="I703" s="4"/>
      <c r="J703" s="4"/>
      <c r="K703" s="2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25"/>
      <c r="C704" s="25"/>
      <c r="D704" s="4"/>
      <c r="E704" s="4"/>
      <c r="F704" s="4"/>
      <c r="G704" s="4"/>
      <c r="H704" s="25"/>
      <c r="I704" s="4"/>
      <c r="J704" s="4"/>
      <c r="K704" s="2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25"/>
      <c r="C705" s="25"/>
      <c r="D705" s="4"/>
      <c r="E705" s="4"/>
      <c r="F705" s="4"/>
      <c r="G705" s="4"/>
      <c r="H705" s="25"/>
      <c r="I705" s="4"/>
      <c r="J705" s="4"/>
      <c r="K705" s="2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25"/>
      <c r="C706" s="25"/>
      <c r="D706" s="4"/>
      <c r="E706" s="4"/>
      <c r="F706" s="4"/>
      <c r="G706" s="4"/>
      <c r="H706" s="25"/>
      <c r="I706" s="4"/>
      <c r="J706" s="4"/>
      <c r="K706" s="2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25"/>
      <c r="C707" s="25"/>
      <c r="D707" s="4"/>
      <c r="E707" s="4"/>
      <c r="F707" s="4"/>
      <c r="G707" s="4"/>
      <c r="H707" s="25"/>
      <c r="I707" s="4"/>
      <c r="J707" s="4"/>
      <c r="K707" s="2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25"/>
      <c r="C708" s="25"/>
      <c r="D708" s="4"/>
      <c r="E708" s="4"/>
      <c r="F708" s="4"/>
      <c r="G708" s="4"/>
      <c r="H708" s="25"/>
      <c r="I708" s="4"/>
      <c r="J708" s="4"/>
      <c r="K708" s="2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25"/>
      <c r="C709" s="25"/>
      <c r="D709" s="4"/>
      <c r="E709" s="4"/>
      <c r="F709" s="4"/>
      <c r="G709" s="4"/>
      <c r="H709" s="25"/>
      <c r="I709" s="4"/>
      <c r="J709" s="4"/>
      <c r="K709" s="2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25"/>
      <c r="C710" s="25"/>
      <c r="D710" s="4"/>
      <c r="E710" s="4"/>
      <c r="F710" s="4"/>
      <c r="G710" s="4"/>
      <c r="H710" s="25"/>
      <c r="I710" s="4"/>
      <c r="J710" s="4"/>
      <c r="K710" s="2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25"/>
      <c r="C711" s="25"/>
      <c r="D711" s="4"/>
      <c r="E711" s="4"/>
      <c r="F711" s="4"/>
      <c r="G711" s="4"/>
      <c r="H711" s="25"/>
      <c r="I711" s="4"/>
      <c r="J711" s="4"/>
      <c r="K711" s="2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25"/>
      <c r="C712" s="25"/>
      <c r="D712" s="4"/>
      <c r="E712" s="4"/>
      <c r="F712" s="4"/>
      <c r="G712" s="4"/>
      <c r="H712" s="25"/>
      <c r="I712" s="4"/>
      <c r="J712" s="4"/>
      <c r="K712" s="2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25"/>
      <c r="C713" s="25"/>
      <c r="D713" s="4"/>
      <c r="E713" s="4"/>
      <c r="F713" s="4"/>
      <c r="G713" s="4"/>
      <c r="H713" s="25"/>
      <c r="I713" s="4"/>
      <c r="J713" s="4"/>
      <c r="K713" s="2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25"/>
      <c r="C714" s="25"/>
      <c r="D714" s="4"/>
      <c r="E714" s="4"/>
      <c r="F714" s="4"/>
      <c r="G714" s="4"/>
      <c r="H714" s="25"/>
      <c r="I714" s="4"/>
      <c r="J714" s="4"/>
      <c r="K714" s="2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25"/>
      <c r="C715" s="25"/>
      <c r="D715" s="4"/>
      <c r="E715" s="4"/>
      <c r="F715" s="4"/>
      <c r="G715" s="4"/>
      <c r="H715" s="25"/>
      <c r="I715" s="4"/>
      <c r="J715" s="4"/>
      <c r="K715" s="2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25"/>
      <c r="C716" s="25"/>
      <c r="D716" s="4"/>
      <c r="E716" s="4"/>
      <c r="F716" s="4"/>
      <c r="G716" s="4"/>
      <c r="H716" s="25"/>
      <c r="I716" s="4"/>
      <c r="J716" s="4"/>
      <c r="K716" s="2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25"/>
      <c r="C717" s="25"/>
      <c r="D717" s="4"/>
      <c r="E717" s="4"/>
      <c r="F717" s="4"/>
      <c r="G717" s="4"/>
      <c r="H717" s="25"/>
      <c r="I717" s="4"/>
      <c r="J717" s="4"/>
      <c r="K717" s="2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25"/>
      <c r="C718" s="25"/>
      <c r="D718" s="4"/>
      <c r="E718" s="4"/>
      <c r="F718" s="4"/>
      <c r="G718" s="4"/>
      <c r="H718" s="25"/>
      <c r="I718" s="4"/>
      <c r="J718" s="4"/>
      <c r="K718" s="2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25"/>
      <c r="C719" s="25"/>
      <c r="D719" s="4"/>
      <c r="E719" s="4"/>
      <c r="F719" s="4"/>
      <c r="G719" s="4"/>
      <c r="H719" s="25"/>
      <c r="I719" s="4"/>
      <c r="J719" s="4"/>
      <c r="K719" s="2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25"/>
      <c r="C720" s="25"/>
      <c r="D720" s="4"/>
      <c r="E720" s="4"/>
      <c r="F720" s="4"/>
      <c r="G720" s="4"/>
      <c r="H720" s="25"/>
      <c r="I720" s="4"/>
      <c r="J720" s="4"/>
      <c r="K720" s="2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25"/>
      <c r="C721" s="25"/>
      <c r="D721" s="4"/>
      <c r="E721" s="4"/>
      <c r="F721" s="4"/>
      <c r="G721" s="4"/>
      <c r="H721" s="25"/>
      <c r="I721" s="4"/>
      <c r="J721" s="4"/>
      <c r="K721" s="2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25"/>
      <c r="C722" s="25"/>
      <c r="D722" s="4"/>
      <c r="E722" s="4"/>
      <c r="F722" s="4"/>
      <c r="G722" s="4"/>
      <c r="H722" s="25"/>
      <c r="I722" s="4"/>
      <c r="J722" s="4"/>
      <c r="K722" s="2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25"/>
      <c r="C723" s="25"/>
      <c r="D723" s="4"/>
      <c r="E723" s="4"/>
      <c r="F723" s="4"/>
      <c r="G723" s="4"/>
      <c r="H723" s="25"/>
      <c r="I723" s="4"/>
      <c r="J723" s="4"/>
      <c r="K723" s="2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25"/>
      <c r="C724" s="25"/>
      <c r="D724" s="4"/>
      <c r="E724" s="4"/>
      <c r="F724" s="4"/>
      <c r="G724" s="4"/>
      <c r="H724" s="25"/>
      <c r="I724" s="4"/>
      <c r="J724" s="4"/>
      <c r="K724" s="2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25"/>
      <c r="C725" s="25"/>
      <c r="D725" s="4"/>
      <c r="E725" s="4"/>
      <c r="F725" s="4"/>
      <c r="G725" s="4"/>
      <c r="H725" s="25"/>
      <c r="I725" s="4"/>
      <c r="J725" s="4"/>
      <c r="K725" s="2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25"/>
      <c r="C726" s="25"/>
      <c r="D726" s="4"/>
      <c r="E726" s="4"/>
      <c r="F726" s="4"/>
      <c r="G726" s="4"/>
      <c r="H726" s="25"/>
      <c r="I726" s="4"/>
      <c r="J726" s="4"/>
      <c r="K726" s="2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25"/>
      <c r="C727" s="25"/>
      <c r="D727" s="4"/>
      <c r="E727" s="4"/>
      <c r="F727" s="4"/>
      <c r="G727" s="4"/>
      <c r="H727" s="25"/>
      <c r="I727" s="4"/>
      <c r="J727" s="4"/>
      <c r="K727" s="2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25"/>
      <c r="C728" s="25"/>
      <c r="D728" s="4"/>
      <c r="E728" s="4"/>
      <c r="F728" s="4"/>
      <c r="G728" s="4"/>
      <c r="H728" s="25"/>
      <c r="I728" s="4"/>
      <c r="J728" s="4"/>
      <c r="K728" s="2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25"/>
      <c r="C729" s="25"/>
      <c r="D729" s="4"/>
      <c r="E729" s="4"/>
      <c r="F729" s="4"/>
      <c r="G729" s="4"/>
      <c r="H729" s="25"/>
      <c r="I729" s="4"/>
      <c r="J729" s="4"/>
      <c r="K729" s="2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25"/>
      <c r="C730" s="25"/>
      <c r="D730" s="4"/>
      <c r="E730" s="4"/>
      <c r="F730" s="4"/>
      <c r="G730" s="4"/>
      <c r="H730" s="25"/>
      <c r="I730" s="4"/>
      <c r="J730" s="4"/>
      <c r="K730" s="2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25"/>
      <c r="C731" s="25"/>
      <c r="D731" s="4"/>
      <c r="E731" s="4"/>
      <c r="F731" s="4"/>
      <c r="G731" s="4"/>
      <c r="H731" s="25"/>
      <c r="I731" s="4"/>
      <c r="J731" s="4"/>
      <c r="K731" s="2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25"/>
      <c r="C732" s="25"/>
      <c r="D732" s="4"/>
      <c r="E732" s="4"/>
      <c r="F732" s="4"/>
      <c r="G732" s="4"/>
      <c r="H732" s="25"/>
      <c r="I732" s="4"/>
      <c r="J732" s="4"/>
      <c r="K732" s="2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25"/>
      <c r="C733" s="25"/>
      <c r="D733" s="4"/>
      <c r="E733" s="4"/>
      <c r="F733" s="4"/>
      <c r="G733" s="4"/>
      <c r="H733" s="25"/>
      <c r="I733" s="4"/>
      <c r="J733" s="4"/>
      <c r="K733" s="2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25"/>
      <c r="C734" s="25"/>
      <c r="D734" s="4"/>
      <c r="E734" s="4"/>
      <c r="F734" s="4"/>
      <c r="G734" s="4"/>
      <c r="H734" s="25"/>
      <c r="I734" s="4"/>
      <c r="J734" s="4"/>
      <c r="K734" s="2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25"/>
      <c r="C735" s="25"/>
      <c r="D735" s="4"/>
      <c r="E735" s="4"/>
      <c r="F735" s="4"/>
      <c r="G735" s="4"/>
      <c r="H735" s="25"/>
      <c r="I735" s="4"/>
      <c r="J735" s="4"/>
      <c r="K735" s="2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25"/>
      <c r="C736" s="25"/>
      <c r="D736" s="4"/>
      <c r="E736" s="4"/>
      <c r="F736" s="4"/>
      <c r="G736" s="4"/>
      <c r="H736" s="25"/>
      <c r="I736" s="4"/>
      <c r="J736" s="4"/>
      <c r="K736" s="2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25"/>
      <c r="C737" s="25"/>
      <c r="D737" s="4"/>
      <c r="E737" s="4"/>
      <c r="F737" s="4"/>
      <c r="G737" s="4"/>
      <c r="H737" s="25"/>
      <c r="I737" s="4"/>
      <c r="J737" s="4"/>
      <c r="K737" s="2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25"/>
      <c r="C738" s="25"/>
      <c r="D738" s="4"/>
      <c r="E738" s="4"/>
      <c r="F738" s="4"/>
      <c r="G738" s="4"/>
      <c r="H738" s="25"/>
      <c r="I738" s="4"/>
      <c r="J738" s="4"/>
      <c r="K738" s="2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25"/>
      <c r="C739" s="25"/>
      <c r="D739" s="4"/>
      <c r="E739" s="4"/>
      <c r="F739" s="4"/>
      <c r="G739" s="4"/>
      <c r="H739" s="25"/>
      <c r="I739" s="4"/>
      <c r="J739" s="4"/>
      <c r="K739" s="2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25"/>
      <c r="C740" s="25"/>
      <c r="D740" s="4"/>
      <c r="E740" s="4"/>
      <c r="F740" s="4"/>
      <c r="G740" s="4"/>
      <c r="H740" s="25"/>
      <c r="I740" s="4"/>
      <c r="J740" s="4"/>
      <c r="K740" s="2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25"/>
      <c r="C741" s="25"/>
      <c r="D741" s="4"/>
      <c r="E741" s="4"/>
      <c r="F741" s="4"/>
      <c r="G741" s="4"/>
      <c r="H741" s="25"/>
      <c r="I741" s="4"/>
      <c r="J741" s="4"/>
      <c r="K741" s="2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25"/>
      <c r="C742" s="25"/>
      <c r="D742" s="4"/>
      <c r="E742" s="4"/>
      <c r="F742" s="4"/>
      <c r="G742" s="4"/>
      <c r="H742" s="25"/>
      <c r="I742" s="4"/>
      <c r="J742" s="4"/>
      <c r="K742" s="2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25"/>
      <c r="C743" s="25"/>
      <c r="D743" s="4"/>
      <c r="E743" s="4"/>
      <c r="F743" s="4"/>
      <c r="G743" s="4"/>
      <c r="H743" s="25"/>
      <c r="I743" s="4"/>
      <c r="J743" s="4"/>
      <c r="K743" s="2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25"/>
      <c r="C744" s="25"/>
      <c r="D744" s="4"/>
      <c r="E744" s="4"/>
      <c r="F744" s="4"/>
      <c r="G744" s="4"/>
      <c r="H744" s="25"/>
      <c r="I744" s="4"/>
      <c r="J744" s="4"/>
      <c r="K744" s="2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25"/>
      <c r="C745" s="25"/>
      <c r="D745" s="4"/>
      <c r="E745" s="4"/>
      <c r="F745" s="4"/>
      <c r="G745" s="4"/>
      <c r="H745" s="25"/>
      <c r="I745" s="4"/>
      <c r="J745" s="4"/>
      <c r="K745" s="2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25"/>
      <c r="C746" s="25"/>
      <c r="D746" s="4"/>
      <c r="E746" s="4"/>
      <c r="F746" s="4"/>
      <c r="G746" s="4"/>
      <c r="H746" s="25"/>
      <c r="I746" s="4"/>
      <c r="J746" s="4"/>
      <c r="K746" s="2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25"/>
      <c r="C747" s="25"/>
      <c r="D747" s="4"/>
      <c r="E747" s="4"/>
      <c r="F747" s="4"/>
      <c r="G747" s="4"/>
      <c r="H747" s="25"/>
      <c r="I747" s="4"/>
      <c r="J747" s="4"/>
      <c r="K747" s="2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25"/>
      <c r="C748" s="25"/>
      <c r="D748" s="4"/>
      <c r="E748" s="4"/>
      <c r="F748" s="4"/>
      <c r="G748" s="4"/>
      <c r="H748" s="25"/>
      <c r="I748" s="4"/>
      <c r="J748" s="4"/>
      <c r="K748" s="2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25"/>
      <c r="C749" s="25"/>
      <c r="D749" s="4"/>
      <c r="E749" s="4"/>
      <c r="F749" s="4"/>
      <c r="G749" s="4"/>
      <c r="H749" s="25"/>
      <c r="I749" s="4"/>
      <c r="J749" s="4"/>
      <c r="K749" s="2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25"/>
      <c r="C750" s="25"/>
      <c r="D750" s="4"/>
      <c r="E750" s="4"/>
      <c r="F750" s="4"/>
      <c r="G750" s="4"/>
      <c r="H750" s="25"/>
      <c r="I750" s="4"/>
      <c r="J750" s="4"/>
      <c r="K750" s="2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25"/>
      <c r="C751" s="25"/>
      <c r="D751" s="4"/>
      <c r="E751" s="4"/>
      <c r="F751" s="4"/>
      <c r="G751" s="4"/>
      <c r="H751" s="25"/>
      <c r="I751" s="4"/>
      <c r="J751" s="4"/>
      <c r="K751" s="2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25"/>
      <c r="C752" s="25"/>
      <c r="D752" s="4"/>
      <c r="E752" s="4"/>
      <c r="F752" s="4"/>
      <c r="G752" s="4"/>
      <c r="H752" s="25"/>
      <c r="I752" s="4"/>
      <c r="J752" s="4"/>
      <c r="K752" s="2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25"/>
      <c r="C753" s="25"/>
      <c r="D753" s="4"/>
      <c r="E753" s="4"/>
      <c r="F753" s="4"/>
      <c r="G753" s="4"/>
      <c r="H753" s="25"/>
      <c r="I753" s="4"/>
      <c r="J753" s="4"/>
      <c r="K753" s="2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25"/>
      <c r="C754" s="25"/>
      <c r="D754" s="4"/>
      <c r="E754" s="4"/>
      <c r="F754" s="4"/>
      <c r="G754" s="4"/>
      <c r="H754" s="25"/>
      <c r="I754" s="4"/>
      <c r="J754" s="4"/>
      <c r="K754" s="2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25"/>
      <c r="C755" s="25"/>
      <c r="D755" s="4"/>
      <c r="E755" s="4"/>
      <c r="F755" s="4"/>
      <c r="G755" s="4"/>
      <c r="H755" s="25"/>
      <c r="I755" s="4"/>
      <c r="J755" s="4"/>
      <c r="K755" s="2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25"/>
      <c r="C756" s="25"/>
      <c r="D756" s="4"/>
      <c r="E756" s="4"/>
      <c r="F756" s="4"/>
      <c r="G756" s="4"/>
      <c r="H756" s="25"/>
      <c r="I756" s="4"/>
      <c r="J756" s="4"/>
      <c r="K756" s="2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25"/>
      <c r="C757" s="25"/>
      <c r="D757" s="4"/>
      <c r="E757" s="4"/>
      <c r="F757" s="4"/>
      <c r="G757" s="4"/>
      <c r="H757" s="25"/>
      <c r="I757" s="4"/>
      <c r="J757" s="4"/>
      <c r="K757" s="2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25"/>
      <c r="C758" s="25"/>
      <c r="D758" s="4"/>
      <c r="E758" s="4"/>
      <c r="F758" s="4"/>
      <c r="G758" s="4"/>
      <c r="H758" s="25"/>
      <c r="I758" s="4"/>
      <c r="J758" s="4"/>
      <c r="K758" s="2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25"/>
      <c r="C759" s="25"/>
      <c r="D759" s="4"/>
      <c r="E759" s="4"/>
      <c r="F759" s="4"/>
      <c r="G759" s="4"/>
      <c r="H759" s="25"/>
      <c r="I759" s="4"/>
      <c r="J759" s="4"/>
      <c r="K759" s="2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25"/>
      <c r="C760" s="25"/>
      <c r="D760" s="4"/>
      <c r="E760" s="4"/>
      <c r="F760" s="4"/>
      <c r="G760" s="4"/>
      <c r="H760" s="25"/>
      <c r="I760" s="4"/>
      <c r="J760" s="4"/>
      <c r="K760" s="2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25"/>
      <c r="C761" s="25"/>
      <c r="D761" s="4"/>
      <c r="E761" s="4"/>
      <c r="F761" s="4"/>
      <c r="G761" s="4"/>
      <c r="H761" s="25"/>
      <c r="I761" s="4"/>
      <c r="J761" s="4"/>
      <c r="K761" s="2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25"/>
      <c r="C762" s="25"/>
      <c r="D762" s="4"/>
      <c r="E762" s="4"/>
      <c r="F762" s="4"/>
      <c r="G762" s="4"/>
      <c r="H762" s="25"/>
      <c r="I762" s="4"/>
      <c r="J762" s="4"/>
      <c r="K762" s="2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25"/>
      <c r="C763" s="25"/>
      <c r="D763" s="4"/>
      <c r="E763" s="4"/>
      <c r="F763" s="4"/>
      <c r="G763" s="4"/>
      <c r="H763" s="25"/>
      <c r="I763" s="4"/>
      <c r="J763" s="4"/>
      <c r="K763" s="2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25"/>
      <c r="C764" s="25"/>
      <c r="D764" s="4"/>
      <c r="E764" s="4"/>
      <c r="F764" s="4"/>
      <c r="G764" s="4"/>
      <c r="H764" s="25"/>
      <c r="I764" s="4"/>
      <c r="J764" s="4"/>
      <c r="K764" s="2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25"/>
      <c r="C765" s="25"/>
      <c r="D765" s="4"/>
      <c r="E765" s="4"/>
      <c r="F765" s="4"/>
      <c r="G765" s="4"/>
      <c r="H765" s="25"/>
      <c r="I765" s="4"/>
      <c r="J765" s="4"/>
      <c r="K765" s="2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25"/>
      <c r="C766" s="25"/>
      <c r="D766" s="4"/>
      <c r="E766" s="4"/>
      <c r="F766" s="4"/>
      <c r="G766" s="4"/>
      <c r="H766" s="25"/>
      <c r="I766" s="4"/>
      <c r="J766" s="4"/>
      <c r="K766" s="2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25"/>
      <c r="C767" s="25"/>
      <c r="D767" s="4"/>
      <c r="E767" s="4"/>
      <c r="F767" s="4"/>
      <c r="G767" s="4"/>
      <c r="H767" s="25"/>
      <c r="I767" s="4"/>
      <c r="J767" s="4"/>
      <c r="K767" s="2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25"/>
      <c r="C768" s="25"/>
      <c r="D768" s="4"/>
      <c r="E768" s="4"/>
      <c r="F768" s="4"/>
      <c r="G768" s="4"/>
      <c r="H768" s="25"/>
      <c r="I768" s="4"/>
      <c r="J768" s="4"/>
      <c r="K768" s="2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25"/>
      <c r="C769" s="25"/>
      <c r="D769" s="4"/>
      <c r="E769" s="4"/>
      <c r="F769" s="4"/>
      <c r="G769" s="4"/>
      <c r="H769" s="25"/>
      <c r="I769" s="4"/>
      <c r="J769" s="4"/>
      <c r="K769" s="2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25"/>
      <c r="C770" s="25"/>
      <c r="D770" s="4"/>
      <c r="E770" s="4"/>
      <c r="F770" s="4"/>
      <c r="G770" s="4"/>
      <c r="H770" s="25"/>
      <c r="I770" s="4"/>
      <c r="J770" s="4"/>
      <c r="K770" s="2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25"/>
      <c r="C771" s="25"/>
      <c r="D771" s="4"/>
      <c r="E771" s="4"/>
      <c r="F771" s="4"/>
      <c r="G771" s="4"/>
      <c r="H771" s="25"/>
      <c r="I771" s="4"/>
      <c r="J771" s="4"/>
      <c r="K771" s="2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25"/>
      <c r="C772" s="25"/>
      <c r="D772" s="4"/>
      <c r="E772" s="4"/>
      <c r="F772" s="4"/>
      <c r="G772" s="4"/>
      <c r="H772" s="25"/>
      <c r="I772" s="4"/>
      <c r="J772" s="4"/>
      <c r="K772" s="2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25"/>
      <c r="C773" s="25"/>
      <c r="D773" s="4"/>
      <c r="E773" s="4"/>
      <c r="F773" s="4"/>
      <c r="G773" s="4"/>
      <c r="H773" s="25"/>
      <c r="I773" s="4"/>
      <c r="J773" s="4"/>
      <c r="K773" s="2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25"/>
      <c r="C774" s="25"/>
      <c r="D774" s="4"/>
      <c r="E774" s="4"/>
      <c r="F774" s="4"/>
      <c r="G774" s="4"/>
      <c r="H774" s="25"/>
      <c r="I774" s="4"/>
      <c r="J774" s="4"/>
      <c r="K774" s="2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25"/>
      <c r="C775" s="25"/>
      <c r="D775" s="4"/>
      <c r="E775" s="4"/>
      <c r="F775" s="4"/>
      <c r="G775" s="4"/>
      <c r="H775" s="25"/>
      <c r="I775" s="4"/>
      <c r="J775" s="4"/>
      <c r="K775" s="2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25"/>
      <c r="C776" s="25"/>
      <c r="D776" s="4"/>
      <c r="E776" s="4"/>
      <c r="F776" s="4"/>
      <c r="G776" s="4"/>
      <c r="H776" s="25"/>
      <c r="I776" s="4"/>
      <c r="J776" s="4"/>
      <c r="K776" s="2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25"/>
      <c r="C777" s="25"/>
      <c r="D777" s="4"/>
      <c r="E777" s="4"/>
      <c r="F777" s="4"/>
      <c r="G777" s="4"/>
      <c r="H777" s="25"/>
      <c r="I777" s="4"/>
      <c r="J777" s="4"/>
      <c r="K777" s="2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25"/>
      <c r="C778" s="25"/>
      <c r="D778" s="4"/>
      <c r="E778" s="4"/>
      <c r="F778" s="4"/>
      <c r="G778" s="4"/>
      <c r="H778" s="25"/>
      <c r="I778" s="4"/>
      <c r="J778" s="4"/>
      <c r="K778" s="2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25"/>
      <c r="C779" s="25"/>
      <c r="D779" s="4"/>
      <c r="E779" s="4"/>
      <c r="F779" s="4"/>
      <c r="G779" s="4"/>
      <c r="H779" s="25"/>
      <c r="I779" s="4"/>
      <c r="J779" s="4"/>
      <c r="K779" s="2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25"/>
      <c r="C780" s="25"/>
      <c r="D780" s="4"/>
      <c r="E780" s="4"/>
      <c r="F780" s="4"/>
      <c r="G780" s="4"/>
      <c r="H780" s="25"/>
      <c r="I780" s="4"/>
      <c r="J780" s="4"/>
      <c r="K780" s="2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25"/>
      <c r="C781" s="25"/>
      <c r="D781" s="4"/>
      <c r="E781" s="4"/>
      <c r="F781" s="4"/>
      <c r="G781" s="4"/>
      <c r="H781" s="25"/>
      <c r="I781" s="4"/>
      <c r="J781" s="4"/>
      <c r="K781" s="2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25"/>
      <c r="C782" s="25"/>
      <c r="D782" s="4"/>
      <c r="E782" s="4"/>
      <c r="F782" s="4"/>
      <c r="G782" s="4"/>
      <c r="H782" s="25"/>
      <c r="I782" s="4"/>
      <c r="J782" s="4"/>
      <c r="K782" s="2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25"/>
      <c r="C783" s="25"/>
      <c r="D783" s="4"/>
      <c r="E783" s="4"/>
      <c r="F783" s="4"/>
      <c r="G783" s="4"/>
      <c r="H783" s="25"/>
      <c r="I783" s="4"/>
      <c r="J783" s="4"/>
      <c r="K783" s="2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25"/>
      <c r="C784" s="25"/>
      <c r="D784" s="4"/>
      <c r="E784" s="4"/>
      <c r="F784" s="4"/>
      <c r="G784" s="4"/>
      <c r="H784" s="25"/>
      <c r="I784" s="4"/>
      <c r="J784" s="4"/>
      <c r="K784" s="2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25"/>
      <c r="C785" s="25"/>
      <c r="D785" s="4"/>
      <c r="E785" s="4"/>
      <c r="F785" s="4"/>
      <c r="G785" s="4"/>
      <c r="H785" s="25"/>
      <c r="I785" s="4"/>
      <c r="J785" s="4"/>
      <c r="K785" s="2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25"/>
      <c r="C786" s="25"/>
      <c r="D786" s="4"/>
      <c r="E786" s="4"/>
      <c r="F786" s="4"/>
      <c r="G786" s="4"/>
      <c r="H786" s="25"/>
      <c r="I786" s="4"/>
      <c r="J786" s="4"/>
      <c r="K786" s="2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25"/>
      <c r="C787" s="25"/>
      <c r="D787" s="4"/>
      <c r="E787" s="4"/>
      <c r="F787" s="4"/>
      <c r="G787" s="4"/>
      <c r="H787" s="25"/>
      <c r="I787" s="4"/>
      <c r="J787" s="4"/>
      <c r="K787" s="2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25"/>
      <c r="C788" s="25"/>
      <c r="D788" s="4"/>
      <c r="E788" s="4"/>
      <c r="F788" s="4"/>
      <c r="G788" s="4"/>
      <c r="H788" s="25"/>
      <c r="I788" s="4"/>
      <c r="J788" s="4"/>
      <c r="K788" s="2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25"/>
      <c r="C789" s="25"/>
      <c r="D789" s="4"/>
      <c r="E789" s="4"/>
      <c r="F789" s="4"/>
      <c r="G789" s="4"/>
      <c r="H789" s="25"/>
      <c r="I789" s="4"/>
      <c r="J789" s="4"/>
      <c r="K789" s="2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25"/>
      <c r="C790" s="25"/>
      <c r="D790" s="4"/>
      <c r="E790" s="4"/>
      <c r="F790" s="4"/>
      <c r="G790" s="4"/>
      <c r="H790" s="25"/>
      <c r="I790" s="4"/>
      <c r="J790" s="4"/>
      <c r="K790" s="2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25"/>
      <c r="C791" s="25"/>
      <c r="D791" s="4"/>
      <c r="E791" s="4"/>
      <c r="F791" s="4"/>
      <c r="G791" s="4"/>
      <c r="H791" s="25"/>
      <c r="I791" s="4"/>
      <c r="J791" s="4"/>
      <c r="K791" s="2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25"/>
      <c r="C792" s="25"/>
      <c r="D792" s="4"/>
      <c r="E792" s="4"/>
      <c r="F792" s="4"/>
      <c r="G792" s="4"/>
      <c r="H792" s="25"/>
      <c r="I792" s="4"/>
      <c r="J792" s="4"/>
      <c r="K792" s="2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25"/>
      <c r="C793" s="25"/>
      <c r="D793" s="4"/>
      <c r="E793" s="4"/>
      <c r="F793" s="4"/>
      <c r="G793" s="4"/>
      <c r="H793" s="25"/>
      <c r="I793" s="4"/>
      <c r="J793" s="4"/>
      <c r="K793" s="2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25"/>
      <c r="C794" s="25"/>
      <c r="D794" s="4"/>
      <c r="E794" s="4"/>
      <c r="F794" s="4"/>
      <c r="G794" s="4"/>
      <c r="H794" s="25"/>
      <c r="I794" s="4"/>
      <c r="J794" s="4"/>
      <c r="K794" s="2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25"/>
      <c r="C795" s="25"/>
      <c r="D795" s="4"/>
      <c r="E795" s="4"/>
      <c r="F795" s="4"/>
      <c r="G795" s="4"/>
      <c r="H795" s="25"/>
      <c r="I795" s="4"/>
      <c r="J795" s="4"/>
      <c r="K795" s="2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25"/>
      <c r="C796" s="25"/>
      <c r="D796" s="4"/>
      <c r="E796" s="4"/>
      <c r="F796" s="4"/>
      <c r="G796" s="4"/>
      <c r="H796" s="25"/>
      <c r="I796" s="4"/>
      <c r="J796" s="4"/>
      <c r="K796" s="2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25"/>
      <c r="C797" s="25"/>
      <c r="D797" s="4"/>
      <c r="E797" s="4"/>
      <c r="F797" s="4"/>
      <c r="G797" s="4"/>
      <c r="H797" s="25"/>
      <c r="I797" s="4"/>
      <c r="J797" s="4"/>
      <c r="K797" s="2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25"/>
      <c r="C798" s="25"/>
      <c r="D798" s="4"/>
      <c r="E798" s="4"/>
      <c r="F798" s="4"/>
      <c r="G798" s="4"/>
      <c r="H798" s="25"/>
      <c r="I798" s="4"/>
      <c r="J798" s="4"/>
      <c r="K798" s="2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25"/>
      <c r="C799" s="25"/>
      <c r="D799" s="4"/>
      <c r="E799" s="4"/>
      <c r="F799" s="4"/>
      <c r="G799" s="4"/>
      <c r="H799" s="25"/>
      <c r="I799" s="4"/>
      <c r="J799" s="4"/>
      <c r="K799" s="2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25"/>
      <c r="C800" s="25"/>
      <c r="D800" s="4"/>
      <c r="E800" s="4"/>
      <c r="F800" s="4"/>
      <c r="G800" s="4"/>
      <c r="H800" s="25"/>
      <c r="I800" s="4"/>
      <c r="J800" s="4"/>
      <c r="K800" s="2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25"/>
      <c r="C801" s="25"/>
      <c r="D801" s="4"/>
      <c r="E801" s="4"/>
      <c r="F801" s="4"/>
      <c r="G801" s="4"/>
      <c r="H801" s="25"/>
      <c r="I801" s="4"/>
      <c r="J801" s="4"/>
      <c r="K801" s="2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25"/>
      <c r="C802" s="25"/>
      <c r="D802" s="4"/>
      <c r="E802" s="4"/>
      <c r="F802" s="4"/>
      <c r="G802" s="4"/>
      <c r="H802" s="25"/>
      <c r="I802" s="4"/>
      <c r="J802" s="4"/>
      <c r="K802" s="2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25"/>
      <c r="C803" s="25"/>
      <c r="D803" s="4"/>
      <c r="E803" s="4"/>
      <c r="F803" s="4"/>
      <c r="G803" s="4"/>
      <c r="H803" s="25"/>
      <c r="I803" s="4"/>
      <c r="J803" s="4"/>
      <c r="K803" s="2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25"/>
      <c r="C804" s="25"/>
      <c r="D804" s="4"/>
      <c r="E804" s="4"/>
      <c r="F804" s="4"/>
      <c r="G804" s="4"/>
      <c r="H804" s="25"/>
      <c r="I804" s="4"/>
      <c r="J804" s="4"/>
      <c r="K804" s="2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25"/>
      <c r="C805" s="25"/>
      <c r="D805" s="4"/>
      <c r="E805" s="4"/>
      <c r="F805" s="4"/>
      <c r="G805" s="4"/>
      <c r="H805" s="25"/>
      <c r="I805" s="4"/>
      <c r="J805" s="4"/>
      <c r="K805" s="2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25"/>
      <c r="C806" s="25"/>
      <c r="D806" s="4"/>
      <c r="E806" s="4"/>
      <c r="F806" s="4"/>
      <c r="G806" s="4"/>
      <c r="H806" s="25"/>
      <c r="I806" s="4"/>
      <c r="J806" s="4"/>
      <c r="K806" s="2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25"/>
      <c r="C807" s="25"/>
      <c r="D807" s="4"/>
      <c r="E807" s="4"/>
      <c r="F807" s="4"/>
      <c r="G807" s="4"/>
      <c r="H807" s="25"/>
      <c r="I807" s="4"/>
      <c r="J807" s="4"/>
      <c r="K807" s="2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25"/>
      <c r="C808" s="25"/>
      <c r="D808" s="4"/>
      <c r="E808" s="4"/>
      <c r="F808" s="4"/>
      <c r="G808" s="4"/>
      <c r="H808" s="25"/>
      <c r="I808" s="4"/>
      <c r="J808" s="4"/>
      <c r="K808" s="2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25"/>
      <c r="C809" s="25"/>
      <c r="D809" s="4"/>
      <c r="E809" s="4"/>
      <c r="F809" s="4"/>
      <c r="G809" s="4"/>
      <c r="H809" s="25"/>
      <c r="I809" s="4"/>
      <c r="J809" s="4"/>
      <c r="K809" s="2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25"/>
      <c r="C810" s="25"/>
      <c r="D810" s="4"/>
      <c r="E810" s="4"/>
      <c r="F810" s="4"/>
      <c r="G810" s="4"/>
      <c r="H810" s="25"/>
      <c r="I810" s="4"/>
      <c r="J810" s="4"/>
      <c r="K810" s="2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25"/>
      <c r="C811" s="25"/>
      <c r="D811" s="4"/>
      <c r="E811" s="4"/>
      <c r="F811" s="4"/>
      <c r="G811" s="4"/>
      <c r="H811" s="25"/>
      <c r="I811" s="4"/>
      <c r="J811" s="4"/>
      <c r="K811" s="2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25"/>
      <c r="C812" s="25"/>
      <c r="D812" s="4"/>
      <c r="E812" s="4"/>
      <c r="F812" s="4"/>
      <c r="G812" s="4"/>
      <c r="H812" s="25"/>
      <c r="I812" s="4"/>
      <c r="J812" s="4"/>
      <c r="K812" s="2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25"/>
      <c r="C813" s="25"/>
      <c r="D813" s="4"/>
      <c r="E813" s="4"/>
      <c r="F813" s="4"/>
      <c r="G813" s="4"/>
      <c r="H813" s="25"/>
      <c r="I813" s="4"/>
      <c r="J813" s="4"/>
      <c r="K813" s="2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25"/>
      <c r="C814" s="25"/>
      <c r="D814" s="4"/>
      <c r="E814" s="4"/>
      <c r="F814" s="4"/>
      <c r="G814" s="4"/>
      <c r="H814" s="25"/>
      <c r="I814" s="4"/>
      <c r="J814" s="4"/>
      <c r="K814" s="2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25"/>
      <c r="C815" s="25"/>
      <c r="D815" s="4"/>
      <c r="E815" s="4"/>
      <c r="F815" s="4"/>
      <c r="G815" s="4"/>
      <c r="H815" s="25"/>
      <c r="I815" s="4"/>
      <c r="J815" s="4"/>
      <c r="K815" s="2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25"/>
      <c r="C816" s="25"/>
      <c r="D816" s="4"/>
      <c r="E816" s="4"/>
      <c r="F816" s="4"/>
      <c r="G816" s="4"/>
      <c r="H816" s="25"/>
      <c r="I816" s="4"/>
      <c r="J816" s="4"/>
      <c r="K816" s="2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25"/>
      <c r="C817" s="25"/>
      <c r="D817" s="4"/>
      <c r="E817" s="4"/>
      <c r="F817" s="4"/>
      <c r="G817" s="4"/>
      <c r="H817" s="25"/>
      <c r="I817" s="4"/>
      <c r="J817" s="4"/>
      <c r="K817" s="2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25"/>
      <c r="C818" s="25"/>
      <c r="D818" s="4"/>
      <c r="E818" s="4"/>
      <c r="F818" s="4"/>
      <c r="G818" s="4"/>
      <c r="H818" s="25"/>
      <c r="I818" s="4"/>
      <c r="J818" s="4"/>
      <c r="K818" s="2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25"/>
      <c r="C819" s="25"/>
      <c r="D819" s="4"/>
      <c r="E819" s="4"/>
      <c r="F819" s="4"/>
      <c r="G819" s="4"/>
      <c r="H819" s="25"/>
      <c r="I819" s="4"/>
      <c r="J819" s="4"/>
      <c r="K819" s="2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25"/>
      <c r="C820" s="25"/>
      <c r="D820" s="4"/>
      <c r="E820" s="4"/>
      <c r="F820" s="4"/>
      <c r="G820" s="4"/>
      <c r="H820" s="25"/>
      <c r="I820" s="4"/>
      <c r="J820" s="4"/>
      <c r="K820" s="2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25"/>
      <c r="C821" s="25"/>
      <c r="D821" s="4"/>
      <c r="E821" s="4"/>
      <c r="F821" s="4"/>
      <c r="G821" s="4"/>
      <c r="H821" s="25"/>
      <c r="I821" s="4"/>
      <c r="J821" s="4"/>
      <c r="K821" s="2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25"/>
      <c r="C822" s="25"/>
      <c r="D822" s="4"/>
      <c r="E822" s="4"/>
      <c r="F822" s="4"/>
      <c r="G822" s="4"/>
      <c r="H822" s="25"/>
      <c r="I822" s="4"/>
      <c r="J822" s="4"/>
      <c r="K822" s="2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25"/>
      <c r="C823" s="25"/>
      <c r="D823" s="4"/>
      <c r="E823" s="4"/>
      <c r="F823" s="4"/>
      <c r="G823" s="4"/>
      <c r="H823" s="25"/>
      <c r="I823" s="4"/>
      <c r="J823" s="4"/>
      <c r="K823" s="2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25"/>
      <c r="C824" s="25"/>
      <c r="D824" s="4"/>
      <c r="E824" s="4"/>
      <c r="F824" s="4"/>
      <c r="G824" s="4"/>
      <c r="H824" s="25"/>
      <c r="I824" s="4"/>
      <c r="J824" s="4"/>
      <c r="K824" s="2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25"/>
      <c r="C825" s="25"/>
      <c r="D825" s="4"/>
      <c r="E825" s="4"/>
      <c r="F825" s="4"/>
      <c r="G825" s="4"/>
      <c r="H825" s="25"/>
      <c r="I825" s="4"/>
      <c r="J825" s="4"/>
      <c r="K825" s="2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25"/>
      <c r="C826" s="25"/>
      <c r="D826" s="4"/>
      <c r="E826" s="4"/>
      <c r="F826" s="4"/>
      <c r="G826" s="4"/>
      <c r="H826" s="25"/>
      <c r="I826" s="4"/>
      <c r="J826" s="4"/>
      <c r="K826" s="2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25"/>
      <c r="C827" s="25"/>
      <c r="D827" s="4"/>
      <c r="E827" s="4"/>
      <c r="F827" s="4"/>
      <c r="G827" s="4"/>
      <c r="H827" s="25"/>
      <c r="I827" s="4"/>
      <c r="J827" s="4"/>
      <c r="K827" s="2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25"/>
      <c r="C828" s="25"/>
      <c r="D828" s="4"/>
      <c r="E828" s="4"/>
      <c r="F828" s="4"/>
      <c r="G828" s="4"/>
      <c r="H828" s="25"/>
      <c r="I828" s="4"/>
      <c r="J828" s="4"/>
      <c r="K828" s="2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25"/>
      <c r="C829" s="25"/>
      <c r="D829" s="4"/>
      <c r="E829" s="4"/>
      <c r="F829" s="4"/>
      <c r="G829" s="4"/>
      <c r="H829" s="25"/>
      <c r="I829" s="4"/>
      <c r="J829" s="4"/>
      <c r="K829" s="2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25"/>
      <c r="C830" s="25"/>
      <c r="D830" s="4"/>
      <c r="E830" s="4"/>
      <c r="F830" s="4"/>
      <c r="G830" s="4"/>
      <c r="H830" s="25"/>
      <c r="I830" s="4"/>
      <c r="J830" s="4"/>
      <c r="K830" s="2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25"/>
      <c r="C831" s="25"/>
      <c r="D831" s="4"/>
      <c r="E831" s="4"/>
      <c r="F831" s="4"/>
      <c r="G831" s="4"/>
      <c r="H831" s="25"/>
      <c r="I831" s="4"/>
      <c r="J831" s="4"/>
      <c r="K831" s="2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25"/>
      <c r="C832" s="25"/>
      <c r="D832" s="4"/>
      <c r="E832" s="4"/>
      <c r="F832" s="4"/>
      <c r="G832" s="4"/>
      <c r="H832" s="25"/>
      <c r="I832" s="4"/>
      <c r="J832" s="4"/>
      <c r="K832" s="2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25"/>
      <c r="C833" s="25"/>
      <c r="D833" s="4"/>
      <c r="E833" s="4"/>
      <c r="F833" s="4"/>
      <c r="G833" s="4"/>
      <c r="H833" s="25"/>
      <c r="I833" s="4"/>
      <c r="J833" s="4"/>
      <c r="K833" s="2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25"/>
      <c r="C834" s="25"/>
      <c r="D834" s="4"/>
      <c r="E834" s="4"/>
      <c r="F834" s="4"/>
      <c r="G834" s="4"/>
      <c r="H834" s="25"/>
      <c r="I834" s="4"/>
      <c r="J834" s="4"/>
      <c r="K834" s="2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25"/>
      <c r="C835" s="25"/>
      <c r="D835" s="4"/>
      <c r="E835" s="4"/>
      <c r="F835" s="4"/>
      <c r="G835" s="4"/>
      <c r="H835" s="25"/>
      <c r="I835" s="4"/>
      <c r="J835" s="4"/>
      <c r="K835" s="2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25"/>
      <c r="C836" s="25"/>
      <c r="D836" s="4"/>
      <c r="E836" s="4"/>
      <c r="F836" s="4"/>
      <c r="G836" s="4"/>
      <c r="H836" s="25"/>
      <c r="I836" s="4"/>
      <c r="J836" s="4"/>
      <c r="K836" s="2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25"/>
      <c r="C837" s="25"/>
      <c r="D837" s="4"/>
      <c r="E837" s="4"/>
      <c r="F837" s="4"/>
      <c r="G837" s="4"/>
      <c r="H837" s="25"/>
      <c r="I837" s="4"/>
      <c r="J837" s="4"/>
      <c r="K837" s="2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25"/>
      <c r="C838" s="25"/>
      <c r="D838" s="4"/>
      <c r="E838" s="4"/>
      <c r="F838" s="4"/>
      <c r="G838" s="4"/>
      <c r="H838" s="25"/>
      <c r="I838" s="4"/>
      <c r="J838" s="4"/>
      <c r="K838" s="2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25"/>
      <c r="C839" s="25"/>
      <c r="D839" s="4"/>
      <c r="E839" s="4"/>
      <c r="F839" s="4"/>
      <c r="G839" s="4"/>
      <c r="H839" s="25"/>
      <c r="I839" s="4"/>
      <c r="J839" s="4"/>
      <c r="K839" s="2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25"/>
      <c r="C840" s="25"/>
      <c r="D840" s="4"/>
      <c r="E840" s="4"/>
      <c r="F840" s="4"/>
      <c r="G840" s="4"/>
      <c r="H840" s="25"/>
      <c r="I840" s="4"/>
      <c r="J840" s="4"/>
      <c r="K840" s="2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25"/>
      <c r="C841" s="25"/>
      <c r="D841" s="4"/>
      <c r="E841" s="4"/>
      <c r="F841" s="4"/>
      <c r="G841" s="4"/>
      <c r="H841" s="25"/>
      <c r="I841" s="4"/>
      <c r="J841" s="4"/>
      <c r="K841" s="2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25"/>
      <c r="C842" s="25"/>
      <c r="D842" s="4"/>
      <c r="E842" s="4"/>
      <c r="F842" s="4"/>
      <c r="G842" s="4"/>
      <c r="H842" s="25"/>
      <c r="I842" s="4"/>
      <c r="J842" s="4"/>
      <c r="K842" s="2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25"/>
      <c r="C843" s="25"/>
      <c r="D843" s="4"/>
      <c r="E843" s="4"/>
      <c r="F843" s="4"/>
      <c r="G843" s="4"/>
      <c r="H843" s="25"/>
      <c r="I843" s="4"/>
      <c r="J843" s="4"/>
      <c r="K843" s="2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25"/>
      <c r="C844" s="25"/>
      <c r="D844" s="4"/>
      <c r="E844" s="4"/>
      <c r="F844" s="4"/>
      <c r="G844" s="4"/>
      <c r="H844" s="25"/>
      <c r="I844" s="4"/>
      <c r="J844" s="4"/>
      <c r="K844" s="2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25"/>
      <c r="C845" s="25"/>
      <c r="D845" s="4"/>
      <c r="E845" s="4"/>
      <c r="F845" s="4"/>
      <c r="G845" s="4"/>
      <c r="H845" s="25"/>
      <c r="I845" s="4"/>
      <c r="J845" s="4"/>
      <c r="K845" s="2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25"/>
      <c r="C846" s="25"/>
      <c r="D846" s="4"/>
      <c r="E846" s="4"/>
      <c r="F846" s="4"/>
      <c r="G846" s="4"/>
      <c r="H846" s="25"/>
      <c r="I846" s="4"/>
      <c r="J846" s="4"/>
      <c r="K846" s="2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25"/>
      <c r="C847" s="25"/>
      <c r="D847" s="4"/>
      <c r="E847" s="4"/>
      <c r="F847" s="4"/>
      <c r="G847" s="4"/>
      <c r="H847" s="25"/>
      <c r="I847" s="4"/>
      <c r="J847" s="4"/>
      <c r="K847" s="2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25"/>
      <c r="C848" s="25"/>
      <c r="D848" s="4"/>
      <c r="E848" s="4"/>
      <c r="F848" s="4"/>
      <c r="G848" s="4"/>
      <c r="H848" s="25"/>
      <c r="I848" s="4"/>
      <c r="J848" s="4"/>
      <c r="K848" s="2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25"/>
      <c r="C849" s="25"/>
      <c r="D849" s="4"/>
      <c r="E849" s="4"/>
      <c r="F849" s="4"/>
      <c r="G849" s="4"/>
      <c r="H849" s="25"/>
      <c r="I849" s="4"/>
      <c r="J849" s="4"/>
      <c r="K849" s="2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25"/>
      <c r="C850" s="25"/>
      <c r="D850" s="4"/>
      <c r="E850" s="4"/>
      <c r="F850" s="4"/>
      <c r="G850" s="4"/>
      <c r="H850" s="25"/>
      <c r="I850" s="4"/>
      <c r="J850" s="4"/>
      <c r="K850" s="2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25"/>
      <c r="C851" s="25"/>
      <c r="D851" s="4"/>
      <c r="E851" s="4"/>
      <c r="F851" s="4"/>
      <c r="G851" s="4"/>
      <c r="H851" s="25"/>
      <c r="I851" s="4"/>
      <c r="J851" s="4"/>
      <c r="K851" s="2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25"/>
      <c r="C852" s="25"/>
      <c r="D852" s="4"/>
      <c r="E852" s="4"/>
      <c r="F852" s="4"/>
      <c r="G852" s="4"/>
      <c r="H852" s="25"/>
      <c r="I852" s="4"/>
      <c r="J852" s="4"/>
      <c r="K852" s="2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25"/>
      <c r="C853" s="25"/>
      <c r="D853" s="4"/>
      <c r="E853" s="4"/>
      <c r="F853" s="4"/>
      <c r="G853" s="4"/>
      <c r="H853" s="25"/>
      <c r="I853" s="4"/>
      <c r="J853" s="4"/>
      <c r="K853" s="2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25"/>
      <c r="C854" s="25"/>
      <c r="D854" s="4"/>
      <c r="E854" s="4"/>
      <c r="F854" s="4"/>
      <c r="G854" s="4"/>
      <c r="H854" s="25"/>
      <c r="I854" s="4"/>
      <c r="J854" s="4"/>
      <c r="K854" s="2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25"/>
      <c r="C855" s="25"/>
      <c r="D855" s="4"/>
      <c r="E855" s="4"/>
      <c r="F855" s="4"/>
      <c r="G855" s="4"/>
      <c r="H855" s="25"/>
      <c r="I855" s="4"/>
      <c r="J855" s="4"/>
      <c r="K855" s="2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25"/>
      <c r="C856" s="25"/>
      <c r="D856" s="4"/>
      <c r="E856" s="4"/>
      <c r="F856" s="4"/>
      <c r="G856" s="4"/>
      <c r="H856" s="25"/>
      <c r="I856" s="4"/>
      <c r="J856" s="4"/>
      <c r="K856" s="2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25"/>
      <c r="C857" s="25"/>
      <c r="D857" s="4"/>
      <c r="E857" s="4"/>
      <c r="F857" s="4"/>
      <c r="G857" s="4"/>
      <c r="H857" s="25"/>
      <c r="I857" s="4"/>
      <c r="J857" s="4"/>
      <c r="K857" s="2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25"/>
      <c r="C858" s="25"/>
      <c r="D858" s="4"/>
      <c r="E858" s="4"/>
      <c r="F858" s="4"/>
      <c r="G858" s="4"/>
      <c r="H858" s="25"/>
      <c r="I858" s="4"/>
      <c r="J858" s="4"/>
      <c r="K858" s="2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25"/>
      <c r="C859" s="25"/>
      <c r="D859" s="4"/>
      <c r="E859" s="4"/>
      <c r="F859" s="4"/>
      <c r="G859" s="4"/>
      <c r="H859" s="25"/>
      <c r="I859" s="4"/>
      <c r="J859" s="4"/>
      <c r="K859" s="2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25"/>
      <c r="C860" s="25"/>
      <c r="D860" s="4"/>
      <c r="E860" s="4"/>
      <c r="F860" s="4"/>
      <c r="G860" s="4"/>
      <c r="H860" s="25"/>
      <c r="I860" s="4"/>
      <c r="J860" s="4"/>
      <c r="K860" s="2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25"/>
      <c r="C861" s="25"/>
      <c r="D861" s="4"/>
      <c r="E861" s="4"/>
      <c r="F861" s="4"/>
      <c r="G861" s="4"/>
      <c r="H861" s="25"/>
      <c r="I861" s="4"/>
      <c r="J861" s="4"/>
      <c r="K861" s="2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25"/>
      <c r="C862" s="25"/>
      <c r="D862" s="4"/>
      <c r="E862" s="4"/>
      <c r="F862" s="4"/>
      <c r="G862" s="4"/>
      <c r="H862" s="25"/>
      <c r="I862" s="4"/>
      <c r="J862" s="4"/>
      <c r="K862" s="2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25"/>
      <c r="C863" s="25"/>
      <c r="D863" s="4"/>
      <c r="E863" s="4"/>
      <c r="F863" s="4"/>
      <c r="G863" s="4"/>
      <c r="H863" s="25"/>
      <c r="I863" s="4"/>
      <c r="J863" s="4"/>
      <c r="K863" s="2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25"/>
      <c r="C864" s="25"/>
      <c r="D864" s="4"/>
      <c r="E864" s="4"/>
      <c r="F864" s="4"/>
      <c r="G864" s="4"/>
      <c r="H864" s="25"/>
      <c r="I864" s="4"/>
      <c r="J864" s="4"/>
      <c r="K864" s="2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25"/>
      <c r="C865" s="25"/>
      <c r="D865" s="4"/>
      <c r="E865" s="4"/>
      <c r="F865" s="4"/>
      <c r="G865" s="4"/>
      <c r="H865" s="25"/>
      <c r="I865" s="4"/>
      <c r="J865" s="4"/>
      <c r="K865" s="2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25"/>
      <c r="C866" s="25"/>
      <c r="D866" s="4"/>
      <c r="E866" s="4"/>
      <c r="F866" s="4"/>
      <c r="G866" s="4"/>
      <c r="H866" s="25"/>
      <c r="I866" s="4"/>
      <c r="J866" s="4"/>
      <c r="K866" s="2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25"/>
      <c r="C867" s="25"/>
      <c r="D867" s="4"/>
      <c r="E867" s="4"/>
      <c r="F867" s="4"/>
      <c r="G867" s="4"/>
      <c r="H867" s="25"/>
      <c r="I867" s="4"/>
      <c r="J867" s="4"/>
      <c r="K867" s="2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25"/>
      <c r="C868" s="25"/>
      <c r="D868" s="4"/>
      <c r="E868" s="4"/>
      <c r="F868" s="4"/>
      <c r="G868" s="4"/>
      <c r="H868" s="25"/>
      <c r="I868" s="4"/>
      <c r="J868" s="4"/>
      <c r="K868" s="2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25"/>
      <c r="C869" s="25"/>
      <c r="D869" s="4"/>
      <c r="E869" s="4"/>
      <c r="F869" s="4"/>
      <c r="G869" s="4"/>
      <c r="H869" s="25"/>
      <c r="I869" s="4"/>
      <c r="J869" s="4"/>
      <c r="K869" s="2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25"/>
      <c r="C870" s="25"/>
      <c r="D870" s="4"/>
      <c r="E870" s="4"/>
      <c r="F870" s="4"/>
      <c r="G870" s="4"/>
      <c r="H870" s="25"/>
      <c r="I870" s="4"/>
      <c r="J870" s="4"/>
      <c r="K870" s="2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25"/>
      <c r="C871" s="25"/>
      <c r="D871" s="4"/>
      <c r="E871" s="4"/>
      <c r="F871" s="4"/>
      <c r="G871" s="4"/>
      <c r="H871" s="25"/>
      <c r="I871" s="4"/>
      <c r="J871" s="4"/>
      <c r="K871" s="2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25"/>
      <c r="C872" s="25"/>
      <c r="D872" s="4"/>
      <c r="E872" s="4"/>
      <c r="F872" s="4"/>
      <c r="G872" s="4"/>
      <c r="H872" s="25"/>
      <c r="I872" s="4"/>
      <c r="J872" s="4"/>
      <c r="K872" s="2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25"/>
      <c r="C873" s="25"/>
      <c r="D873" s="4"/>
      <c r="E873" s="4"/>
      <c r="F873" s="4"/>
      <c r="G873" s="4"/>
      <c r="H873" s="25"/>
      <c r="I873" s="4"/>
      <c r="J873" s="4"/>
      <c r="K873" s="2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25"/>
      <c r="C874" s="25"/>
      <c r="D874" s="4"/>
      <c r="E874" s="4"/>
      <c r="F874" s="4"/>
      <c r="G874" s="4"/>
      <c r="H874" s="25"/>
      <c r="I874" s="4"/>
      <c r="J874" s="4"/>
      <c r="K874" s="2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25"/>
      <c r="C875" s="25"/>
      <c r="D875" s="4"/>
      <c r="E875" s="4"/>
      <c r="F875" s="4"/>
      <c r="G875" s="4"/>
      <c r="H875" s="25"/>
      <c r="I875" s="4"/>
      <c r="J875" s="4"/>
      <c r="K875" s="2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25"/>
      <c r="C876" s="25"/>
      <c r="D876" s="4"/>
      <c r="E876" s="4"/>
      <c r="F876" s="4"/>
      <c r="G876" s="4"/>
      <c r="H876" s="25"/>
      <c r="I876" s="4"/>
      <c r="J876" s="4"/>
      <c r="K876" s="2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25"/>
      <c r="C877" s="25"/>
      <c r="D877" s="4"/>
      <c r="E877" s="4"/>
      <c r="F877" s="4"/>
      <c r="G877" s="4"/>
      <c r="H877" s="25"/>
      <c r="I877" s="4"/>
      <c r="J877" s="4"/>
      <c r="K877" s="2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25"/>
      <c r="C878" s="25"/>
      <c r="D878" s="4"/>
      <c r="E878" s="4"/>
      <c r="F878" s="4"/>
      <c r="G878" s="4"/>
      <c r="H878" s="25"/>
      <c r="I878" s="4"/>
      <c r="J878" s="4"/>
      <c r="K878" s="2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25"/>
      <c r="C879" s="25"/>
      <c r="D879" s="4"/>
      <c r="E879" s="4"/>
      <c r="F879" s="4"/>
      <c r="G879" s="4"/>
      <c r="H879" s="25"/>
      <c r="I879" s="4"/>
      <c r="J879" s="4"/>
      <c r="K879" s="2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25"/>
      <c r="C880" s="25"/>
      <c r="D880" s="4"/>
      <c r="E880" s="4"/>
      <c r="F880" s="4"/>
      <c r="G880" s="4"/>
      <c r="H880" s="25"/>
      <c r="I880" s="4"/>
      <c r="J880" s="4"/>
      <c r="K880" s="2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25"/>
      <c r="C881" s="25"/>
      <c r="D881" s="4"/>
      <c r="E881" s="4"/>
      <c r="F881" s="4"/>
      <c r="G881" s="4"/>
      <c r="H881" s="25"/>
      <c r="I881" s="4"/>
      <c r="J881" s="4"/>
      <c r="K881" s="2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25"/>
      <c r="C882" s="25"/>
      <c r="D882" s="4"/>
      <c r="E882" s="4"/>
      <c r="F882" s="4"/>
      <c r="G882" s="4"/>
      <c r="H882" s="25"/>
      <c r="I882" s="4"/>
      <c r="J882" s="4"/>
      <c r="K882" s="2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25"/>
      <c r="C883" s="25"/>
      <c r="D883" s="4"/>
      <c r="E883" s="4"/>
      <c r="F883" s="4"/>
      <c r="G883" s="4"/>
      <c r="H883" s="25"/>
      <c r="I883" s="4"/>
      <c r="J883" s="4"/>
      <c r="K883" s="2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25"/>
      <c r="C884" s="25"/>
      <c r="D884" s="4"/>
      <c r="E884" s="4"/>
      <c r="F884" s="4"/>
      <c r="G884" s="4"/>
      <c r="H884" s="25"/>
      <c r="I884" s="4"/>
      <c r="J884" s="4"/>
      <c r="K884" s="2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25"/>
      <c r="C885" s="25"/>
      <c r="D885" s="4"/>
      <c r="E885" s="4"/>
      <c r="F885" s="4"/>
      <c r="G885" s="4"/>
      <c r="H885" s="25"/>
      <c r="I885" s="4"/>
      <c r="J885" s="4"/>
      <c r="K885" s="2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25"/>
      <c r="C886" s="25"/>
      <c r="D886" s="4"/>
      <c r="E886" s="4"/>
      <c r="F886" s="4"/>
      <c r="G886" s="4"/>
      <c r="H886" s="25"/>
      <c r="I886" s="4"/>
      <c r="J886" s="4"/>
      <c r="K886" s="2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25"/>
      <c r="C887" s="25"/>
      <c r="D887" s="4"/>
      <c r="E887" s="4"/>
      <c r="F887" s="4"/>
      <c r="G887" s="4"/>
      <c r="H887" s="25"/>
      <c r="I887" s="4"/>
      <c r="J887" s="4"/>
      <c r="K887" s="2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25"/>
      <c r="C888" s="25"/>
      <c r="D888" s="4"/>
      <c r="E888" s="4"/>
      <c r="F888" s="4"/>
      <c r="G888" s="4"/>
      <c r="H888" s="25"/>
      <c r="I888" s="4"/>
      <c r="J888" s="4"/>
      <c r="K888" s="2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25"/>
      <c r="C889" s="25"/>
      <c r="D889" s="4"/>
      <c r="E889" s="4"/>
      <c r="F889" s="4"/>
      <c r="G889" s="4"/>
      <c r="H889" s="25"/>
      <c r="I889" s="4"/>
      <c r="J889" s="4"/>
      <c r="K889" s="2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25"/>
      <c r="C890" s="25"/>
      <c r="D890" s="4"/>
      <c r="E890" s="4"/>
      <c r="F890" s="4"/>
      <c r="G890" s="4"/>
      <c r="H890" s="25"/>
      <c r="I890" s="4"/>
      <c r="J890" s="4"/>
      <c r="K890" s="2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25"/>
      <c r="C891" s="25"/>
      <c r="D891" s="4"/>
      <c r="E891" s="4"/>
      <c r="F891" s="4"/>
      <c r="G891" s="4"/>
      <c r="H891" s="25"/>
      <c r="I891" s="4"/>
      <c r="J891" s="4"/>
      <c r="K891" s="2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25"/>
      <c r="C892" s="25"/>
      <c r="D892" s="4"/>
      <c r="E892" s="4"/>
      <c r="F892" s="4"/>
      <c r="G892" s="4"/>
      <c r="H892" s="25"/>
      <c r="I892" s="4"/>
      <c r="J892" s="4"/>
      <c r="K892" s="2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25"/>
      <c r="C893" s="25"/>
      <c r="D893" s="4"/>
      <c r="E893" s="4"/>
      <c r="F893" s="4"/>
      <c r="G893" s="4"/>
      <c r="H893" s="25"/>
      <c r="I893" s="4"/>
      <c r="J893" s="4"/>
      <c r="K893" s="2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25"/>
      <c r="C894" s="25"/>
      <c r="D894" s="4"/>
      <c r="E894" s="4"/>
      <c r="F894" s="4"/>
      <c r="G894" s="4"/>
      <c r="H894" s="25"/>
      <c r="I894" s="4"/>
      <c r="J894" s="4"/>
      <c r="K894" s="2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25"/>
      <c r="C895" s="25"/>
      <c r="D895" s="4"/>
      <c r="E895" s="4"/>
      <c r="F895" s="4"/>
      <c r="G895" s="4"/>
      <c r="H895" s="25"/>
      <c r="I895" s="4"/>
      <c r="J895" s="4"/>
      <c r="K895" s="2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25"/>
      <c r="C896" s="25"/>
      <c r="D896" s="4"/>
      <c r="E896" s="4"/>
      <c r="F896" s="4"/>
      <c r="G896" s="4"/>
      <c r="H896" s="25"/>
      <c r="I896" s="4"/>
      <c r="J896" s="4"/>
      <c r="K896" s="2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25"/>
      <c r="C897" s="25"/>
      <c r="D897" s="4"/>
      <c r="E897" s="4"/>
      <c r="F897" s="4"/>
      <c r="G897" s="4"/>
      <c r="H897" s="25"/>
      <c r="I897" s="4"/>
      <c r="J897" s="4"/>
      <c r="K897" s="2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25"/>
      <c r="C898" s="25"/>
      <c r="D898" s="4"/>
      <c r="E898" s="4"/>
      <c r="F898" s="4"/>
      <c r="G898" s="4"/>
      <c r="H898" s="25"/>
      <c r="I898" s="4"/>
      <c r="J898" s="4"/>
      <c r="K898" s="2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25"/>
      <c r="C899" s="25"/>
      <c r="D899" s="4"/>
      <c r="E899" s="4"/>
      <c r="F899" s="4"/>
      <c r="G899" s="4"/>
      <c r="H899" s="25"/>
      <c r="I899" s="4"/>
      <c r="J899" s="4"/>
      <c r="K899" s="2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25"/>
      <c r="C900" s="25"/>
      <c r="D900" s="4"/>
      <c r="E900" s="4"/>
      <c r="F900" s="4"/>
      <c r="G900" s="4"/>
      <c r="H900" s="25"/>
      <c r="I900" s="4"/>
      <c r="J900" s="4"/>
      <c r="K900" s="2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25"/>
      <c r="C901" s="25"/>
      <c r="D901" s="4"/>
      <c r="E901" s="4"/>
      <c r="F901" s="4"/>
      <c r="G901" s="4"/>
      <c r="H901" s="25"/>
      <c r="I901" s="4"/>
      <c r="J901" s="4"/>
      <c r="K901" s="2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25"/>
      <c r="C902" s="25"/>
      <c r="D902" s="4"/>
      <c r="E902" s="4"/>
      <c r="F902" s="4"/>
      <c r="G902" s="4"/>
      <c r="H902" s="25"/>
      <c r="I902" s="4"/>
      <c r="J902" s="4"/>
      <c r="K902" s="2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25"/>
      <c r="C903" s="25"/>
      <c r="D903" s="4"/>
      <c r="E903" s="4"/>
      <c r="F903" s="4"/>
      <c r="G903" s="4"/>
      <c r="H903" s="25"/>
      <c r="I903" s="4"/>
      <c r="J903" s="4"/>
      <c r="K903" s="2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25"/>
      <c r="C904" s="25"/>
      <c r="D904" s="4"/>
      <c r="E904" s="4"/>
      <c r="F904" s="4"/>
      <c r="G904" s="4"/>
      <c r="H904" s="25"/>
      <c r="I904" s="4"/>
      <c r="J904" s="4"/>
      <c r="K904" s="2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25"/>
      <c r="C905" s="25"/>
      <c r="D905" s="4"/>
      <c r="E905" s="4"/>
      <c r="F905" s="4"/>
      <c r="G905" s="4"/>
      <c r="H905" s="25"/>
      <c r="I905" s="4"/>
      <c r="J905" s="4"/>
      <c r="K905" s="2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25"/>
      <c r="C906" s="25"/>
      <c r="D906" s="4"/>
      <c r="E906" s="4"/>
      <c r="F906" s="4"/>
      <c r="G906" s="4"/>
      <c r="H906" s="25"/>
      <c r="I906" s="4"/>
      <c r="J906" s="4"/>
      <c r="K906" s="2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25"/>
      <c r="C907" s="25"/>
      <c r="D907" s="4"/>
      <c r="E907" s="4"/>
      <c r="F907" s="4"/>
      <c r="G907" s="4"/>
      <c r="H907" s="25"/>
      <c r="I907" s="4"/>
      <c r="J907" s="4"/>
      <c r="K907" s="2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25"/>
      <c r="C908" s="25"/>
      <c r="D908" s="4"/>
      <c r="E908" s="4"/>
      <c r="F908" s="4"/>
      <c r="G908" s="4"/>
      <c r="H908" s="25"/>
      <c r="I908" s="4"/>
      <c r="J908" s="4"/>
      <c r="K908" s="2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25"/>
      <c r="C909" s="25"/>
      <c r="D909" s="4"/>
      <c r="E909" s="4"/>
      <c r="F909" s="4"/>
      <c r="G909" s="4"/>
      <c r="H909" s="25"/>
      <c r="I909" s="4"/>
      <c r="J909" s="4"/>
      <c r="K909" s="2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25"/>
      <c r="C910" s="25"/>
      <c r="D910" s="4"/>
      <c r="E910" s="4"/>
      <c r="F910" s="4"/>
      <c r="G910" s="4"/>
      <c r="H910" s="25"/>
      <c r="I910" s="4"/>
      <c r="J910" s="4"/>
      <c r="K910" s="2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25"/>
      <c r="C911" s="25"/>
      <c r="D911" s="4"/>
      <c r="E911" s="4"/>
      <c r="F911" s="4"/>
      <c r="G911" s="4"/>
      <c r="H911" s="25"/>
      <c r="I911" s="4"/>
      <c r="J911" s="4"/>
      <c r="K911" s="2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25"/>
      <c r="C912" s="25"/>
      <c r="D912" s="4"/>
      <c r="E912" s="4"/>
      <c r="F912" s="4"/>
      <c r="G912" s="4"/>
      <c r="H912" s="25"/>
      <c r="I912" s="4"/>
      <c r="J912" s="4"/>
      <c r="K912" s="2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25"/>
      <c r="C913" s="25"/>
      <c r="D913" s="4"/>
      <c r="E913" s="4"/>
      <c r="F913" s="4"/>
      <c r="G913" s="4"/>
      <c r="H913" s="25"/>
      <c r="I913" s="4"/>
      <c r="J913" s="4"/>
      <c r="K913" s="2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25"/>
      <c r="C914" s="25"/>
      <c r="D914" s="4"/>
      <c r="E914" s="4"/>
      <c r="F914" s="4"/>
      <c r="G914" s="4"/>
      <c r="H914" s="25"/>
      <c r="I914" s="4"/>
      <c r="J914" s="4"/>
      <c r="K914" s="2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25"/>
      <c r="C915" s="25"/>
      <c r="D915" s="4"/>
      <c r="E915" s="4"/>
      <c r="F915" s="4"/>
      <c r="G915" s="4"/>
      <c r="H915" s="25"/>
      <c r="I915" s="4"/>
      <c r="J915" s="4"/>
      <c r="K915" s="2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25"/>
      <c r="C916" s="25"/>
      <c r="D916" s="4"/>
      <c r="E916" s="4"/>
      <c r="F916" s="4"/>
      <c r="G916" s="4"/>
      <c r="H916" s="25"/>
      <c r="I916" s="4"/>
      <c r="J916" s="4"/>
      <c r="K916" s="2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25"/>
      <c r="C917" s="25"/>
      <c r="D917" s="4"/>
      <c r="E917" s="4"/>
      <c r="F917" s="4"/>
      <c r="G917" s="4"/>
      <c r="H917" s="25"/>
      <c r="I917" s="4"/>
      <c r="J917" s="4"/>
      <c r="K917" s="2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25"/>
      <c r="C918" s="25"/>
      <c r="D918" s="4"/>
      <c r="E918" s="4"/>
      <c r="F918" s="4"/>
      <c r="G918" s="4"/>
      <c r="H918" s="25"/>
      <c r="I918" s="4"/>
      <c r="J918" s="4"/>
      <c r="K918" s="2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25"/>
      <c r="C919" s="25"/>
      <c r="D919" s="4"/>
      <c r="E919" s="4"/>
      <c r="F919" s="4"/>
      <c r="G919" s="4"/>
      <c r="H919" s="25"/>
      <c r="I919" s="4"/>
      <c r="J919" s="4"/>
      <c r="K919" s="2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25"/>
      <c r="C920" s="25"/>
      <c r="D920" s="4"/>
      <c r="E920" s="4"/>
      <c r="F920" s="4"/>
      <c r="G920" s="4"/>
      <c r="H920" s="25"/>
      <c r="I920" s="4"/>
      <c r="J920" s="4"/>
      <c r="K920" s="2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25"/>
      <c r="C921" s="25"/>
      <c r="D921" s="4"/>
      <c r="E921" s="4"/>
      <c r="F921" s="4"/>
      <c r="G921" s="4"/>
      <c r="H921" s="25"/>
      <c r="I921" s="4"/>
      <c r="J921" s="4"/>
      <c r="K921" s="2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25"/>
      <c r="C922" s="25"/>
      <c r="D922" s="4"/>
      <c r="E922" s="4"/>
      <c r="F922" s="4"/>
      <c r="G922" s="4"/>
      <c r="H922" s="25"/>
      <c r="I922" s="4"/>
      <c r="J922" s="4"/>
      <c r="K922" s="2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25"/>
      <c r="C923" s="25"/>
      <c r="D923" s="4"/>
      <c r="E923" s="4"/>
      <c r="F923" s="4"/>
      <c r="G923" s="4"/>
      <c r="H923" s="25"/>
      <c r="I923" s="4"/>
      <c r="J923" s="4"/>
      <c r="K923" s="2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25"/>
      <c r="C924" s="25"/>
      <c r="D924" s="4"/>
      <c r="E924" s="4"/>
      <c r="F924" s="4"/>
      <c r="G924" s="4"/>
      <c r="H924" s="25"/>
      <c r="I924" s="4"/>
      <c r="J924" s="4"/>
      <c r="K924" s="2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25"/>
      <c r="C925" s="25"/>
      <c r="D925" s="4"/>
      <c r="E925" s="4"/>
      <c r="F925" s="4"/>
      <c r="G925" s="4"/>
      <c r="H925" s="25"/>
      <c r="I925" s="4"/>
      <c r="J925" s="4"/>
      <c r="K925" s="2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25"/>
      <c r="C926" s="25"/>
      <c r="D926" s="4"/>
      <c r="E926" s="4"/>
      <c r="F926" s="4"/>
      <c r="G926" s="4"/>
      <c r="H926" s="25"/>
      <c r="I926" s="4"/>
      <c r="J926" s="4"/>
      <c r="K926" s="2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25"/>
      <c r="C927" s="25"/>
      <c r="D927" s="4"/>
      <c r="E927" s="4"/>
      <c r="F927" s="4"/>
      <c r="G927" s="4"/>
      <c r="H927" s="25"/>
      <c r="I927" s="4"/>
      <c r="J927" s="4"/>
      <c r="K927" s="2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25"/>
      <c r="C928" s="25"/>
      <c r="D928" s="4"/>
      <c r="E928" s="4"/>
      <c r="F928" s="4"/>
      <c r="G928" s="4"/>
      <c r="H928" s="25"/>
      <c r="I928" s="4"/>
      <c r="J928" s="4"/>
      <c r="K928" s="2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25"/>
      <c r="C929" s="25"/>
      <c r="D929" s="4"/>
      <c r="E929" s="4"/>
      <c r="F929" s="4"/>
      <c r="G929" s="4"/>
      <c r="H929" s="25"/>
      <c r="I929" s="4"/>
      <c r="J929" s="4"/>
      <c r="K929" s="2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25"/>
      <c r="C930" s="25"/>
      <c r="D930" s="4"/>
      <c r="E930" s="4"/>
      <c r="F930" s="4"/>
      <c r="G930" s="4"/>
      <c r="H930" s="25"/>
      <c r="I930" s="4"/>
      <c r="J930" s="4"/>
      <c r="K930" s="2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25"/>
      <c r="C931" s="25"/>
      <c r="D931" s="4"/>
      <c r="E931" s="4"/>
      <c r="F931" s="4"/>
      <c r="G931" s="4"/>
      <c r="H931" s="25"/>
      <c r="I931" s="4"/>
      <c r="J931" s="4"/>
      <c r="K931" s="2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25"/>
      <c r="C932" s="25"/>
      <c r="D932" s="4"/>
      <c r="E932" s="4"/>
      <c r="F932" s="4"/>
      <c r="G932" s="4"/>
      <c r="H932" s="25"/>
      <c r="I932" s="4"/>
      <c r="J932" s="4"/>
      <c r="K932" s="2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25"/>
      <c r="C933" s="25"/>
      <c r="D933" s="4"/>
      <c r="E933" s="4"/>
      <c r="F933" s="4"/>
      <c r="G933" s="4"/>
      <c r="H933" s="25"/>
      <c r="I933" s="4"/>
      <c r="J933" s="4"/>
      <c r="K933" s="2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25"/>
      <c r="C934" s="25"/>
      <c r="D934" s="4"/>
      <c r="E934" s="4"/>
      <c r="F934" s="4"/>
      <c r="G934" s="4"/>
      <c r="H934" s="25"/>
      <c r="I934" s="4"/>
      <c r="J934" s="4"/>
      <c r="K934" s="2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25"/>
      <c r="C935" s="25"/>
      <c r="D935" s="4"/>
      <c r="E935" s="4"/>
      <c r="F935" s="4"/>
      <c r="G935" s="4"/>
      <c r="H935" s="25"/>
      <c r="I935" s="4"/>
      <c r="J935" s="4"/>
      <c r="K935" s="2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25"/>
      <c r="C936" s="25"/>
      <c r="D936" s="4"/>
      <c r="E936" s="4"/>
      <c r="F936" s="4"/>
      <c r="G936" s="4"/>
      <c r="H936" s="25"/>
      <c r="I936" s="4"/>
      <c r="J936" s="4"/>
      <c r="K936" s="2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25"/>
      <c r="C937" s="25"/>
      <c r="D937" s="4"/>
      <c r="E937" s="4"/>
      <c r="F937" s="4"/>
      <c r="G937" s="4"/>
      <c r="H937" s="25"/>
      <c r="I937" s="4"/>
      <c r="J937" s="4"/>
      <c r="K937" s="2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25"/>
      <c r="C938" s="25"/>
      <c r="D938" s="4"/>
      <c r="E938" s="4"/>
      <c r="F938" s="4"/>
      <c r="G938" s="4"/>
      <c r="H938" s="25"/>
      <c r="I938" s="4"/>
      <c r="J938" s="4"/>
      <c r="K938" s="2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25"/>
      <c r="C939" s="25"/>
      <c r="D939" s="4"/>
      <c r="E939" s="4"/>
      <c r="F939" s="4"/>
      <c r="G939" s="4"/>
      <c r="H939" s="25"/>
      <c r="I939" s="4"/>
      <c r="J939" s="4"/>
      <c r="K939" s="2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25"/>
      <c r="C940" s="25"/>
      <c r="D940" s="4"/>
      <c r="E940" s="4"/>
      <c r="F940" s="4"/>
      <c r="G940" s="4"/>
      <c r="H940" s="25"/>
      <c r="I940" s="4"/>
      <c r="J940" s="4"/>
      <c r="K940" s="2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25"/>
      <c r="C941" s="25"/>
      <c r="D941" s="4"/>
      <c r="E941" s="4"/>
      <c r="F941" s="4"/>
      <c r="G941" s="4"/>
      <c r="H941" s="25"/>
      <c r="I941" s="4"/>
      <c r="J941" s="4"/>
      <c r="K941" s="2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25"/>
      <c r="C942" s="25"/>
      <c r="D942" s="4"/>
      <c r="E942" s="4"/>
      <c r="F942" s="4"/>
      <c r="G942" s="4"/>
      <c r="H942" s="25"/>
      <c r="I942" s="4"/>
      <c r="J942" s="4"/>
      <c r="K942" s="2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25"/>
      <c r="C943" s="25"/>
      <c r="D943" s="4"/>
      <c r="E943" s="4"/>
      <c r="F943" s="4"/>
      <c r="G943" s="4"/>
      <c r="H943" s="25"/>
      <c r="I943" s="4"/>
      <c r="J943" s="4"/>
      <c r="K943" s="2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25"/>
      <c r="C944" s="25"/>
      <c r="D944" s="4"/>
      <c r="E944" s="4"/>
      <c r="F944" s="4"/>
      <c r="G944" s="4"/>
      <c r="H944" s="25"/>
      <c r="I944" s="4"/>
      <c r="J944" s="4"/>
      <c r="K944" s="2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25"/>
      <c r="C945" s="25"/>
      <c r="D945" s="4"/>
      <c r="E945" s="4"/>
      <c r="F945" s="4"/>
      <c r="G945" s="4"/>
      <c r="H945" s="25"/>
      <c r="I945" s="4"/>
      <c r="J945" s="4"/>
      <c r="K945" s="2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25"/>
      <c r="C946" s="25"/>
      <c r="D946" s="4"/>
      <c r="E946" s="4"/>
      <c r="F946" s="4"/>
      <c r="G946" s="4"/>
      <c r="H946" s="25"/>
      <c r="I946" s="4"/>
      <c r="J946" s="4"/>
      <c r="K946" s="2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25"/>
      <c r="C947" s="25"/>
      <c r="D947" s="4"/>
      <c r="E947" s="4"/>
      <c r="F947" s="4"/>
      <c r="G947" s="4"/>
      <c r="H947" s="25"/>
      <c r="I947" s="4"/>
      <c r="J947" s="4"/>
      <c r="K947" s="2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25"/>
      <c r="C948" s="25"/>
      <c r="D948" s="4"/>
      <c r="E948" s="4"/>
      <c r="F948" s="4"/>
      <c r="G948" s="4"/>
      <c r="H948" s="25"/>
      <c r="I948" s="4"/>
      <c r="J948" s="4"/>
      <c r="K948" s="2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25"/>
      <c r="C949" s="25"/>
      <c r="D949" s="4"/>
      <c r="E949" s="4"/>
      <c r="F949" s="4"/>
      <c r="G949" s="4"/>
      <c r="H949" s="25"/>
      <c r="I949" s="4"/>
      <c r="J949" s="4"/>
      <c r="K949" s="2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25"/>
      <c r="C950" s="25"/>
      <c r="D950" s="4"/>
      <c r="E950" s="4"/>
      <c r="F950" s="4"/>
      <c r="G950" s="4"/>
      <c r="H950" s="25"/>
      <c r="I950" s="4"/>
      <c r="J950" s="4"/>
      <c r="K950" s="2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25"/>
      <c r="C951" s="25"/>
      <c r="D951" s="4"/>
      <c r="E951" s="4"/>
      <c r="F951" s="4"/>
      <c r="G951" s="4"/>
      <c r="H951" s="25"/>
      <c r="I951" s="4"/>
      <c r="J951" s="4"/>
      <c r="K951" s="2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25"/>
      <c r="C952" s="25"/>
      <c r="D952" s="4"/>
      <c r="E952" s="4"/>
      <c r="F952" s="4"/>
      <c r="G952" s="4"/>
      <c r="H952" s="25"/>
      <c r="I952" s="4"/>
      <c r="J952" s="4"/>
      <c r="K952" s="2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25"/>
      <c r="C953" s="25"/>
      <c r="D953" s="4"/>
      <c r="E953" s="4"/>
      <c r="F953" s="4"/>
      <c r="G953" s="4"/>
      <c r="H953" s="25"/>
      <c r="I953" s="4"/>
      <c r="J953" s="4"/>
      <c r="K953" s="2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25"/>
      <c r="C954" s="25"/>
      <c r="D954" s="4"/>
      <c r="E954" s="4"/>
      <c r="F954" s="4"/>
      <c r="G954" s="4"/>
      <c r="H954" s="25"/>
      <c r="I954" s="4"/>
      <c r="J954" s="4"/>
      <c r="K954" s="2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25"/>
      <c r="C955" s="25"/>
      <c r="D955" s="4"/>
      <c r="E955" s="4"/>
      <c r="F955" s="4"/>
      <c r="G955" s="4"/>
      <c r="H955" s="25"/>
      <c r="I955" s="4"/>
      <c r="J955" s="4"/>
      <c r="K955" s="2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25"/>
      <c r="C956" s="25"/>
      <c r="D956" s="4"/>
      <c r="E956" s="4"/>
      <c r="F956" s="4"/>
      <c r="G956" s="4"/>
      <c r="H956" s="25"/>
      <c r="I956" s="4"/>
      <c r="J956" s="4"/>
      <c r="K956" s="2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25"/>
      <c r="C957" s="25"/>
      <c r="D957" s="4"/>
      <c r="E957" s="4"/>
      <c r="F957" s="4"/>
      <c r="G957" s="4"/>
      <c r="H957" s="25"/>
      <c r="I957" s="4"/>
      <c r="J957" s="4"/>
      <c r="K957" s="2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25"/>
      <c r="C958" s="25"/>
      <c r="D958" s="4"/>
      <c r="E958" s="4"/>
      <c r="F958" s="4"/>
      <c r="G958" s="4"/>
      <c r="H958" s="25"/>
      <c r="I958" s="4"/>
      <c r="J958" s="4"/>
      <c r="K958" s="2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25"/>
      <c r="C959" s="25"/>
      <c r="D959" s="4"/>
      <c r="E959" s="4"/>
      <c r="F959" s="4"/>
      <c r="G959" s="4"/>
      <c r="H959" s="25"/>
      <c r="I959" s="4"/>
      <c r="J959" s="4"/>
      <c r="K959" s="2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25"/>
      <c r="C960" s="25"/>
      <c r="D960" s="4"/>
      <c r="E960" s="4"/>
      <c r="F960" s="4"/>
      <c r="G960" s="4"/>
      <c r="H960" s="25"/>
      <c r="I960" s="4"/>
      <c r="J960" s="4"/>
      <c r="K960" s="2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25"/>
      <c r="C961" s="25"/>
      <c r="D961" s="4"/>
      <c r="E961" s="4"/>
      <c r="F961" s="4"/>
      <c r="G961" s="4"/>
      <c r="H961" s="25"/>
      <c r="I961" s="4"/>
      <c r="J961" s="4"/>
      <c r="K961" s="2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25"/>
      <c r="C962" s="25"/>
      <c r="D962" s="4"/>
      <c r="E962" s="4"/>
      <c r="F962" s="4"/>
      <c r="G962" s="4"/>
      <c r="H962" s="25"/>
      <c r="I962" s="4"/>
      <c r="J962" s="4"/>
      <c r="K962" s="2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25"/>
      <c r="C963" s="25"/>
      <c r="D963" s="4"/>
      <c r="E963" s="4"/>
      <c r="F963" s="4"/>
      <c r="G963" s="4"/>
      <c r="H963" s="25"/>
      <c r="I963" s="4"/>
      <c r="J963" s="4"/>
      <c r="K963" s="2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25"/>
      <c r="C964" s="25"/>
      <c r="D964" s="4"/>
      <c r="E964" s="4"/>
      <c r="F964" s="4"/>
      <c r="G964" s="4"/>
      <c r="H964" s="25"/>
      <c r="I964" s="4"/>
      <c r="J964" s="4"/>
      <c r="K964" s="2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25"/>
      <c r="C965" s="25"/>
      <c r="D965" s="4"/>
      <c r="E965" s="4"/>
      <c r="F965" s="4"/>
      <c r="G965" s="4"/>
      <c r="H965" s="25"/>
      <c r="I965" s="4"/>
      <c r="J965" s="4"/>
      <c r="K965" s="2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25"/>
      <c r="C966" s="25"/>
      <c r="D966" s="4"/>
      <c r="E966" s="4"/>
      <c r="F966" s="4"/>
      <c r="G966" s="4"/>
      <c r="H966" s="25"/>
      <c r="I966" s="4"/>
      <c r="J966" s="4"/>
      <c r="K966" s="2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25"/>
      <c r="C967" s="25"/>
      <c r="D967" s="4"/>
      <c r="E967" s="4"/>
      <c r="F967" s="4"/>
      <c r="G967" s="4"/>
      <c r="H967" s="25"/>
      <c r="I967" s="4"/>
      <c r="J967" s="4"/>
      <c r="K967" s="2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25"/>
      <c r="C968" s="25"/>
      <c r="D968" s="4"/>
      <c r="E968" s="4"/>
      <c r="F968" s="4"/>
      <c r="G968" s="4"/>
      <c r="H968" s="25"/>
      <c r="I968" s="4"/>
      <c r="J968" s="4"/>
      <c r="K968" s="2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25"/>
      <c r="C969" s="25"/>
      <c r="D969" s="4"/>
      <c r="E969" s="4"/>
      <c r="F969" s="4"/>
      <c r="G969" s="4"/>
      <c r="H969" s="25"/>
      <c r="I969" s="4"/>
      <c r="J969" s="4"/>
      <c r="K969" s="2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25"/>
      <c r="C970" s="25"/>
      <c r="D970" s="4"/>
      <c r="E970" s="4"/>
      <c r="F970" s="4"/>
      <c r="G970" s="4"/>
      <c r="H970" s="25"/>
      <c r="I970" s="4"/>
      <c r="J970" s="4"/>
      <c r="K970" s="2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25"/>
      <c r="C971" s="25"/>
      <c r="D971" s="4"/>
      <c r="E971" s="4"/>
      <c r="F971" s="4"/>
      <c r="G971" s="4"/>
      <c r="H971" s="25"/>
      <c r="I971" s="4"/>
      <c r="J971" s="4"/>
      <c r="K971" s="2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25"/>
      <c r="C972" s="25"/>
      <c r="D972" s="4"/>
      <c r="E972" s="4"/>
      <c r="F972" s="4"/>
      <c r="G972" s="4"/>
      <c r="H972" s="25"/>
      <c r="I972" s="4"/>
      <c r="J972" s="4"/>
      <c r="K972" s="2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25"/>
      <c r="C973" s="25"/>
      <c r="D973" s="4"/>
      <c r="E973" s="4"/>
      <c r="F973" s="4"/>
      <c r="G973" s="4"/>
      <c r="H973" s="25"/>
      <c r="I973" s="4"/>
      <c r="J973" s="4"/>
      <c r="K973" s="2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25"/>
      <c r="C974" s="25"/>
      <c r="D974" s="4"/>
      <c r="E974" s="4"/>
      <c r="F974" s="4"/>
      <c r="G974" s="4"/>
      <c r="H974" s="25"/>
      <c r="I974" s="4"/>
      <c r="J974" s="4"/>
      <c r="K974" s="2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25"/>
      <c r="C975" s="25"/>
      <c r="D975" s="4"/>
      <c r="E975" s="4"/>
      <c r="F975" s="4"/>
      <c r="G975" s="4"/>
      <c r="H975" s="25"/>
      <c r="I975" s="4"/>
      <c r="J975" s="4"/>
      <c r="K975" s="2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25"/>
      <c r="C976" s="25"/>
      <c r="D976" s="4"/>
      <c r="E976" s="4"/>
      <c r="F976" s="4"/>
      <c r="G976" s="4"/>
      <c r="H976" s="25"/>
      <c r="I976" s="4"/>
      <c r="J976" s="4"/>
      <c r="K976" s="2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25"/>
      <c r="C977" s="25"/>
      <c r="D977" s="4"/>
      <c r="E977" s="4"/>
      <c r="F977" s="4"/>
      <c r="G977" s="4"/>
      <c r="H977" s="25"/>
      <c r="I977" s="4"/>
      <c r="J977" s="4"/>
      <c r="K977" s="2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25"/>
      <c r="C978" s="25"/>
      <c r="D978" s="4"/>
      <c r="E978" s="4"/>
      <c r="F978" s="4"/>
      <c r="G978" s="4"/>
      <c r="H978" s="25"/>
      <c r="I978" s="4"/>
      <c r="J978" s="4"/>
      <c r="K978" s="2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25"/>
      <c r="C979" s="25"/>
      <c r="D979" s="4"/>
      <c r="E979" s="4"/>
      <c r="F979" s="4"/>
      <c r="G979" s="4"/>
      <c r="H979" s="25"/>
      <c r="I979" s="4"/>
      <c r="J979" s="4"/>
      <c r="K979" s="2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</sheetData>
  <mergeCells count="51">
    <mergeCell ref="B12:B13"/>
    <mergeCell ref="C12:C13"/>
    <mergeCell ref="B14:B15"/>
    <mergeCell ref="C14:C15"/>
    <mergeCell ref="L26:L31"/>
    <mergeCell ref="B47:B48"/>
    <mergeCell ref="C47:C48"/>
    <mergeCell ref="B49:B50"/>
    <mergeCell ref="C49:C50"/>
    <mergeCell ref="B51:B52"/>
    <mergeCell ref="C51:C52"/>
    <mergeCell ref="B53:B55"/>
    <mergeCell ref="C53:C55"/>
    <mergeCell ref="C56:C58"/>
    <mergeCell ref="B56:B58"/>
    <mergeCell ref="B59:B61"/>
    <mergeCell ref="B62:B63"/>
    <mergeCell ref="B64:B65"/>
    <mergeCell ref="B66:B67"/>
    <mergeCell ref="B68:B69"/>
    <mergeCell ref="B70:B71"/>
    <mergeCell ref="C59:C61"/>
    <mergeCell ref="C62:C63"/>
    <mergeCell ref="C64:C65"/>
    <mergeCell ref="C66:C67"/>
    <mergeCell ref="C68:C69"/>
    <mergeCell ref="C70:C71"/>
    <mergeCell ref="C72:C73"/>
    <mergeCell ref="B93:B94"/>
    <mergeCell ref="B95:B96"/>
    <mergeCell ref="B97:B98"/>
    <mergeCell ref="B99:B100"/>
    <mergeCell ref="B103:B104"/>
    <mergeCell ref="B72:B73"/>
    <mergeCell ref="B74:B75"/>
    <mergeCell ref="B76:B77"/>
    <mergeCell ref="B82:B83"/>
    <mergeCell ref="B84:B85"/>
    <mergeCell ref="B86:B87"/>
    <mergeCell ref="B91:B92"/>
    <mergeCell ref="C95:C96"/>
    <mergeCell ref="C97:C98"/>
    <mergeCell ref="C99:C100"/>
    <mergeCell ref="C103:C104"/>
    <mergeCell ref="C74:C75"/>
    <mergeCell ref="C76:C77"/>
    <mergeCell ref="C82:C83"/>
    <mergeCell ref="C84:C85"/>
    <mergeCell ref="C86:C87"/>
    <mergeCell ref="C91:C92"/>
    <mergeCell ref="C93:C94"/>
  </mergeCell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4"/>
    <hyperlink r:id="rId13" ref="K16"/>
    <hyperlink r:id="rId14" ref="K17"/>
    <hyperlink r:id="rId15" ref="K18"/>
    <hyperlink r:id="rId16" ref="K19"/>
    <hyperlink r:id="rId17" ref="K20"/>
    <hyperlink r:id="rId18" ref="K21"/>
    <hyperlink r:id="rId19" ref="K22"/>
    <hyperlink r:id="rId20" ref="K23"/>
    <hyperlink r:id="rId21" ref="K24"/>
    <hyperlink r:id="rId22" ref="K25"/>
    <hyperlink r:id="rId23" ref="K32"/>
    <hyperlink r:id="rId24" ref="K33"/>
    <hyperlink r:id="rId25" ref="K34"/>
    <hyperlink r:id="rId26" ref="K35"/>
    <hyperlink r:id="rId27" ref="K36"/>
    <hyperlink r:id="rId28" ref="K37"/>
    <hyperlink r:id="rId29" ref="K38"/>
    <hyperlink r:id="rId30" ref="K39"/>
    <hyperlink r:id="rId31" ref="K40"/>
    <hyperlink r:id="rId32" ref="K41"/>
    <hyperlink r:id="rId33" ref="K42"/>
    <hyperlink r:id="rId34" ref="K43"/>
    <hyperlink r:id="rId35" ref="K44"/>
    <hyperlink r:id="rId36" ref="K45"/>
    <hyperlink r:id="rId37" ref="K46"/>
    <hyperlink r:id="rId38" ref="K47"/>
    <hyperlink r:id="rId39" ref="K51"/>
    <hyperlink r:id="rId40" ref="K52"/>
    <hyperlink r:id="rId41" ref="K53"/>
    <hyperlink r:id="rId42" ref="K123"/>
    <hyperlink r:id="rId43" ref="K125"/>
    <hyperlink r:id="rId44" ref="K127"/>
    <hyperlink r:id="rId45" ref="K129"/>
    <hyperlink r:id="rId46" ref="K131"/>
    <hyperlink r:id="rId47" ref="K133"/>
    <hyperlink r:id="rId48" ref="K135"/>
    <hyperlink r:id="rId49" ref="K137"/>
    <hyperlink r:id="rId50" ref="K139"/>
    <hyperlink r:id="rId51" ref="K141"/>
    <hyperlink r:id="rId52" ref="K142"/>
    <hyperlink r:id="rId53" ref="K143"/>
    <hyperlink r:id="rId54" ref="K144"/>
    <hyperlink r:id="rId55" ref="K145"/>
    <hyperlink r:id="rId56" ref="K146"/>
    <hyperlink r:id="rId57" ref="K147"/>
    <hyperlink r:id="rId58" ref="K148"/>
    <hyperlink r:id="rId59" ref="K149"/>
    <hyperlink r:id="rId60" ref="K150"/>
    <hyperlink r:id="rId61" ref="K151"/>
    <hyperlink r:id="rId62" ref="K152"/>
    <hyperlink r:id="rId63" ref="K153"/>
    <hyperlink r:id="rId64" ref="K154"/>
    <hyperlink r:id="rId65" ref="K155"/>
    <hyperlink r:id="rId66" ref="K156"/>
    <hyperlink r:id="rId67" ref="K157"/>
    <hyperlink r:id="rId68" ref="K158"/>
    <hyperlink r:id="rId69" ref="K159"/>
    <hyperlink r:id="rId70" ref="K160"/>
    <hyperlink r:id="rId71" ref="K162"/>
    <hyperlink r:id="rId72" ref="K164"/>
    <hyperlink r:id="rId73" ref="K165"/>
    <hyperlink r:id="rId74" ref="K166"/>
    <hyperlink r:id="rId75" ref="K168"/>
    <hyperlink r:id="rId76" ref="K170"/>
    <hyperlink r:id="rId77" ref="K188"/>
    <hyperlink r:id="rId78" ref="K189"/>
    <hyperlink r:id="rId79" ref="K190"/>
    <hyperlink r:id="rId80" ref="K191"/>
    <hyperlink r:id="rId81" ref="K192"/>
    <hyperlink r:id="rId82" ref="K193"/>
    <hyperlink r:id="rId83" ref="K194"/>
    <hyperlink r:id="rId84" ref="K195"/>
    <hyperlink r:id="rId85" ref="K196"/>
    <hyperlink r:id="rId86" ref="K198"/>
    <hyperlink r:id="rId87" ref="K199"/>
    <hyperlink r:id="rId88" ref="K200"/>
    <hyperlink r:id="rId89" ref="K205"/>
    <hyperlink r:id="rId90" ref="K206"/>
    <hyperlink r:id="rId91" ref="K207"/>
    <hyperlink r:id="rId92" ref="K208"/>
    <hyperlink r:id="rId93" ref="K209"/>
    <hyperlink r:id="rId94" ref="K210"/>
    <hyperlink r:id="rId95" ref="K211"/>
    <hyperlink r:id="rId96" ref="K212"/>
  </hyperlinks>
  <drawing r:id="rId9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5.13"/>
    <col customWidth="1" min="2" max="2" width="35.13"/>
    <col customWidth="1" min="3" max="3" width="35.38"/>
    <col customWidth="1" min="4" max="4" width="37.63"/>
  </cols>
  <sheetData>
    <row r="1">
      <c r="A1" s="27" t="s">
        <v>13</v>
      </c>
      <c r="B1" s="27" t="s">
        <v>14</v>
      </c>
      <c r="C1" s="27" t="s">
        <v>15</v>
      </c>
      <c r="D1" s="27" t="s">
        <v>16</v>
      </c>
    </row>
    <row r="2">
      <c r="A2" s="28" t="s">
        <v>0</v>
      </c>
      <c r="B2" s="28" t="s">
        <v>17</v>
      </c>
      <c r="C2" s="28" t="s">
        <v>18</v>
      </c>
      <c r="D2" s="28" t="s">
        <v>19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 t="s">
        <v>1</v>
      </c>
      <c r="B3" s="30" t="s">
        <v>20</v>
      </c>
      <c r="C3" s="30" t="s">
        <v>21</v>
      </c>
      <c r="D3" s="31"/>
    </row>
    <row r="4">
      <c r="A4" s="30" t="s">
        <v>2</v>
      </c>
      <c r="B4" s="30" t="s">
        <v>22</v>
      </c>
      <c r="C4" s="30" t="s">
        <v>23</v>
      </c>
      <c r="D4" s="31"/>
    </row>
    <row r="5">
      <c r="A5" s="30" t="s">
        <v>3</v>
      </c>
      <c r="B5" s="30" t="s">
        <v>24</v>
      </c>
      <c r="C5" s="30" t="s">
        <v>25</v>
      </c>
      <c r="D5" s="31"/>
    </row>
    <row r="6">
      <c r="A6" s="30" t="s">
        <v>4</v>
      </c>
      <c r="B6" s="30" t="s">
        <v>26</v>
      </c>
      <c r="C6" s="30" t="s">
        <v>27</v>
      </c>
      <c r="D6" s="31"/>
    </row>
    <row r="7">
      <c r="A7" s="30" t="s">
        <v>5</v>
      </c>
      <c r="B7" s="30" t="s">
        <v>28</v>
      </c>
      <c r="C7" s="30" t="s">
        <v>29</v>
      </c>
      <c r="D7" s="31"/>
    </row>
    <row r="8">
      <c r="A8" s="30" t="s">
        <v>6</v>
      </c>
      <c r="B8" s="30" t="s">
        <v>30</v>
      </c>
      <c r="C8" s="30" t="s">
        <v>31</v>
      </c>
      <c r="D8" s="30" t="s">
        <v>32</v>
      </c>
    </row>
    <row r="9">
      <c r="A9" s="30" t="s">
        <v>7</v>
      </c>
      <c r="B9" s="30" t="s">
        <v>33</v>
      </c>
      <c r="C9" s="30" t="s">
        <v>34</v>
      </c>
      <c r="D9" s="30" t="s">
        <v>35</v>
      </c>
    </row>
    <row r="10">
      <c r="A10" s="30" t="s">
        <v>8</v>
      </c>
      <c r="B10" s="30" t="s">
        <v>36</v>
      </c>
      <c r="C10" s="30" t="s">
        <v>37</v>
      </c>
      <c r="D10" s="30" t="s">
        <v>35</v>
      </c>
    </row>
    <row r="11">
      <c r="A11" s="30" t="s">
        <v>9</v>
      </c>
      <c r="B11" s="30" t="s">
        <v>38</v>
      </c>
      <c r="C11" s="30" t="s">
        <v>39</v>
      </c>
      <c r="D11" s="30" t="s">
        <v>40</v>
      </c>
    </row>
    <row r="12">
      <c r="A12" s="30" t="s">
        <v>10</v>
      </c>
      <c r="B12" s="30" t="s">
        <v>41</v>
      </c>
      <c r="C12" s="30" t="s">
        <v>42</v>
      </c>
      <c r="D12" s="30" t="s">
        <v>43</v>
      </c>
    </row>
    <row r="13">
      <c r="A13" s="30" t="s">
        <v>11</v>
      </c>
      <c r="B13" s="30" t="s">
        <v>16</v>
      </c>
      <c r="C13" s="30" t="s">
        <v>44</v>
      </c>
      <c r="D13" s="30" t="s">
        <v>45</v>
      </c>
    </row>
    <row r="14">
      <c r="A14" s="30" t="s">
        <v>12</v>
      </c>
      <c r="B14" s="30" t="s">
        <v>46</v>
      </c>
      <c r="C14" s="30" t="s">
        <v>47</v>
      </c>
      <c r="D14" s="30" t="s">
        <v>48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3" width="17.38"/>
    <col customWidth="1" hidden="1" min="4" max="4" width="20.75"/>
    <col customWidth="1" hidden="1" min="5" max="5" width="20.5"/>
    <col customWidth="1" min="6" max="6" width="28.88"/>
    <col customWidth="1" min="7" max="7" width="7.0"/>
    <col customWidth="1" min="8" max="8" width="14.75"/>
    <col customWidth="1" min="9" max="9" width="15.25"/>
    <col customWidth="1" min="10" max="10" width="35.0"/>
    <col customWidth="1" min="11" max="11" width="31.38"/>
    <col customWidth="1" min="12" max="12" width="16.0"/>
    <col customWidth="1" min="13" max="31" width="7.63"/>
  </cols>
  <sheetData>
    <row r="1">
      <c r="A1" s="32"/>
      <c r="B1" s="33"/>
      <c r="C1" s="33"/>
      <c r="D1" s="34"/>
      <c r="E1" s="35"/>
      <c r="F1" s="35"/>
      <c r="G1" s="36"/>
      <c r="H1" s="37"/>
      <c r="I1" s="38"/>
      <c r="J1" s="39"/>
      <c r="K1" s="40"/>
      <c r="L1" s="35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>
      <c r="A2" s="32"/>
      <c r="B2" s="41"/>
      <c r="C2" s="41"/>
      <c r="D2" s="34"/>
      <c r="E2" s="35"/>
      <c r="F2" s="35"/>
      <c r="G2" s="36"/>
      <c r="H2" s="42"/>
      <c r="I2" s="39"/>
      <c r="J2" s="39"/>
      <c r="K2" s="40"/>
      <c r="L2" s="35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</row>
    <row r="3" ht="19.5" customHeight="1">
      <c r="A3" s="32"/>
      <c r="B3" s="43" t="s">
        <v>49</v>
      </c>
      <c r="E3" s="35"/>
      <c r="F3" s="35"/>
      <c r="G3" s="36"/>
      <c r="H3" s="39"/>
      <c r="I3" s="39"/>
      <c r="J3" s="39"/>
      <c r="K3" s="40"/>
      <c r="L3" s="35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>
      <c r="A4" s="32"/>
      <c r="B4" s="44" t="s">
        <v>20</v>
      </c>
      <c r="C4" s="45" t="s">
        <v>22</v>
      </c>
      <c r="D4" s="44" t="s">
        <v>24</v>
      </c>
      <c r="E4" s="44" t="s">
        <v>26</v>
      </c>
      <c r="F4" s="45" t="s">
        <v>28</v>
      </c>
      <c r="G4" s="44" t="s">
        <v>30</v>
      </c>
      <c r="H4" s="38" t="s">
        <v>33</v>
      </c>
      <c r="I4" s="38" t="s">
        <v>36</v>
      </c>
      <c r="J4" s="46" t="s">
        <v>38</v>
      </c>
      <c r="K4" s="47" t="s">
        <v>41</v>
      </c>
      <c r="L4" s="44" t="s">
        <v>16</v>
      </c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</row>
    <row r="5">
      <c r="A5" s="32"/>
      <c r="B5" s="48">
        <v>1.0</v>
      </c>
      <c r="C5" s="48" t="str">
        <f t="shared" ref="C5:C12" si="1">"P01" &amp; TEXT(B5, "00")</f>
        <v>P0101</v>
      </c>
      <c r="D5" s="49" t="s">
        <v>50</v>
      </c>
      <c r="E5" s="49" t="s">
        <v>51</v>
      </c>
      <c r="F5" s="50" t="str">
        <f t="shared" ref="F5:F12" si="2">CONCATENATE(E5," - ",D5)</f>
        <v>Halo Halo - Chè HALO HALO</v>
      </c>
      <c r="G5" s="45" t="s">
        <v>52</v>
      </c>
      <c r="H5" s="51">
        <v>13.5</v>
      </c>
      <c r="I5" s="52">
        <f t="shared" ref="I5:I12" si="3">LET(v,H5*1.15,
i,INT(v),
d,v-i,
IF(d&lt;=0.2,
i-0.1,
IF(d&lt;=0.7,
i+0.5,
i+0.9)))
</f>
        <v>15.5</v>
      </c>
      <c r="J5" s="53" t="s">
        <v>53</v>
      </c>
      <c r="K5" s="54" t="s">
        <v>54</v>
      </c>
      <c r="L5" s="50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</row>
    <row r="6">
      <c r="A6" s="32"/>
      <c r="B6" s="48">
        <f t="shared" ref="B6:B12" si="4">B5+1</f>
        <v>2</v>
      </c>
      <c r="C6" s="48" t="str">
        <f t="shared" si="1"/>
        <v>P0102</v>
      </c>
      <c r="D6" s="49" t="s">
        <v>55</v>
      </c>
      <c r="E6" s="49" t="s">
        <v>56</v>
      </c>
      <c r="F6" s="50" t="str">
        <f t="shared" si="2"/>
        <v>Ching Bo Leung - Chè Sâm Bổ Lượng</v>
      </c>
      <c r="G6" s="45" t="s">
        <v>52</v>
      </c>
      <c r="H6" s="51">
        <v>11.5</v>
      </c>
      <c r="I6" s="52">
        <f t="shared" si="3"/>
        <v>13.5</v>
      </c>
      <c r="J6" s="53" t="s">
        <v>57</v>
      </c>
      <c r="K6" s="54" t="s">
        <v>58</v>
      </c>
      <c r="L6" s="50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</row>
    <row r="7">
      <c r="A7" s="32"/>
      <c r="B7" s="48">
        <f t="shared" si="4"/>
        <v>3</v>
      </c>
      <c r="C7" s="48" t="str">
        <f t="shared" si="1"/>
        <v>P0103</v>
      </c>
      <c r="D7" s="49" t="s">
        <v>59</v>
      </c>
      <c r="E7" s="49" t="s">
        <v>60</v>
      </c>
      <c r="F7" s="50" t="str">
        <f t="shared" si="2"/>
        <v>Bambu Special - Chè Bambu Thập Cẩm</v>
      </c>
      <c r="G7" s="45" t="s">
        <v>52</v>
      </c>
      <c r="H7" s="51">
        <v>13.5</v>
      </c>
      <c r="I7" s="52">
        <f t="shared" si="3"/>
        <v>15.5</v>
      </c>
      <c r="J7" s="53" t="s">
        <v>61</v>
      </c>
      <c r="K7" s="54" t="s">
        <v>62</v>
      </c>
      <c r="L7" s="50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</row>
    <row r="8">
      <c r="A8" s="32"/>
      <c r="B8" s="48">
        <f t="shared" si="4"/>
        <v>4</v>
      </c>
      <c r="C8" s="48" t="str">
        <f t="shared" si="1"/>
        <v>P0104</v>
      </c>
      <c r="D8" s="55" t="s">
        <v>63</v>
      </c>
      <c r="E8" s="55" t="s">
        <v>64</v>
      </c>
      <c r="F8" s="50" t="str">
        <f t="shared" si="2"/>
        <v>Pandan Noodle Sweet - Chè Bánh Lọt - Củ Năng</v>
      </c>
      <c r="G8" s="45" t="s">
        <v>52</v>
      </c>
      <c r="H8" s="51">
        <v>10.5</v>
      </c>
      <c r="I8" s="52">
        <f t="shared" si="3"/>
        <v>11.9</v>
      </c>
      <c r="J8" s="56" t="s">
        <v>65</v>
      </c>
      <c r="K8" s="54" t="s">
        <v>66</v>
      </c>
      <c r="L8" s="50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>
      <c r="A9" s="32"/>
      <c r="B9" s="48">
        <f t="shared" si="4"/>
        <v>5</v>
      </c>
      <c r="C9" s="48" t="str">
        <f t="shared" si="1"/>
        <v>P0105</v>
      </c>
      <c r="D9" s="49" t="s">
        <v>67</v>
      </c>
      <c r="E9" s="49" t="s">
        <v>68</v>
      </c>
      <c r="F9" s="50" t="str">
        <f t="shared" si="2"/>
        <v>Awsom Trio - Chè 3 Màu</v>
      </c>
      <c r="G9" s="45" t="s">
        <v>52</v>
      </c>
      <c r="H9" s="51">
        <v>12.0</v>
      </c>
      <c r="I9" s="52">
        <f t="shared" si="3"/>
        <v>13.9</v>
      </c>
      <c r="J9" s="56" t="s">
        <v>69</v>
      </c>
      <c r="K9" s="54" t="s">
        <v>70</v>
      </c>
      <c r="L9" s="50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>
      <c r="A10" s="32"/>
      <c r="B10" s="48">
        <f t="shared" si="4"/>
        <v>6</v>
      </c>
      <c r="C10" s="48" t="str">
        <f t="shared" si="1"/>
        <v>P0106</v>
      </c>
      <c r="D10" s="49" t="s">
        <v>71</v>
      </c>
      <c r="E10" s="49" t="s">
        <v>72</v>
      </c>
      <c r="F10" s="50" t="str">
        <f t="shared" si="2"/>
        <v>Herbal &amp; Clear Jelly - Chè Sương Sa &amp; Sương Sáo</v>
      </c>
      <c r="G10" s="45" t="s">
        <v>52</v>
      </c>
      <c r="H10" s="51">
        <v>10.5</v>
      </c>
      <c r="I10" s="52">
        <f t="shared" si="3"/>
        <v>11.9</v>
      </c>
      <c r="J10" s="56" t="s">
        <v>73</v>
      </c>
      <c r="K10" s="54" t="s">
        <v>74</v>
      </c>
      <c r="L10" s="50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>
      <c r="A11" s="32"/>
      <c r="B11" s="48">
        <f t="shared" si="4"/>
        <v>7</v>
      </c>
      <c r="C11" s="48" t="str">
        <f t="shared" si="1"/>
        <v>P0107</v>
      </c>
      <c r="D11" s="57" t="s">
        <v>75</v>
      </c>
      <c r="E11" s="55" t="s">
        <v>76</v>
      </c>
      <c r="F11" s="50" t="str">
        <f t="shared" si="2"/>
        <v>Panna Cotta - Chè Khúc Bạch</v>
      </c>
      <c r="G11" s="45" t="s">
        <v>52</v>
      </c>
      <c r="H11" s="51">
        <v>12.9</v>
      </c>
      <c r="I11" s="52">
        <f t="shared" si="3"/>
        <v>14.9</v>
      </c>
      <c r="J11" s="56" t="s">
        <v>77</v>
      </c>
      <c r="K11" s="54" t="s">
        <v>78</v>
      </c>
      <c r="L11" s="50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>
      <c r="A12" s="32"/>
      <c r="B12" s="58">
        <f t="shared" si="4"/>
        <v>8</v>
      </c>
      <c r="C12" s="58" t="str">
        <f t="shared" si="1"/>
        <v>P0108</v>
      </c>
      <c r="D12" s="59" t="s">
        <v>79</v>
      </c>
      <c r="E12" s="60" t="s">
        <v>80</v>
      </c>
      <c r="F12" s="61" t="str">
        <f t="shared" si="2"/>
        <v>Pomelo Rink - Chè Bưởi Lạnh</v>
      </c>
      <c r="G12" s="62" t="s">
        <v>52</v>
      </c>
      <c r="H12" s="63">
        <v>13.5</v>
      </c>
      <c r="I12" s="52">
        <f t="shared" si="3"/>
        <v>15.5</v>
      </c>
      <c r="J12" s="56" t="s">
        <v>81</v>
      </c>
      <c r="K12" s="54" t="s">
        <v>82</v>
      </c>
      <c r="L12" s="64" t="s">
        <v>83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ht="15.75" customHeight="1">
      <c r="A13" s="32"/>
      <c r="B13" s="65"/>
      <c r="C13" s="65"/>
      <c r="D13" s="32"/>
      <c r="E13" s="32"/>
      <c r="F13" s="32"/>
      <c r="G13" s="66"/>
      <c r="H13" s="67"/>
      <c r="I13" s="67"/>
      <c r="J13" s="67"/>
      <c r="K13" s="68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ht="15.75" customHeight="1">
      <c r="A14" s="32"/>
      <c r="B14" s="65"/>
      <c r="C14" s="65"/>
      <c r="D14" s="32"/>
      <c r="E14" s="32"/>
      <c r="F14" s="32"/>
      <c r="G14" s="66"/>
      <c r="H14" s="67"/>
      <c r="I14" s="67"/>
      <c r="J14" s="67"/>
      <c r="K14" s="68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ht="15.75" customHeight="1">
      <c r="A15" s="32"/>
      <c r="B15" s="69"/>
      <c r="G15" s="66"/>
      <c r="H15" s="67"/>
      <c r="I15" s="67"/>
      <c r="J15" s="67"/>
      <c r="K15" s="68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ht="15.75" customHeight="1">
      <c r="A16" s="32"/>
      <c r="B16" s="70"/>
      <c r="C16" s="70"/>
      <c r="D16" s="71"/>
      <c r="G16" s="66"/>
      <c r="H16" s="67"/>
      <c r="I16" s="67"/>
      <c r="J16" s="67"/>
      <c r="K16" s="68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ht="15.75" customHeight="1">
      <c r="A17" s="32"/>
      <c r="B17" s="70"/>
      <c r="C17" s="70"/>
      <c r="D17" s="71"/>
      <c r="G17" s="66"/>
      <c r="H17" s="67"/>
      <c r="I17" s="67"/>
      <c r="J17" s="67"/>
      <c r="K17" s="68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ht="15.75" customHeight="1">
      <c r="A18" s="32"/>
      <c r="B18" s="65"/>
      <c r="C18" s="65"/>
      <c r="D18" s="32"/>
      <c r="E18" s="32"/>
      <c r="F18" s="32"/>
      <c r="G18" s="66"/>
      <c r="H18" s="67"/>
      <c r="I18" s="67"/>
      <c r="J18" s="67"/>
      <c r="K18" s="68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ht="15.75" customHeight="1">
      <c r="A19" s="32"/>
      <c r="B19" s="65"/>
      <c r="C19" s="65"/>
      <c r="D19" s="32"/>
      <c r="E19" s="32"/>
      <c r="F19" s="32"/>
      <c r="G19" s="66"/>
      <c r="H19" s="67"/>
      <c r="I19" s="67"/>
      <c r="J19" s="67"/>
      <c r="K19" s="68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</row>
    <row r="20" ht="15.75" customHeight="1">
      <c r="A20" s="32"/>
      <c r="B20" s="65"/>
      <c r="C20" s="65"/>
      <c r="D20" s="32"/>
      <c r="E20" s="32"/>
      <c r="F20" s="32"/>
      <c r="G20" s="66"/>
      <c r="H20" s="67"/>
      <c r="I20" s="67"/>
      <c r="J20" s="67"/>
      <c r="K20" s="68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ht="15.75" customHeight="1">
      <c r="A21" s="32"/>
      <c r="B21" s="65"/>
      <c r="C21" s="65"/>
      <c r="D21" s="32"/>
      <c r="E21" s="32"/>
      <c r="F21" s="32"/>
      <c r="G21" s="66"/>
      <c r="H21" s="67"/>
      <c r="I21" s="67"/>
      <c r="J21" s="67"/>
      <c r="K21" s="68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 ht="15.75" customHeight="1">
      <c r="A22" s="32"/>
      <c r="B22" s="65"/>
      <c r="C22" s="65"/>
      <c r="D22" s="32"/>
      <c r="E22" s="32"/>
      <c r="F22" s="32"/>
      <c r="G22" s="66"/>
      <c r="H22" s="67"/>
      <c r="I22" s="67"/>
      <c r="J22" s="67"/>
      <c r="K22" s="68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</row>
    <row r="23" ht="15.75" customHeight="1">
      <c r="A23" s="32"/>
      <c r="B23" s="65"/>
      <c r="C23" s="65"/>
      <c r="D23" s="32"/>
      <c r="E23" s="32"/>
      <c r="F23" s="32"/>
      <c r="G23" s="66"/>
      <c r="H23" s="67"/>
      <c r="I23" s="67"/>
      <c r="J23" s="67"/>
      <c r="K23" s="68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ht="15.75" customHeight="1">
      <c r="A24" s="32"/>
      <c r="B24" s="65"/>
      <c r="C24" s="65"/>
      <c r="D24" s="32"/>
      <c r="E24" s="32"/>
      <c r="F24" s="32"/>
      <c r="G24" s="66"/>
      <c r="H24" s="67"/>
      <c r="I24" s="67"/>
      <c r="J24" s="67"/>
      <c r="K24" s="68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ht="15.75" customHeight="1">
      <c r="A25" s="32"/>
      <c r="B25" s="65"/>
      <c r="C25" s="65"/>
      <c r="D25" s="32"/>
      <c r="E25" s="32"/>
      <c r="F25" s="32"/>
      <c r="G25" s="66"/>
      <c r="H25" s="67"/>
      <c r="I25" s="67"/>
      <c r="J25" s="67"/>
      <c r="K25" s="68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ht="15.75" customHeight="1">
      <c r="A26" s="32"/>
      <c r="B26" s="65"/>
      <c r="C26" s="65"/>
      <c r="D26" s="32"/>
      <c r="E26" s="32"/>
      <c r="F26" s="32"/>
      <c r="G26" s="66"/>
      <c r="H26" s="67"/>
      <c r="I26" s="67"/>
      <c r="J26" s="67"/>
      <c r="K26" s="68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ht="15.75" customHeight="1">
      <c r="A27" s="32"/>
      <c r="B27" s="65"/>
      <c r="C27" s="65"/>
      <c r="D27" s="32"/>
      <c r="E27" s="32"/>
      <c r="F27" s="32"/>
      <c r="G27" s="66"/>
      <c r="H27" s="67"/>
      <c r="I27" s="67"/>
      <c r="J27" s="67"/>
      <c r="K27" s="68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</row>
    <row r="28" ht="15.75" customHeight="1">
      <c r="A28" s="32"/>
      <c r="B28" s="65"/>
      <c r="C28" s="65"/>
      <c r="D28" s="32"/>
      <c r="E28" s="32"/>
      <c r="F28" s="32"/>
      <c r="G28" s="66"/>
      <c r="H28" s="67"/>
      <c r="I28" s="67"/>
      <c r="J28" s="67"/>
      <c r="K28" s="68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ht="15.75" customHeight="1">
      <c r="A29" s="32"/>
      <c r="B29" s="65"/>
      <c r="C29" s="65"/>
      <c r="D29" s="32"/>
      <c r="E29" s="32"/>
      <c r="F29" s="32"/>
      <c r="G29" s="66"/>
      <c r="H29" s="67"/>
      <c r="I29" s="67"/>
      <c r="J29" s="67"/>
      <c r="K29" s="68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ht="15.75" customHeight="1">
      <c r="A30" s="32"/>
      <c r="B30" s="65"/>
      <c r="C30" s="65"/>
      <c r="D30" s="32"/>
      <c r="E30" s="32"/>
      <c r="F30" s="32"/>
      <c r="G30" s="66"/>
      <c r="H30" s="67"/>
      <c r="I30" s="67"/>
      <c r="J30" s="67"/>
      <c r="K30" s="68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</row>
    <row r="31" ht="15.75" customHeight="1">
      <c r="A31" s="32"/>
      <c r="B31" s="65"/>
      <c r="C31" s="65"/>
      <c r="D31" s="32"/>
      <c r="E31" s="32"/>
      <c r="F31" s="32"/>
      <c r="G31" s="66"/>
      <c r="H31" s="67"/>
      <c r="I31" s="67"/>
      <c r="J31" s="67"/>
      <c r="K31" s="68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</row>
    <row r="32" ht="15.75" customHeight="1">
      <c r="A32" s="32"/>
      <c r="B32" s="65"/>
      <c r="C32" s="65"/>
      <c r="D32" s="32"/>
      <c r="E32" s="32"/>
      <c r="F32" s="32"/>
      <c r="G32" s="66"/>
      <c r="H32" s="67"/>
      <c r="I32" s="67"/>
      <c r="J32" s="67"/>
      <c r="K32" s="68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ht="15.75" customHeight="1">
      <c r="A33" s="32"/>
      <c r="B33" s="65"/>
      <c r="C33" s="65"/>
      <c r="D33" s="32"/>
      <c r="E33" s="32"/>
      <c r="F33" s="32"/>
      <c r="G33" s="66"/>
      <c r="H33" s="67"/>
      <c r="I33" s="67"/>
      <c r="J33" s="67"/>
      <c r="K33" s="68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ht="15.75" customHeight="1">
      <c r="A34" s="32"/>
      <c r="B34" s="65"/>
      <c r="C34" s="65"/>
      <c r="D34" s="32"/>
      <c r="E34" s="32"/>
      <c r="F34" s="32"/>
      <c r="G34" s="66"/>
      <c r="H34" s="67"/>
      <c r="I34" s="67"/>
      <c r="J34" s="67"/>
      <c r="K34" s="68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ht="15.75" customHeight="1">
      <c r="A35" s="32"/>
      <c r="B35" s="65"/>
      <c r="C35" s="65"/>
      <c r="D35" s="32"/>
      <c r="E35" s="32"/>
      <c r="F35" s="32"/>
      <c r="G35" s="66"/>
      <c r="H35" s="67"/>
      <c r="I35" s="67"/>
      <c r="J35" s="67"/>
      <c r="K35" s="68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ht="15.75" customHeight="1">
      <c r="A36" s="32"/>
      <c r="B36" s="65"/>
      <c r="C36" s="65"/>
      <c r="D36" s="32"/>
      <c r="E36" s="32"/>
      <c r="F36" s="32"/>
      <c r="G36" s="66"/>
      <c r="H36" s="67"/>
      <c r="I36" s="67"/>
      <c r="J36" s="67"/>
      <c r="K36" s="68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ht="15.75" customHeight="1">
      <c r="A37" s="32"/>
      <c r="B37" s="65"/>
      <c r="C37" s="65"/>
      <c r="D37" s="32"/>
      <c r="E37" s="32"/>
      <c r="F37" s="32"/>
      <c r="G37" s="66"/>
      <c r="H37" s="67"/>
      <c r="I37" s="67"/>
      <c r="J37" s="67"/>
      <c r="K37" s="68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ht="15.75" customHeight="1">
      <c r="A38" s="32"/>
      <c r="B38" s="65"/>
      <c r="C38" s="65"/>
      <c r="D38" s="32"/>
      <c r="E38" s="32"/>
      <c r="F38" s="32"/>
      <c r="G38" s="66"/>
      <c r="H38" s="67"/>
      <c r="I38" s="67"/>
      <c r="J38" s="67"/>
      <c r="K38" s="68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ht="15.75" customHeight="1">
      <c r="A39" s="32"/>
      <c r="B39" s="65"/>
      <c r="C39" s="65"/>
      <c r="D39" s="32"/>
      <c r="E39" s="32"/>
      <c r="F39" s="32"/>
      <c r="G39" s="66"/>
      <c r="H39" s="67"/>
      <c r="I39" s="67"/>
      <c r="J39" s="67"/>
      <c r="K39" s="68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ht="15.75" customHeight="1">
      <c r="A40" s="32"/>
      <c r="B40" s="65"/>
      <c r="C40" s="65"/>
      <c r="D40" s="32"/>
      <c r="E40" s="32"/>
      <c r="F40" s="32"/>
      <c r="G40" s="66"/>
      <c r="H40" s="67"/>
      <c r="I40" s="67"/>
      <c r="J40" s="67"/>
      <c r="K40" s="68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ht="15.75" customHeight="1">
      <c r="A41" s="32"/>
      <c r="B41" s="65"/>
      <c r="C41" s="65"/>
      <c r="D41" s="32"/>
      <c r="E41" s="32"/>
      <c r="F41" s="32"/>
      <c r="G41" s="66"/>
      <c r="H41" s="67"/>
      <c r="I41" s="67"/>
      <c r="J41" s="67"/>
      <c r="K41" s="68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</row>
    <row r="42" ht="15.75" customHeight="1">
      <c r="A42" s="32"/>
      <c r="B42" s="65"/>
      <c r="C42" s="65"/>
      <c r="D42" s="32"/>
      <c r="E42" s="32"/>
      <c r="F42" s="32"/>
      <c r="G42" s="66"/>
      <c r="H42" s="67"/>
      <c r="I42" s="67"/>
      <c r="J42" s="67"/>
      <c r="K42" s="68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</row>
    <row r="43" ht="15.75" customHeight="1">
      <c r="A43" s="32"/>
      <c r="B43" s="65"/>
      <c r="C43" s="65"/>
      <c r="D43" s="32"/>
      <c r="E43" s="32"/>
      <c r="F43" s="32"/>
      <c r="G43" s="66"/>
      <c r="H43" s="67"/>
      <c r="I43" s="67"/>
      <c r="J43" s="67"/>
      <c r="K43" s="68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 ht="15.75" customHeight="1">
      <c r="A44" s="32"/>
      <c r="B44" s="65"/>
      <c r="C44" s="65"/>
      <c r="D44" s="32"/>
      <c r="E44" s="32"/>
      <c r="F44" s="32"/>
      <c r="G44" s="66"/>
      <c r="H44" s="67"/>
      <c r="I44" s="67"/>
      <c r="J44" s="67"/>
      <c r="K44" s="68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</row>
    <row r="45" ht="15.75" customHeight="1">
      <c r="A45" s="32"/>
      <c r="B45" s="65"/>
      <c r="C45" s="65"/>
      <c r="D45" s="32"/>
      <c r="E45" s="32"/>
      <c r="F45" s="32"/>
      <c r="G45" s="66"/>
      <c r="H45" s="67"/>
      <c r="I45" s="67"/>
      <c r="J45" s="67"/>
      <c r="K45" s="68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</row>
    <row r="46" ht="15.75" customHeight="1">
      <c r="A46" s="32"/>
      <c r="B46" s="65"/>
      <c r="C46" s="65"/>
      <c r="D46" s="32"/>
      <c r="E46" s="32"/>
      <c r="F46" s="32"/>
      <c r="G46" s="66"/>
      <c r="H46" s="67"/>
      <c r="I46" s="67"/>
      <c r="J46" s="67"/>
      <c r="K46" s="68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</row>
    <row r="47" ht="15.75" customHeight="1">
      <c r="A47" s="32"/>
      <c r="B47" s="65"/>
      <c r="C47" s="65"/>
      <c r="D47" s="32"/>
      <c r="E47" s="32"/>
      <c r="F47" s="32"/>
      <c r="G47" s="66"/>
      <c r="H47" s="67"/>
      <c r="I47" s="67"/>
      <c r="J47" s="67"/>
      <c r="K47" s="68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</row>
    <row r="48" ht="15.75" customHeight="1">
      <c r="A48" s="32"/>
      <c r="B48" s="65"/>
      <c r="C48" s="65"/>
      <c r="D48" s="32"/>
      <c r="E48" s="32"/>
      <c r="F48" s="32"/>
      <c r="G48" s="66"/>
      <c r="H48" s="67"/>
      <c r="I48" s="67"/>
      <c r="J48" s="67"/>
      <c r="K48" s="68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</row>
    <row r="49" ht="15.75" customHeight="1">
      <c r="A49" s="32"/>
      <c r="B49" s="65"/>
      <c r="C49" s="65"/>
      <c r="D49" s="32"/>
      <c r="E49" s="32"/>
      <c r="F49" s="32"/>
      <c r="G49" s="66"/>
      <c r="H49" s="67"/>
      <c r="I49" s="67"/>
      <c r="J49" s="67"/>
      <c r="K49" s="68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</row>
    <row r="50" ht="15.75" customHeight="1">
      <c r="A50" s="32"/>
      <c r="B50" s="65"/>
      <c r="C50" s="65"/>
      <c r="D50" s="32"/>
      <c r="E50" s="32"/>
      <c r="F50" s="32"/>
      <c r="G50" s="66"/>
      <c r="H50" s="67"/>
      <c r="I50" s="67"/>
      <c r="J50" s="67"/>
      <c r="K50" s="68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</row>
    <row r="51" ht="15.75" customHeight="1">
      <c r="A51" s="32"/>
      <c r="B51" s="65"/>
      <c r="C51" s="65"/>
      <c r="D51" s="32"/>
      <c r="E51" s="32"/>
      <c r="F51" s="32"/>
      <c r="G51" s="66"/>
      <c r="H51" s="67"/>
      <c r="I51" s="67"/>
      <c r="J51" s="67"/>
      <c r="K51" s="68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</row>
    <row r="52" ht="15.75" customHeight="1">
      <c r="A52" s="32"/>
      <c r="B52" s="65"/>
      <c r="C52" s="65"/>
      <c r="D52" s="32"/>
      <c r="E52" s="32"/>
      <c r="F52" s="32"/>
      <c r="G52" s="66"/>
      <c r="H52" s="67"/>
      <c r="I52" s="67"/>
      <c r="J52" s="67"/>
      <c r="K52" s="6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</row>
    <row r="53" ht="15.75" customHeight="1">
      <c r="A53" s="32"/>
      <c r="B53" s="65"/>
      <c r="C53" s="65"/>
      <c r="D53" s="32"/>
      <c r="E53" s="32"/>
      <c r="F53" s="32"/>
      <c r="G53" s="66"/>
      <c r="H53" s="67"/>
      <c r="I53" s="67"/>
      <c r="J53" s="67"/>
      <c r="K53" s="68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</row>
    <row r="54" ht="15.75" customHeight="1">
      <c r="A54" s="32"/>
      <c r="B54" s="65"/>
      <c r="C54" s="65"/>
      <c r="D54" s="32"/>
      <c r="E54" s="32"/>
      <c r="F54" s="32"/>
      <c r="G54" s="66"/>
      <c r="H54" s="67"/>
      <c r="I54" s="67"/>
      <c r="J54" s="67"/>
      <c r="K54" s="68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ht="15.75" customHeight="1">
      <c r="A55" s="32"/>
      <c r="B55" s="65"/>
      <c r="C55" s="65"/>
      <c r="D55" s="32"/>
      <c r="E55" s="32"/>
      <c r="F55" s="32"/>
      <c r="G55" s="66"/>
      <c r="H55" s="67"/>
      <c r="I55" s="67"/>
      <c r="J55" s="67"/>
      <c r="K55" s="68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</row>
    <row r="56" ht="15.75" customHeight="1">
      <c r="A56" s="32"/>
      <c r="B56" s="65"/>
      <c r="C56" s="65"/>
      <c r="D56" s="32"/>
      <c r="E56" s="32"/>
      <c r="F56" s="32"/>
      <c r="G56" s="66"/>
      <c r="H56" s="67"/>
      <c r="I56" s="67"/>
      <c r="J56" s="67"/>
      <c r="K56" s="68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</row>
    <row r="57" ht="15.75" customHeight="1">
      <c r="A57" s="32"/>
      <c r="B57" s="65"/>
      <c r="C57" s="65"/>
      <c r="D57" s="32"/>
      <c r="E57" s="32"/>
      <c r="F57" s="32"/>
      <c r="G57" s="66"/>
      <c r="H57" s="67"/>
      <c r="I57" s="67"/>
      <c r="J57" s="67"/>
      <c r="K57" s="68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</row>
    <row r="58" ht="15.75" customHeight="1">
      <c r="A58" s="32"/>
      <c r="B58" s="65"/>
      <c r="C58" s="65"/>
      <c r="D58" s="32"/>
      <c r="E58" s="32"/>
      <c r="F58" s="32"/>
      <c r="G58" s="66"/>
      <c r="H58" s="67"/>
      <c r="I58" s="67"/>
      <c r="J58" s="67"/>
      <c r="K58" s="68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</row>
    <row r="59" ht="15.75" customHeight="1">
      <c r="A59" s="32"/>
      <c r="B59" s="65"/>
      <c r="C59" s="65"/>
      <c r="D59" s="32"/>
      <c r="E59" s="32"/>
      <c r="F59" s="32"/>
      <c r="G59" s="66"/>
      <c r="H59" s="67"/>
      <c r="I59" s="67"/>
      <c r="J59" s="67"/>
      <c r="K59" s="68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</row>
    <row r="60" ht="15.75" customHeight="1">
      <c r="A60" s="32"/>
      <c r="B60" s="65"/>
      <c r="C60" s="65"/>
      <c r="D60" s="32"/>
      <c r="E60" s="32"/>
      <c r="F60" s="32"/>
      <c r="G60" s="66"/>
      <c r="H60" s="67"/>
      <c r="I60" s="67"/>
      <c r="J60" s="67"/>
      <c r="K60" s="68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</row>
    <row r="61" ht="15.75" customHeight="1">
      <c r="A61" s="32"/>
      <c r="B61" s="65"/>
      <c r="C61" s="65"/>
      <c r="D61" s="32"/>
      <c r="E61" s="32"/>
      <c r="F61" s="32"/>
      <c r="G61" s="66"/>
      <c r="H61" s="67"/>
      <c r="I61" s="67"/>
      <c r="J61" s="67"/>
      <c r="K61" s="68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</row>
    <row r="62" ht="15.75" customHeight="1">
      <c r="A62" s="32"/>
      <c r="B62" s="65"/>
      <c r="C62" s="65"/>
      <c r="D62" s="32"/>
      <c r="E62" s="32"/>
      <c r="F62" s="32"/>
      <c r="G62" s="66"/>
      <c r="H62" s="67"/>
      <c r="I62" s="67"/>
      <c r="J62" s="67"/>
      <c r="K62" s="68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</row>
    <row r="63" ht="15.75" customHeight="1">
      <c r="A63" s="32"/>
      <c r="B63" s="65"/>
      <c r="C63" s="65"/>
      <c r="D63" s="32"/>
      <c r="E63" s="32"/>
      <c r="F63" s="32"/>
      <c r="G63" s="66"/>
      <c r="H63" s="67"/>
      <c r="I63" s="67"/>
      <c r="J63" s="67"/>
      <c r="K63" s="68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</row>
    <row r="64" ht="15.75" customHeight="1">
      <c r="A64" s="32"/>
      <c r="B64" s="65"/>
      <c r="C64" s="65"/>
      <c r="D64" s="32"/>
      <c r="E64" s="32"/>
      <c r="F64" s="32"/>
      <c r="G64" s="66"/>
      <c r="H64" s="67"/>
      <c r="I64" s="67"/>
      <c r="J64" s="67"/>
      <c r="K64" s="68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</row>
    <row r="65" ht="15.75" customHeight="1">
      <c r="A65" s="32"/>
      <c r="B65" s="65"/>
      <c r="C65" s="65"/>
      <c r="D65" s="32"/>
      <c r="E65" s="32"/>
      <c r="F65" s="32"/>
      <c r="G65" s="66"/>
      <c r="H65" s="67"/>
      <c r="I65" s="67"/>
      <c r="J65" s="67"/>
      <c r="K65" s="68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</row>
    <row r="66" ht="15.75" customHeight="1">
      <c r="A66" s="32"/>
      <c r="B66" s="65"/>
      <c r="C66" s="65"/>
      <c r="D66" s="32"/>
      <c r="E66" s="32"/>
      <c r="F66" s="32"/>
      <c r="G66" s="66"/>
      <c r="H66" s="67"/>
      <c r="I66" s="67"/>
      <c r="J66" s="67"/>
      <c r="K66" s="68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</row>
    <row r="67" ht="15.75" customHeight="1">
      <c r="A67" s="32"/>
      <c r="B67" s="65"/>
      <c r="C67" s="65"/>
      <c r="D67" s="32"/>
      <c r="E67" s="32"/>
      <c r="F67" s="32"/>
      <c r="G67" s="66"/>
      <c r="H67" s="67"/>
      <c r="I67" s="67"/>
      <c r="J67" s="67"/>
      <c r="K67" s="68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</row>
    <row r="68" ht="15.75" customHeight="1">
      <c r="A68" s="32"/>
      <c r="B68" s="65"/>
      <c r="C68" s="65"/>
      <c r="D68" s="32"/>
      <c r="E68" s="32"/>
      <c r="F68" s="32"/>
      <c r="G68" s="66"/>
      <c r="H68" s="67"/>
      <c r="I68" s="67"/>
      <c r="J68" s="67"/>
      <c r="K68" s="68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</row>
    <row r="69" ht="15.75" customHeight="1">
      <c r="A69" s="32"/>
      <c r="B69" s="65"/>
      <c r="C69" s="65"/>
      <c r="D69" s="32"/>
      <c r="E69" s="32"/>
      <c r="F69" s="32"/>
      <c r="G69" s="66"/>
      <c r="H69" s="67"/>
      <c r="I69" s="67"/>
      <c r="J69" s="67"/>
      <c r="K69" s="68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</row>
    <row r="70" ht="15.75" customHeight="1">
      <c r="A70" s="32"/>
      <c r="B70" s="65"/>
      <c r="C70" s="65"/>
      <c r="D70" s="32"/>
      <c r="E70" s="32"/>
      <c r="F70" s="32"/>
      <c r="G70" s="66"/>
      <c r="H70" s="67"/>
      <c r="I70" s="67"/>
      <c r="J70" s="67"/>
      <c r="K70" s="6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</row>
    <row r="71" ht="15.75" customHeight="1">
      <c r="A71" s="32"/>
      <c r="B71" s="65"/>
      <c r="C71" s="65"/>
      <c r="D71" s="32"/>
      <c r="E71" s="32"/>
      <c r="F71" s="32"/>
      <c r="G71" s="66"/>
      <c r="H71" s="67"/>
      <c r="I71" s="67"/>
      <c r="J71" s="67"/>
      <c r="K71" s="6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</row>
    <row r="72" ht="15.75" customHeight="1">
      <c r="A72" s="32"/>
      <c r="B72" s="65"/>
      <c r="C72" s="65"/>
      <c r="D72" s="32"/>
      <c r="E72" s="32"/>
      <c r="F72" s="32"/>
      <c r="G72" s="66"/>
      <c r="H72" s="67"/>
      <c r="I72" s="67"/>
      <c r="J72" s="67"/>
      <c r="K72" s="68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</row>
    <row r="73" ht="15.75" customHeight="1">
      <c r="A73" s="32"/>
      <c r="B73" s="65"/>
      <c r="C73" s="65"/>
      <c r="D73" s="32"/>
      <c r="E73" s="32"/>
      <c r="F73" s="32"/>
      <c r="G73" s="66"/>
      <c r="H73" s="67"/>
      <c r="I73" s="67"/>
      <c r="J73" s="67"/>
      <c r="K73" s="68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</row>
    <row r="74" ht="15.75" customHeight="1">
      <c r="A74" s="32"/>
      <c r="B74" s="65"/>
      <c r="C74" s="65"/>
      <c r="D74" s="32"/>
      <c r="E74" s="32"/>
      <c r="F74" s="32"/>
      <c r="G74" s="66"/>
      <c r="H74" s="67"/>
      <c r="I74" s="67"/>
      <c r="J74" s="67"/>
      <c r="K74" s="68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</row>
    <row r="75" ht="15.75" customHeight="1">
      <c r="A75" s="32"/>
      <c r="B75" s="65"/>
      <c r="C75" s="65"/>
      <c r="D75" s="32"/>
      <c r="E75" s="32"/>
      <c r="F75" s="32"/>
      <c r="G75" s="66"/>
      <c r="H75" s="67"/>
      <c r="I75" s="67"/>
      <c r="J75" s="67"/>
      <c r="K75" s="68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</row>
    <row r="76" ht="15.75" customHeight="1">
      <c r="A76" s="32"/>
      <c r="B76" s="65"/>
      <c r="C76" s="65"/>
      <c r="D76" s="32"/>
      <c r="E76" s="32"/>
      <c r="F76" s="32"/>
      <c r="G76" s="66"/>
      <c r="H76" s="67"/>
      <c r="I76" s="67"/>
      <c r="J76" s="67"/>
      <c r="K76" s="68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</row>
    <row r="77" ht="15.75" customHeight="1">
      <c r="A77" s="32"/>
      <c r="B77" s="65"/>
      <c r="C77" s="65"/>
      <c r="D77" s="32"/>
      <c r="E77" s="32"/>
      <c r="F77" s="32"/>
      <c r="G77" s="66"/>
      <c r="H77" s="67"/>
      <c r="I77" s="67"/>
      <c r="J77" s="67"/>
      <c r="K77" s="68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</row>
    <row r="78" ht="15.75" customHeight="1">
      <c r="A78" s="32"/>
      <c r="B78" s="65"/>
      <c r="C78" s="65"/>
      <c r="D78" s="32"/>
      <c r="E78" s="32"/>
      <c r="F78" s="32"/>
      <c r="G78" s="66"/>
      <c r="H78" s="67"/>
      <c r="I78" s="67"/>
      <c r="J78" s="67"/>
      <c r="K78" s="68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</row>
    <row r="79" ht="15.75" customHeight="1">
      <c r="A79" s="32"/>
      <c r="B79" s="65"/>
      <c r="C79" s="65"/>
      <c r="D79" s="32"/>
      <c r="E79" s="32"/>
      <c r="F79" s="32"/>
      <c r="G79" s="66"/>
      <c r="H79" s="67"/>
      <c r="I79" s="67"/>
      <c r="J79" s="67"/>
      <c r="K79" s="68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</row>
    <row r="80" ht="15.75" customHeight="1">
      <c r="A80" s="32"/>
      <c r="B80" s="65"/>
      <c r="C80" s="65"/>
      <c r="D80" s="32"/>
      <c r="E80" s="32"/>
      <c r="F80" s="32"/>
      <c r="G80" s="66"/>
      <c r="H80" s="67"/>
      <c r="I80" s="67"/>
      <c r="J80" s="67"/>
      <c r="K80" s="68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</row>
    <row r="81" ht="15.75" customHeight="1">
      <c r="A81" s="32"/>
      <c r="B81" s="65"/>
      <c r="C81" s="65"/>
      <c r="D81" s="32"/>
      <c r="E81" s="32"/>
      <c r="F81" s="32"/>
      <c r="G81" s="66"/>
      <c r="H81" s="67"/>
      <c r="I81" s="67"/>
      <c r="J81" s="67"/>
      <c r="K81" s="68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</row>
    <row r="82" ht="15.75" customHeight="1">
      <c r="A82" s="32"/>
      <c r="B82" s="65"/>
      <c r="C82" s="65"/>
      <c r="D82" s="32"/>
      <c r="E82" s="32"/>
      <c r="F82" s="32"/>
      <c r="G82" s="66"/>
      <c r="H82" s="67"/>
      <c r="I82" s="67"/>
      <c r="J82" s="67"/>
      <c r="K82" s="68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</row>
    <row r="83" ht="15.75" customHeight="1">
      <c r="A83" s="32"/>
      <c r="B83" s="65"/>
      <c r="C83" s="65"/>
      <c r="D83" s="32"/>
      <c r="E83" s="32"/>
      <c r="F83" s="32"/>
      <c r="G83" s="66"/>
      <c r="H83" s="67"/>
      <c r="I83" s="67"/>
      <c r="J83" s="67"/>
      <c r="K83" s="6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</row>
    <row r="84" ht="15.75" customHeight="1">
      <c r="A84" s="32"/>
      <c r="B84" s="65"/>
      <c r="C84" s="65"/>
      <c r="D84" s="32"/>
      <c r="E84" s="32"/>
      <c r="F84" s="32"/>
      <c r="G84" s="66"/>
      <c r="H84" s="67"/>
      <c r="I84" s="67"/>
      <c r="J84" s="67"/>
      <c r="K84" s="6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</row>
    <row r="85" ht="15.75" customHeight="1">
      <c r="A85" s="32"/>
      <c r="B85" s="65"/>
      <c r="C85" s="65"/>
      <c r="D85" s="32"/>
      <c r="E85" s="32"/>
      <c r="F85" s="32"/>
      <c r="G85" s="66"/>
      <c r="H85" s="67"/>
      <c r="I85" s="67"/>
      <c r="J85" s="67"/>
      <c r="K85" s="6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</row>
    <row r="86" ht="15.75" customHeight="1">
      <c r="A86" s="32"/>
      <c r="B86" s="65"/>
      <c r="C86" s="65"/>
      <c r="D86" s="32"/>
      <c r="E86" s="32"/>
      <c r="F86" s="32"/>
      <c r="G86" s="66"/>
      <c r="H86" s="67"/>
      <c r="I86" s="67"/>
      <c r="J86" s="67"/>
      <c r="K86" s="6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</row>
    <row r="87" ht="15.75" customHeight="1">
      <c r="A87" s="32"/>
      <c r="B87" s="65"/>
      <c r="C87" s="65"/>
      <c r="D87" s="32"/>
      <c r="E87" s="32"/>
      <c r="F87" s="32"/>
      <c r="G87" s="66"/>
      <c r="H87" s="67"/>
      <c r="I87" s="67"/>
      <c r="J87" s="67"/>
      <c r="K87" s="68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</row>
    <row r="88" ht="15.75" customHeight="1">
      <c r="A88" s="32"/>
      <c r="B88" s="65"/>
      <c r="C88" s="65"/>
      <c r="D88" s="32"/>
      <c r="E88" s="32"/>
      <c r="F88" s="32"/>
      <c r="G88" s="66"/>
      <c r="H88" s="67"/>
      <c r="I88" s="67"/>
      <c r="J88" s="67"/>
      <c r="K88" s="68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</row>
    <row r="89" ht="15.75" customHeight="1">
      <c r="A89" s="32"/>
      <c r="B89" s="65"/>
      <c r="C89" s="65"/>
      <c r="D89" s="32"/>
      <c r="E89" s="32"/>
      <c r="F89" s="32"/>
      <c r="G89" s="66"/>
      <c r="H89" s="67"/>
      <c r="I89" s="67"/>
      <c r="J89" s="67"/>
      <c r="K89" s="68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</row>
    <row r="90" ht="15.75" customHeight="1">
      <c r="A90" s="32"/>
      <c r="B90" s="65"/>
      <c r="C90" s="65"/>
      <c r="D90" s="32"/>
      <c r="E90" s="32"/>
      <c r="F90" s="32"/>
      <c r="G90" s="66"/>
      <c r="H90" s="67"/>
      <c r="I90" s="67"/>
      <c r="J90" s="67"/>
      <c r="K90" s="68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</row>
    <row r="91" ht="15.75" customHeight="1">
      <c r="A91" s="32"/>
      <c r="B91" s="65"/>
      <c r="C91" s="65"/>
      <c r="D91" s="32"/>
      <c r="E91" s="32"/>
      <c r="F91" s="32"/>
      <c r="G91" s="66"/>
      <c r="H91" s="67"/>
      <c r="I91" s="67"/>
      <c r="J91" s="67"/>
      <c r="K91" s="68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</row>
    <row r="92" ht="15.75" customHeight="1">
      <c r="A92" s="32"/>
      <c r="B92" s="65"/>
      <c r="C92" s="65"/>
      <c r="D92" s="32"/>
      <c r="E92" s="32"/>
      <c r="F92" s="32"/>
      <c r="G92" s="66"/>
      <c r="H92" s="67"/>
      <c r="I92" s="67"/>
      <c r="J92" s="67"/>
      <c r="K92" s="68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</row>
    <row r="93" ht="15.75" customHeight="1">
      <c r="A93" s="32"/>
      <c r="B93" s="65"/>
      <c r="C93" s="65"/>
      <c r="D93" s="32"/>
      <c r="E93" s="32"/>
      <c r="F93" s="32"/>
      <c r="G93" s="66"/>
      <c r="H93" s="67"/>
      <c r="I93" s="67"/>
      <c r="J93" s="67"/>
      <c r="K93" s="68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</row>
    <row r="94" ht="15.75" customHeight="1">
      <c r="A94" s="32"/>
      <c r="B94" s="65"/>
      <c r="C94" s="65"/>
      <c r="D94" s="32"/>
      <c r="E94" s="32"/>
      <c r="F94" s="32"/>
      <c r="G94" s="66"/>
      <c r="H94" s="67"/>
      <c r="I94" s="67"/>
      <c r="J94" s="67"/>
      <c r="K94" s="68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</row>
    <row r="95" ht="15.75" customHeight="1">
      <c r="A95" s="32"/>
      <c r="B95" s="65"/>
      <c r="C95" s="65"/>
      <c r="D95" s="32"/>
      <c r="E95" s="32"/>
      <c r="F95" s="32"/>
      <c r="G95" s="66"/>
      <c r="H95" s="67"/>
      <c r="I95" s="67"/>
      <c r="J95" s="67"/>
      <c r="K95" s="68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</row>
    <row r="96" ht="15.75" customHeight="1">
      <c r="A96" s="32"/>
      <c r="B96" s="65"/>
      <c r="C96" s="65"/>
      <c r="D96" s="32"/>
      <c r="E96" s="32"/>
      <c r="F96" s="32"/>
      <c r="G96" s="66"/>
      <c r="H96" s="67"/>
      <c r="I96" s="67"/>
      <c r="J96" s="67"/>
      <c r="K96" s="6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</row>
    <row r="97" ht="15.75" customHeight="1">
      <c r="A97" s="32"/>
      <c r="B97" s="65"/>
      <c r="C97" s="65"/>
      <c r="D97" s="32"/>
      <c r="E97" s="32"/>
      <c r="F97" s="32"/>
      <c r="G97" s="66"/>
      <c r="H97" s="67"/>
      <c r="I97" s="67"/>
      <c r="J97" s="67"/>
      <c r="K97" s="68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</row>
    <row r="98" ht="15.75" customHeight="1">
      <c r="A98" s="32"/>
      <c r="B98" s="65"/>
      <c r="C98" s="65"/>
      <c r="D98" s="32"/>
      <c r="E98" s="32"/>
      <c r="F98" s="32"/>
      <c r="G98" s="66"/>
      <c r="H98" s="67"/>
      <c r="I98" s="67"/>
      <c r="J98" s="67"/>
      <c r="K98" s="68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</row>
    <row r="99" ht="15.75" customHeight="1">
      <c r="A99" s="32"/>
      <c r="B99" s="65"/>
      <c r="C99" s="65"/>
      <c r="D99" s="32"/>
      <c r="E99" s="32"/>
      <c r="F99" s="32"/>
      <c r="G99" s="66"/>
      <c r="H99" s="67"/>
      <c r="I99" s="67"/>
      <c r="J99" s="67"/>
      <c r="K99" s="68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</row>
    <row r="100" ht="15.75" customHeight="1">
      <c r="A100" s="32"/>
      <c r="B100" s="65"/>
      <c r="C100" s="65"/>
      <c r="D100" s="32"/>
      <c r="E100" s="32"/>
      <c r="F100" s="32"/>
      <c r="G100" s="66"/>
      <c r="H100" s="67"/>
      <c r="I100" s="67"/>
      <c r="J100" s="67"/>
      <c r="K100" s="6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</row>
    <row r="101" ht="15.75" customHeight="1">
      <c r="A101" s="32"/>
      <c r="B101" s="65"/>
      <c r="C101" s="65"/>
      <c r="D101" s="32"/>
      <c r="E101" s="32"/>
      <c r="F101" s="32"/>
      <c r="G101" s="66"/>
      <c r="H101" s="67"/>
      <c r="I101" s="67"/>
      <c r="J101" s="67"/>
      <c r="K101" s="68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</row>
    <row r="102" ht="15.75" customHeight="1">
      <c r="A102" s="32"/>
      <c r="B102" s="65"/>
      <c r="C102" s="65"/>
      <c r="D102" s="32"/>
      <c r="E102" s="32"/>
      <c r="F102" s="32"/>
      <c r="G102" s="66"/>
      <c r="H102" s="67"/>
      <c r="I102" s="67"/>
      <c r="J102" s="67"/>
      <c r="K102" s="68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</row>
    <row r="103" ht="15.75" customHeight="1">
      <c r="A103" s="32"/>
      <c r="B103" s="65"/>
      <c r="C103" s="65"/>
      <c r="D103" s="32"/>
      <c r="E103" s="32"/>
      <c r="F103" s="32"/>
      <c r="G103" s="66"/>
      <c r="H103" s="67"/>
      <c r="I103" s="67"/>
      <c r="J103" s="67"/>
      <c r="K103" s="68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</row>
    <row r="104" ht="15.75" customHeight="1">
      <c r="A104" s="32"/>
      <c r="B104" s="65"/>
      <c r="C104" s="65"/>
      <c r="D104" s="32"/>
      <c r="E104" s="32"/>
      <c r="F104" s="32"/>
      <c r="G104" s="66"/>
      <c r="H104" s="67"/>
      <c r="I104" s="67"/>
      <c r="J104" s="67"/>
      <c r="K104" s="68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</row>
    <row r="105" ht="15.75" customHeight="1">
      <c r="A105" s="32"/>
      <c r="B105" s="65"/>
      <c r="C105" s="65"/>
      <c r="D105" s="32"/>
      <c r="E105" s="32"/>
      <c r="F105" s="32"/>
      <c r="G105" s="66"/>
      <c r="H105" s="67"/>
      <c r="I105" s="67"/>
      <c r="J105" s="67"/>
      <c r="K105" s="68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</row>
    <row r="106" ht="15.75" customHeight="1">
      <c r="A106" s="32"/>
      <c r="B106" s="65"/>
      <c r="C106" s="65"/>
      <c r="D106" s="32"/>
      <c r="E106" s="32"/>
      <c r="F106" s="32"/>
      <c r="G106" s="66"/>
      <c r="H106" s="67"/>
      <c r="I106" s="67"/>
      <c r="J106" s="67"/>
      <c r="K106" s="6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</row>
    <row r="107" ht="15.75" customHeight="1">
      <c r="A107" s="32"/>
      <c r="B107" s="65"/>
      <c r="C107" s="65"/>
      <c r="D107" s="32"/>
      <c r="E107" s="32"/>
      <c r="F107" s="32"/>
      <c r="G107" s="66"/>
      <c r="H107" s="67"/>
      <c r="I107" s="67"/>
      <c r="J107" s="67"/>
      <c r="K107" s="6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</row>
    <row r="108" ht="15.75" customHeight="1">
      <c r="A108" s="32"/>
      <c r="B108" s="65"/>
      <c r="C108" s="65"/>
      <c r="D108" s="32"/>
      <c r="E108" s="32"/>
      <c r="F108" s="32"/>
      <c r="G108" s="66"/>
      <c r="H108" s="67"/>
      <c r="I108" s="67"/>
      <c r="J108" s="67"/>
      <c r="K108" s="6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</row>
    <row r="109" ht="15.75" customHeight="1">
      <c r="A109" s="32"/>
      <c r="B109" s="65"/>
      <c r="C109" s="65"/>
      <c r="D109" s="32"/>
      <c r="E109" s="32"/>
      <c r="F109" s="32"/>
      <c r="G109" s="66"/>
      <c r="H109" s="67"/>
      <c r="I109" s="67"/>
      <c r="J109" s="67"/>
      <c r="K109" s="6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</row>
    <row r="110" ht="15.75" customHeight="1">
      <c r="A110" s="32"/>
      <c r="B110" s="65"/>
      <c r="C110" s="65"/>
      <c r="D110" s="32"/>
      <c r="E110" s="32"/>
      <c r="F110" s="32"/>
      <c r="G110" s="66"/>
      <c r="H110" s="67"/>
      <c r="I110" s="67"/>
      <c r="J110" s="67"/>
      <c r="K110" s="6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</row>
    <row r="111" ht="15.75" customHeight="1">
      <c r="A111" s="32"/>
      <c r="B111" s="65"/>
      <c r="C111" s="65"/>
      <c r="D111" s="32"/>
      <c r="E111" s="32"/>
      <c r="F111" s="32"/>
      <c r="G111" s="66"/>
      <c r="H111" s="67"/>
      <c r="I111" s="67"/>
      <c r="J111" s="67"/>
      <c r="K111" s="6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</row>
    <row r="112" ht="15.75" customHeight="1">
      <c r="A112" s="32"/>
      <c r="B112" s="65"/>
      <c r="C112" s="65"/>
      <c r="D112" s="32"/>
      <c r="E112" s="32"/>
      <c r="F112" s="32"/>
      <c r="G112" s="66"/>
      <c r="H112" s="67"/>
      <c r="I112" s="67"/>
      <c r="J112" s="67"/>
      <c r="K112" s="6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</row>
    <row r="113" ht="15.75" customHeight="1">
      <c r="A113" s="32"/>
      <c r="B113" s="65"/>
      <c r="C113" s="65"/>
      <c r="D113" s="32"/>
      <c r="E113" s="32"/>
      <c r="F113" s="32"/>
      <c r="G113" s="66"/>
      <c r="H113" s="67"/>
      <c r="I113" s="67"/>
      <c r="J113" s="67"/>
      <c r="K113" s="6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</row>
    <row r="114" ht="15.75" customHeight="1">
      <c r="A114" s="32"/>
      <c r="B114" s="65"/>
      <c r="C114" s="65"/>
      <c r="D114" s="32"/>
      <c r="E114" s="32"/>
      <c r="F114" s="32"/>
      <c r="G114" s="66"/>
      <c r="H114" s="67"/>
      <c r="I114" s="67"/>
      <c r="J114" s="67"/>
      <c r="K114" s="6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</row>
    <row r="115" ht="15.75" customHeight="1">
      <c r="A115" s="32"/>
      <c r="B115" s="65"/>
      <c r="C115" s="65"/>
      <c r="D115" s="32"/>
      <c r="E115" s="32"/>
      <c r="F115" s="32"/>
      <c r="G115" s="66"/>
      <c r="H115" s="67"/>
      <c r="I115" s="67"/>
      <c r="J115" s="67"/>
      <c r="K115" s="6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</row>
    <row r="116" ht="15.75" customHeight="1">
      <c r="A116" s="32"/>
      <c r="B116" s="65"/>
      <c r="C116" s="65"/>
      <c r="D116" s="32"/>
      <c r="E116" s="32"/>
      <c r="F116" s="32"/>
      <c r="G116" s="66"/>
      <c r="H116" s="67"/>
      <c r="I116" s="67"/>
      <c r="J116" s="67"/>
      <c r="K116" s="6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</row>
    <row r="117" ht="15.75" customHeight="1">
      <c r="A117" s="32"/>
      <c r="B117" s="65"/>
      <c r="C117" s="65"/>
      <c r="D117" s="32"/>
      <c r="E117" s="32"/>
      <c r="F117" s="32"/>
      <c r="G117" s="66"/>
      <c r="H117" s="67"/>
      <c r="I117" s="67"/>
      <c r="J117" s="67"/>
      <c r="K117" s="68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</row>
    <row r="118" ht="15.75" customHeight="1">
      <c r="A118" s="32"/>
      <c r="B118" s="65"/>
      <c r="C118" s="65"/>
      <c r="D118" s="32"/>
      <c r="E118" s="32"/>
      <c r="F118" s="32"/>
      <c r="G118" s="66"/>
      <c r="H118" s="67"/>
      <c r="I118" s="67"/>
      <c r="J118" s="67"/>
      <c r="K118" s="68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</row>
    <row r="119" ht="15.75" customHeight="1">
      <c r="A119" s="32"/>
      <c r="B119" s="65"/>
      <c r="C119" s="65"/>
      <c r="D119" s="32"/>
      <c r="E119" s="32"/>
      <c r="F119" s="32"/>
      <c r="G119" s="66"/>
      <c r="H119" s="67"/>
      <c r="I119" s="67"/>
      <c r="J119" s="67"/>
      <c r="K119" s="68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</row>
    <row r="120" ht="15.75" customHeight="1">
      <c r="A120" s="32"/>
      <c r="B120" s="65"/>
      <c r="C120" s="65"/>
      <c r="D120" s="32"/>
      <c r="E120" s="32"/>
      <c r="F120" s="32"/>
      <c r="G120" s="66"/>
      <c r="H120" s="67"/>
      <c r="I120" s="67"/>
      <c r="J120" s="67"/>
      <c r="K120" s="68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</row>
    <row r="121" ht="15.75" customHeight="1">
      <c r="A121" s="32"/>
      <c r="B121" s="65"/>
      <c r="C121" s="65"/>
      <c r="D121" s="32"/>
      <c r="E121" s="32"/>
      <c r="F121" s="32"/>
      <c r="G121" s="66"/>
      <c r="H121" s="67"/>
      <c r="I121" s="67"/>
      <c r="J121" s="67"/>
      <c r="K121" s="68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</row>
    <row r="122" ht="15.75" customHeight="1">
      <c r="A122" s="32"/>
      <c r="B122" s="65"/>
      <c r="C122" s="65"/>
      <c r="D122" s="32"/>
      <c r="E122" s="32"/>
      <c r="F122" s="32"/>
      <c r="G122" s="66"/>
      <c r="H122" s="67"/>
      <c r="I122" s="67"/>
      <c r="J122" s="67"/>
      <c r="K122" s="68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</row>
    <row r="123" ht="15.75" customHeight="1">
      <c r="A123" s="32"/>
      <c r="B123" s="65"/>
      <c r="C123" s="65"/>
      <c r="D123" s="32"/>
      <c r="E123" s="32"/>
      <c r="F123" s="32"/>
      <c r="G123" s="66"/>
      <c r="H123" s="67"/>
      <c r="I123" s="67"/>
      <c r="J123" s="67"/>
      <c r="K123" s="68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</row>
    <row r="124" ht="15.75" customHeight="1">
      <c r="A124" s="32"/>
      <c r="B124" s="65"/>
      <c r="C124" s="65"/>
      <c r="D124" s="32"/>
      <c r="E124" s="32"/>
      <c r="F124" s="32"/>
      <c r="G124" s="66"/>
      <c r="H124" s="67"/>
      <c r="I124" s="67"/>
      <c r="J124" s="67"/>
      <c r="K124" s="68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</row>
    <row r="125" ht="15.75" customHeight="1">
      <c r="A125" s="32"/>
      <c r="B125" s="65"/>
      <c r="C125" s="65"/>
      <c r="D125" s="32"/>
      <c r="E125" s="32"/>
      <c r="F125" s="32"/>
      <c r="G125" s="66"/>
      <c r="H125" s="67"/>
      <c r="I125" s="67"/>
      <c r="J125" s="67"/>
      <c r="K125" s="68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</row>
    <row r="126" ht="15.75" customHeight="1">
      <c r="A126" s="32"/>
      <c r="B126" s="65"/>
      <c r="C126" s="65"/>
      <c r="D126" s="32"/>
      <c r="E126" s="32"/>
      <c r="F126" s="32"/>
      <c r="G126" s="66"/>
      <c r="H126" s="67"/>
      <c r="I126" s="67"/>
      <c r="J126" s="67"/>
      <c r="K126" s="68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</row>
    <row r="127" ht="15.75" customHeight="1">
      <c r="A127" s="32"/>
      <c r="B127" s="65"/>
      <c r="C127" s="65"/>
      <c r="D127" s="32"/>
      <c r="E127" s="32"/>
      <c r="F127" s="32"/>
      <c r="G127" s="66"/>
      <c r="H127" s="67"/>
      <c r="I127" s="67"/>
      <c r="J127" s="67"/>
      <c r="K127" s="68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</row>
    <row r="128" ht="15.75" customHeight="1">
      <c r="A128" s="32"/>
      <c r="B128" s="65"/>
      <c r="C128" s="65"/>
      <c r="D128" s="32"/>
      <c r="E128" s="32"/>
      <c r="F128" s="32"/>
      <c r="G128" s="66"/>
      <c r="H128" s="67"/>
      <c r="I128" s="67"/>
      <c r="J128" s="67"/>
      <c r="K128" s="68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</row>
    <row r="129" ht="15.75" customHeight="1">
      <c r="A129" s="32"/>
      <c r="B129" s="65"/>
      <c r="C129" s="65"/>
      <c r="D129" s="32"/>
      <c r="E129" s="32"/>
      <c r="F129" s="32"/>
      <c r="G129" s="66"/>
      <c r="H129" s="67"/>
      <c r="I129" s="67"/>
      <c r="J129" s="67"/>
      <c r="K129" s="68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</row>
    <row r="130" ht="15.75" customHeight="1">
      <c r="A130" s="32"/>
      <c r="B130" s="65"/>
      <c r="C130" s="65"/>
      <c r="D130" s="32"/>
      <c r="E130" s="32"/>
      <c r="F130" s="32"/>
      <c r="G130" s="66"/>
      <c r="H130" s="67"/>
      <c r="I130" s="67"/>
      <c r="J130" s="67"/>
      <c r="K130" s="68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</row>
    <row r="131" ht="15.75" customHeight="1">
      <c r="A131" s="32"/>
      <c r="B131" s="65"/>
      <c r="C131" s="65"/>
      <c r="D131" s="32"/>
      <c r="E131" s="32"/>
      <c r="F131" s="32"/>
      <c r="G131" s="66"/>
      <c r="H131" s="67"/>
      <c r="I131" s="67"/>
      <c r="J131" s="67"/>
      <c r="K131" s="68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</row>
    <row r="132" ht="15.75" customHeight="1">
      <c r="A132" s="32"/>
      <c r="B132" s="65"/>
      <c r="C132" s="65"/>
      <c r="D132" s="32"/>
      <c r="E132" s="32"/>
      <c r="F132" s="32"/>
      <c r="G132" s="66"/>
      <c r="H132" s="67"/>
      <c r="I132" s="67"/>
      <c r="J132" s="67"/>
      <c r="K132" s="68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</row>
    <row r="133" ht="15.75" customHeight="1">
      <c r="A133" s="32"/>
      <c r="B133" s="65"/>
      <c r="C133" s="65"/>
      <c r="D133" s="32"/>
      <c r="E133" s="32"/>
      <c r="F133" s="32"/>
      <c r="G133" s="66"/>
      <c r="H133" s="67"/>
      <c r="I133" s="67"/>
      <c r="J133" s="67"/>
      <c r="K133" s="68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</row>
    <row r="134" ht="15.75" customHeight="1">
      <c r="A134" s="32"/>
      <c r="B134" s="65"/>
      <c r="C134" s="65"/>
      <c r="D134" s="32"/>
      <c r="E134" s="32"/>
      <c r="F134" s="32"/>
      <c r="G134" s="66"/>
      <c r="H134" s="67"/>
      <c r="I134" s="67"/>
      <c r="J134" s="67"/>
      <c r="K134" s="68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</row>
    <row r="135" ht="15.75" customHeight="1">
      <c r="A135" s="32"/>
      <c r="B135" s="65"/>
      <c r="C135" s="65"/>
      <c r="D135" s="32"/>
      <c r="E135" s="32"/>
      <c r="F135" s="32"/>
      <c r="G135" s="66"/>
      <c r="H135" s="67"/>
      <c r="I135" s="67"/>
      <c r="J135" s="67"/>
      <c r="K135" s="68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</row>
    <row r="136" ht="15.75" customHeight="1">
      <c r="A136" s="32"/>
      <c r="B136" s="65"/>
      <c r="C136" s="65"/>
      <c r="D136" s="32"/>
      <c r="E136" s="32"/>
      <c r="F136" s="32"/>
      <c r="G136" s="66"/>
      <c r="H136" s="67"/>
      <c r="I136" s="67"/>
      <c r="J136" s="67"/>
      <c r="K136" s="68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</row>
    <row r="137" ht="15.75" customHeight="1">
      <c r="A137" s="32"/>
      <c r="B137" s="65"/>
      <c r="C137" s="65"/>
      <c r="D137" s="32"/>
      <c r="E137" s="32"/>
      <c r="F137" s="32"/>
      <c r="G137" s="66"/>
      <c r="H137" s="67"/>
      <c r="I137" s="67"/>
      <c r="J137" s="67"/>
      <c r="K137" s="68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</row>
    <row r="138" ht="15.75" customHeight="1">
      <c r="A138" s="32"/>
      <c r="B138" s="65"/>
      <c r="C138" s="65"/>
      <c r="D138" s="32"/>
      <c r="E138" s="32"/>
      <c r="F138" s="32"/>
      <c r="G138" s="66"/>
      <c r="H138" s="67"/>
      <c r="I138" s="67"/>
      <c r="J138" s="67"/>
      <c r="K138" s="68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</row>
    <row r="139" ht="15.75" customHeight="1">
      <c r="A139" s="32"/>
      <c r="B139" s="65"/>
      <c r="C139" s="65"/>
      <c r="D139" s="32"/>
      <c r="E139" s="32"/>
      <c r="F139" s="32"/>
      <c r="G139" s="66"/>
      <c r="H139" s="67"/>
      <c r="I139" s="67"/>
      <c r="J139" s="67"/>
      <c r="K139" s="68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</row>
    <row r="140" ht="15.75" customHeight="1">
      <c r="A140" s="32"/>
      <c r="B140" s="65"/>
      <c r="C140" s="65"/>
      <c r="D140" s="32"/>
      <c r="E140" s="32"/>
      <c r="F140" s="32"/>
      <c r="G140" s="66"/>
      <c r="H140" s="67"/>
      <c r="I140" s="67"/>
      <c r="J140" s="67"/>
      <c r="K140" s="68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</row>
    <row r="141" ht="15.75" customHeight="1">
      <c r="A141" s="32"/>
      <c r="B141" s="65"/>
      <c r="C141" s="65"/>
      <c r="D141" s="32"/>
      <c r="E141" s="32"/>
      <c r="F141" s="32"/>
      <c r="G141" s="66"/>
      <c r="H141" s="67"/>
      <c r="I141" s="67"/>
      <c r="J141" s="67"/>
      <c r="K141" s="68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</row>
    <row r="142" ht="15.75" customHeight="1">
      <c r="A142" s="32"/>
      <c r="B142" s="65"/>
      <c r="C142" s="65"/>
      <c r="D142" s="32"/>
      <c r="E142" s="32"/>
      <c r="F142" s="32"/>
      <c r="G142" s="66"/>
      <c r="H142" s="67"/>
      <c r="I142" s="67"/>
      <c r="J142" s="67"/>
      <c r="K142" s="68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</row>
    <row r="143" ht="15.75" customHeight="1">
      <c r="A143" s="32"/>
      <c r="B143" s="65"/>
      <c r="C143" s="65"/>
      <c r="D143" s="32"/>
      <c r="E143" s="32"/>
      <c r="F143" s="32"/>
      <c r="G143" s="66"/>
      <c r="H143" s="67"/>
      <c r="I143" s="67"/>
      <c r="J143" s="67"/>
      <c r="K143" s="68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</row>
    <row r="144" ht="15.75" customHeight="1">
      <c r="A144" s="32"/>
      <c r="B144" s="65"/>
      <c r="C144" s="65"/>
      <c r="D144" s="32"/>
      <c r="E144" s="32"/>
      <c r="F144" s="32"/>
      <c r="G144" s="66"/>
      <c r="H144" s="67"/>
      <c r="I144" s="67"/>
      <c r="J144" s="67"/>
      <c r="K144" s="68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</row>
    <row r="145" ht="15.75" customHeight="1">
      <c r="A145" s="32"/>
      <c r="B145" s="65"/>
      <c r="C145" s="65"/>
      <c r="D145" s="32"/>
      <c r="E145" s="32"/>
      <c r="F145" s="32"/>
      <c r="G145" s="66"/>
      <c r="H145" s="67"/>
      <c r="I145" s="67"/>
      <c r="J145" s="67"/>
      <c r="K145" s="68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</row>
    <row r="146" ht="15.75" customHeight="1">
      <c r="A146" s="32"/>
      <c r="B146" s="65"/>
      <c r="C146" s="65"/>
      <c r="D146" s="32"/>
      <c r="E146" s="32"/>
      <c r="F146" s="32"/>
      <c r="G146" s="66"/>
      <c r="H146" s="67"/>
      <c r="I146" s="67"/>
      <c r="J146" s="67"/>
      <c r="K146" s="68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</row>
    <row r="147" ht="15.75" customHeight="1">
      <c r="A147" s="32"/>
      <c r="B147" s="65"/>
      <c r="C147" s="65"/>
      <c r="D147" s="32"/>
      <c r="E147" s="32"/>
      <c r="F147" s="32"/>
      <c r="G147" s="66"/>
      <c r="H147" s="67"/>
      <c r="I147" s="67"/>
      <c r="J147" s="67"/>
      <c r="K147" s="68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</row>
    <row r="148" ht="15.75" customHeight="1">
      <c r="A148" s="32"/>
      <c r="B148" s="65"/>
      <c r="C148" s="65"/>
      <c r="D148" s="32"/>
      <c r="E148" s="32"/>
      <c r="F148" s="32"/>
      <c r="G148" s="66"/>
      <c r="H148" s="67"/>
      <c r="I148" s="67"/>
      <c r="J148" s="67"/>
      <c r="K148" s="68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</row>
    <row r="149" ht="15.75" customHeight="1">
      <c r="A149" s="32"/>
      <c r="B149" s="65"/>
      <c r="C149" s="65"/>
      <c r="D149" s="32"/>
      <c r="E149" s="32"/>
      <c r="F149" s="32"/>
      <c r="G149" s="66"/>
      <c r="H149" s="67"/>
      <c r="I149" s="67"/>
      <c r="J149" s="67"/>
      <c r="K149" s="68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</row>
    <row r="150" ht="15.75" customHeight="1">
      <c r="A150" s="32"/>
      <c r="B150" s="65"/>
      <c r="C150" s="65"/>
      <c r="D150" s="32"/>
      <c r="E150" s="32"/>
      <c r="F150" s="32"/>
      <c r="G150" s="66"/>
      <c r="H150" s="67"/>
      <c r="I150" s="67"/>
      <c r="J150" s="67"/>
      <c r="K150" s="68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</row>
    <row r="151" ht="15.75" customHeight="1">
      <c r="A151" s="32"/>
      <c r="B151" s="65"/>
      <c r="C151" s="65"/>
      <c r="D151" s="32"/>
      <c r="E151" s="32"/>
      <c r="F151" s="32"/>
      <c r="G151" s="66"/>
      <c r="H151" s="67"/>
      <c r="I151" s="67"/>
      <c r="J151" s="67"/>
      <c r="K151" s="68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</row>
    <row r="152" ht="15.75" customHeight="1">
      <c r="A152" s="32"/>
      <c r="B152" s="65"/>
      <c r="C152" s="65"/>
      <c r="D152" s="32"/>
      <c r="E152" s="32"/>
      <c r="F152" s="32"/>
      <c r="G152" s="66"/>
      <c r="H152" s="67"/>
      <c r="I152" s="67"/>
      <c r="J152" s="67"/>
      <c r="K152" s="68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</row>
    <row r="153" ht="15.75" customHeight="1">
      <c r="A153" s="32"/>
      <c r="B153" s="65"/>
      <c r="C153" s="65"/>
      <c r="D153" s="32"/>
      <c r="E153" s="32"/>
      <c r="F153" s="32"/>
      <c r="G153" s="66"/>
      <c r="H153" s="67"/>
      <c r="I153" s="67"/>
      <c r="J153" s="67"/>
      <c r="K153" s="68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</row>
    <row r="154" ht="15.75" customHeight="1">
      <c r="A154" s="32"/>
      <c r="B154" s="65"/>
      <c r="C154" s="65"/>
      <c r="D154" s="32"/>
      <c r="E154" s="32"/>
      <c r="F154" s="32"/>
      <c r="G154" s="66"/>
      <c r="H154" s="67"/>
      <c r="I154" s="67"/>
      <c r="J154" s="67"/>
      <c r="K154" s="68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</row>
    <row r="155" ht="15.75" customHeight="1">
      <c r="A155" s="32"/>
      <c r="B155" s="65"/>
      <c r="C155" s="65"/>
      <c r="D155" s="32"/>
      <c r="E155" s="32"/>
      <c r="F155" s="32"/>
      <c r="G155" s="66"/>
      <c r="H155" s="67"/>
      <c r="I155" s="67"/>
      <c r="J155" s="67"/>
      <c r="K155" s="68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</row>
    <row r="156" ht="15.75" customHeight="1">
      <c r="A156" s="32"/>
      <c r="B156" s="65"/>
      <c r="C156" s="65"/>
      <c r="D156" s="32"/>
      <c r="E156" s="32"/>
      <c r="F156" s="32"/>
      <c r="G156" s="66"/>
      <c r="H156" s="67"/>
      <c r="I156" s="67"/>
      <c r="J156" s="67"/>
      <c r="K156" s="68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</row>
    <row r="157" ht="15.75" customHeight="1">
      <c r="A157" s="32"/>
      <c r="B157" s="65"/>
      <c r="C157" s="65"/>
      <c r="D157" s="32"/>
      <c r="E157" s="32"/>
      <c r="F157" s="32"/>
      <c r="G157" s="66"/>
      <c r="H157" s="67"/>
      <c r="I157" s="67"/>
      <c r="J157" s="67"/>
      <c r="K157" s="68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</row>
    <row r="158" ht="15.75" customHeight="1">
      <c r="A158" s="32"/>
      <c r="B158" s="65"/>
      <c r="C158" s="65"/>
      <c r="D158" s="32"/>
      <c r="E158" s="32"/>
      <c r="F158" s="32"/>
      <c r="G158" s="66"/>
      <c r="H158" s="67"/>
      <c r="I158" s="67"/>
      <c r="J158" s="67"/>
      <c r="K158" s="68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</row>
    <row r="159" ht="15.75" customHeight="1">
      <c r="A159" s="32"/>
      <c r="B159" s="65"/>
      <c r="C159" s="65"/>
      <c r="D159" s="32"/>
      <c r="E159" s="32"/>
      <c r="F159" s="32"/>
      <c r="G159" s="66"/>
      <c r="H159" s="67"/>
      <c r="I159" s="67"/>
      <c r="J159" s="67"/>
      <c r="K159" s="68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</row>
    <row r="160" ht="15.75" customHeight="1">
      <c r="A160" s="32"/>
      <c r="B160" s="65"/>
      <c r="C160" s="65"/>
      <c r="D160" s="32"/>
      <c r="E160" s="32"/>
      <c r="F160" s="32"/>
      <c r="G160" s="66"/>
      <c r="H160" s="67"/>
      <c r="I160" s="67"/>
      <c r="J160" s="67"/>
      <c r="K160" s="68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</row>
    <row r="161" ht="15.75" customHeight="1">
      <c r="A161" s="32"/>
      <c r="B161" s="65"/>
      <c r="C161" s="65"/>
      <c r="D161" s="32"/>
      <c r="E161" s="32"/>
      <c r="F161" s="32"/>
      <c r="G161" s="66"/>
      <c r="H161" s="67"/>
      <c r="I161" s="67"/>
      <c r="J161" s="67"/>
      <c r="K161" s="68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</row>
    <row r="162" ht="15.75" customHeight="1">
      <c r="A162" s="32"/>
      <c r="B162" s="65"/>
      <c r="C162" s="65"/>
      <c r="D162" s="32"/>
      <c r="E162" s="32"/>
      <c r="F162" s="32"/>
      <c r="G162" s="66"/>
      <c r="H162" s="67"/>
      <c r="I162" s="67"/>
      <c r="J162" s="67"/>
      <c r="K162" s="68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</row>
    <row r="163" ht="15.75" customHeight="1">
      <c r="A163" s="32"/>
      <c r="B163" s="65"/>
      <c r="C163" s="65"/>
      <c r="D163" s="32"/>
      <c r="E163" s="32"/>
      <c r="F163" s="32"/>
      <c r="G163" s="66"/>
      <c r="H163" s="67"/>
      <c r="I163" s="67"/>
      <c r="J163" s="67"/>
      <c r="K163" s="68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</row>
    <row r="164" ht="15.75" customHeight="1">
      <c r="A164" s="32"/>
      <c r="B164" s="65"/>
      <c r="C164" s="65"/>
      <c r="D164" s="32"/>
      <c r="E164" s="32"/>
      <c r="F164" s="32"/>
      <c r="G164" s="66"/>
      <c r="H164" s="67"/>
      <c r="I164" s="67"/>
      <c r="J164" s="67"/>
      <c r="K164" s="68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</row>
    <row r="165" ht="15.75" customHeight="1">
      <c r="A165" s="32"/>
      <c r="B165" s="65"/>
      <c r="C165" s="65"/>
      <c r="D165" s="32"/>
      <c r="E165" s="32"/>
      <c r="F165" s="32"/>
      <c r="G165" s="66"/>
      <c r="H165" s="67"/>
      <c r="I165" s="67"/>
      <c r="J165" s="67"/>
      <c r="K165" s="68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</row>
    <row r="166" ht="15.75" customHeight="1">
      <c r="A166" s="32"/>
      <c r="B166" s="65"/>
      <c r="C166" s="65"/>
      <c r="D166" s="32"/>
      <c r="E166" s="32"/>
      <c r="F166" s="32"/>
      <c r="G166" s="66"/>
      <c r="H166" s="67"/>
      <c r="I166" s="67"/>
      <c r="J166" s="67"/>
      <c r="K166" s="68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</row>
    <row r="167" ht="15.75" customHeight="1">
      <c r="A167" s="32"/>
      <c r="B167" s="65"/>
      <c r="C167" s="65"/>
      <c r="D167" s="32"/>
      <c r="E167" s="32"/>
      <c r="F167" s="32"/>
      <c r="G167" s="66"/>
      <c r="H167" s="67"/>
      <c r="I167" s="67"/>
      <c r="J167" s="67"/>
      <c r="K167" s="68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</row>
    <row r="168" ht="15.75" customHeight="1">
      <c r="A168" s="32"/>
      <c r="B168" s="65"/>
      <c r="C168" s="65"/>
      <c r="D168" s="32"/>
      <c r="E168" s="32"/>
      <c r="F168" s="32"/>
      <c r="G168" s="66"/>
      <c r="H168" s="67"/>
      <c r="I168" s="67"/>
      <c r="J168" s="67"/>
      <c r="K168" s="68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</row>
    <row r="169" ht="15.75" customHeight="1">
      <c r="A169" s="32"/>
      <c r="B169" s="65"/>
      <c r="C169" s="65"/>
      <c r="D169" s="32"/>
      <c r="E169" s="32"/>
      <c r="F169" s="32"/>
      <c r="G169" s="66"/>
      <c r="H169" s="67"/>
      <c r="I169" s="67"/>
      <c r="J169" s="67"/>
      <c r="K169" s="68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</row>
    <row r="170" ht="15.75" customHeight="1">
      <c r="A170" s="32"/>
      <c r="B170" s="65"/>
      <c r="C170" s="65"/>
      <c r="D170" s="32"/>
      <c r="E170" s="32"/>
      <c r="F170" s="32"/>
      <c r="G170" s="66"/>
      <c r="H170" s="67"/>
      <c r="I170" s="67"/>
      <c r="J170" s="67"/>
      <c r="K170" s="68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</row>
    <row r="171" ht="15.75" customHeight="1">
      <c r="A171" s="32"/>
      <c r="B171" s="65"/>
      <c r="C171" s="65"/>
      <c r="D171" s="32"/>
      <c r="E171" s="32"/>
      <c r="F171" s="32"/>
      <c r="G171" s="66"/>
      <c r="H171" s="67"/>
      <c r="I171" s="67"/>
      <c r="J171" s="67"/>
      <c r="K171" s="68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</row>
    <row r="172" ht="15.75" customHeight="1">
      <c r="A172" s="32"/>
      <c r="B172" s="65"/>
      <c r="C172" s="65"/>
      <c r="D172" s="32"/>
      <c r="E172" s="32"/>
      <c r="F172" s="32"/>
      <c r="G172" s="66"/>
      <c r="H172" s="67"/>
      <c r="I172" s="67"/>
      <c r="J172" s="67"/>
      <c r="K172" s="68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</row>
    <row r="173" ht="15.75" customHeight="1">
      <c r="A173" s="32"/>
      <c r="B173" s="65"/>
      <c r="C173" s="65"/>
      <c r="D173" s="32"/>
      <c r="E173" s="32"/>
      <c r="F173" s="32"/>
      <c r="G173" s="66"/>
      <c r="H173" s="67"/>
      <c r="I173" s="67"/>
      <c r="J173" s="67"/>
      <c r="K173" s="68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</row>
    <row r="174" ht="15.75" customHeight="1">
      <c r="A174" s="32"/>
      <c r="B174" s="65"/>
      <c r="C174" s="65"/>
      <c r="D174" s="32"/>
      <c r="E174" s="32"/>
      <c r="F174" s="32"/>
      <c r="G174" s="66"/>
      <c r="H174" s="67"/>
      <c r="I174" s="67"/>
      <c r="J174" s="67"/>
      <c r="K174" s="68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</row>
    <row r="175" ht="15.75" customHeight="1">
      <c r="A175" s="32"/>
      <c r="B175" s="65"/>
      <c r="C175" s="65"/>
      <c r="D175" s="32"/>
      <c r="E175" s="32"/>
      <c r="F175" s="32"/>
      <c r="G175" s="66"/>
      <c r="H175" s="67"/>
      <c r="I175" s="67"/>
      <c r="J175" s="67"/>
      <c r="K175" s="68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</row>
    <row r="176" ht="15.75" customHeight="1">
      <c r="A176" s="32"/>
      <c r="B176" s="65"/>
      <c r="C176" s="65"/>
      <c r="D176" s="32"/>
      <c r="E176" s="32"/>
      <c r="F176" s="32"/>
      <c r="G176" s="66"/>
      <c r="H176" s="67"/>
      <c r="I176" s="67"/>
      <c r="J176" s="67"/>
      <c r="K176" s="68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</row>
    <row r="177" ht="15.75" customHeight="1">
      <c r="A177" s="32"/>
      <c r="B177" s="65"/>
      <c r="C177" s="65"/>
      <c r="D177" s="32"/>
      <c r="E177" s="32"/>
      <c r="F177" s="32"/>
      <c r="G177" s="66"/>
      <c r="H177" s="67"/>
      <c r="I177" s="67"/>
      <c r="J177" s="67"/>
      <c r="K177" s="68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</row>
    <row r="178" ht="15.75" customHeight="1">
      <c r="A178" s="32"/>
      <c r="B178" s="65"/>
      <c r="C178" s="65"/>
      <c r="D178" s="32"/>
      <c r="E178" s="32"/>
      <c r="F178" s="32"/>
      <c r="G178" s="66"/>
      <c r="H178" s="67"/>
      <c r="I178" s="67"/>
      <c r="J178" s="67"/>
      <c r="K178" s="68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</row>
    <row r="179" ht="15.75" customHeight="1">
      <c r="A179" s="32"/>
      <c r="B179" s="65"/>
      <c r="C179" s="65"/>
      <c r="D179" s="32"/>
      <c r="E179" s="32"/>
      <c r="F179" s="32"/>
      <c r="G179" s="66"/>
      <c r="H179" s="67"/>
      <c r="I179" s="67"/>
      <c r="J179" s="67"/>
      <c r="K179" s="68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</row>
    <row r="180" ht="15.75" customHeight="1">
      <c r="A180" s="32"/>
      <c r="B180" s="65"/>
      <c r="C180" s="65"/>
      <c r="D180" s="32"/>
      <c r="E180" s="32"/>
      <c r="F180" s="32"/>
      <c r="G180" s="66"/>
      <c r="H180" s="67"/>
      <c r="I180" s="67"/>
      <c r="J180" s="67"/>
      <c r="K180" s="68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</row>
    <row r="181" ht="15.75" customHeight="1">
      <c r="A181" s="32"/>
      <c r="B181" s="65"/>
      <c r="C181" s="65"/>
      <c r="D181" s="32"/>
      <c r="E181" s="32"/>
      <c r="F181" s="32"/>
      <c r="G181" s="66"/>
      <c r="H181" s="67"/>
      <c r="I181" s="67"/>
      <c r="J181" s="67"/>
      <c r="K181" s="68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</row>
    <row r="182" ht="15.75" customHeight="1">
      <c r="A182" s="32"/>
      <c r="B182" s="65"/>
      <c r="C182" s="65"/>
      <c r="D182" s="32"/>
      <c r="E182" s="32"/>
      <c r="F182" s="32"/>
      <c r="G182" s="66"/>
      <c r="H182" s="67"/>
      <c r="I182" s="67"/>
      <c r="J182" s="67"/>
      <c r="K182" s="68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</row>
    <row r="183" ht="15.75" customHeight="1">
      <c r="A183" s="32"/>
      <c r="B183" s="65"/>
      <c r="C183" s="65"/>
      <c r="D183" s="32"/>
      <c r="E183" s="32"/>
      <c r="F183" s="32"/>
      <c r="G183" s="66"/>
      <c r="H183" s="67"/>
      <c r="I183" s="67"/>
      <c r="J183" s="67"/>
      <c r="K183" s="68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</row>
    <row r="184" ht="15.75" customHeight="1">
      <c r="A184" s="32"/>
      <c r="B184" s="65"/>
      <c r="C184" s="65"/>
      <c r="D184" s="32"/>
      <c r="E184" s="32"/>
      <c r="F184" s="32"/>
      <c r="G184" s="66"/>
      <c r="H184" s="67"/>
      <c r="I184" s="67"/>
      <c r="J184" s="67"/>
      <c r="K184" s="68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</row>
    <row r="185" ht="15.75" customHeight="1">
      <c r="A185" s="32"/>
      <c r="B185" s="65"/>
      <c r="C185" s="65"/>
      <c r="D185" s="32"/>
      <c r="E185" s="32"/>
      <c r="F185" s="32"/>
      <c r="G185" s="66"/>
      <c r="H185" s="67"/>
      <c r="I185" s="67"/>
      <c r="J185" s="67"/>
      <c r="K185" s="68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</row>
    <row r="186" ht="15.75" customHeight="1">
      <c r="A186" s="32"/>
      <c r="B186" s="65"/>
      <c r="C186" s="65"/>
      <c r="D186" s="32"/>
      <c r="E186" s="32"/>
      <c r="F186" s="32"/>
      <c r="G186" s="66"/>
      <c r="H186" s="67"/>
      <c r="I186" s="67"/>
      <c r="J186" s="67"/>
      <c r="K186" s="68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</row>
    <row r="187" ht="15.75" customHeight="1">
      <c r="A187" s="32"/>
      <c r="B187" s="65"/>
      <c r="C187" s="65"/>
      <c r="D187" s="32"/>
      <c r="E187" s="32"/>
      <c r="F187" s="32"/>
      <c r="G187" s="66"/>
      <c r="H187" s="67"/>
      <c r="I187" s="67"/>
      <c r="J187" s="67"/>
      <c r="K187" s="68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</row>
    <row r="188" ht="15.75" customHeight="1">
      <c r="A188" s="32"/>
      <c r="B188" s="65"/>
      <c r="C188" s="65"/>
      <c r="D188" s="32"/>
      <c r="E188" s="32"/>
      <c r="F188" s="32"/>
      <c r="G188" s="66"/>
      <c r="H188" s="67"/>
      <c r="I188" s="67"/>
      <c r="J188" s="67"/>
      <c r="K188" s="68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</row>
    <row r="189" ht="15.75" customHeight="1">
      <c r="A189" s="32"/>
      <c r="B189" s="65"/>
      <c r="C189" s="65"/>
      <c r="D189" s="32"/>
      <c r="E189" s="32"/>
      <c r="F189" s="32"/>
      <c r="G189" s="66"/>
      <c r="H189" s="67"/>
      <c r="I189" s="67"/>
      <c r="J189" s="67"/>
      <c r="K189" s="68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</row>
    <row r="190" ht="15.75" customHeight="1">
      <c r="A190" s="32"/>
      <c r="B190" s="65"/>
      <c r="C190" s="65"/>
      <c r="D190" s="32"/>
      <c r="E190" s="32"/>
      <c r="F190" s="32"/>
      <c r="G190" s="66"/>
      <c r="H190" s="67"/>
      <c r="I190" s="67"/>
      <c r="J190" s="67"/>
      <c r="K190" s="68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</row>
    <row r="191" ht="15.75" customHeight="1">
      <c r="A191" s="32"/>
      <c r="B191" s="65"/>
      <c r="C191" s="65"/>
      <c r="D191" s="32"/>
      <c r="E191" s="32"/>
      <c r="F191" s="32"/>
      <c r="G191" s="66"/>
      <c r="H191" s="67"/>
      <c r="I191" s="67"/>
      <c r="J191" s="67"/>
      <c r="K191" s="68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</row>
    <row r="192" ht="15.75" customHeight="1">
      <c r="A192" s="32"/>
      <c r="B192" s="65"/>
      <c r="C192" s="65"/>
      <c r="D192" s="32"/>
      <c r="E192" s="32"/>
      <c r="F192" s="32"/>
      <c r="G192" s="66"/>
      <c r="H192" s="67"/>
      <c r="I192" s="67"/>
      <c r="J192" s="67"/>
      <c r="K192" s="68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</row>
    <row r="193" ht="15.75" customHeight="1">
      <c r="A193" s="32"/>
      <c r="B193" s="65"/>
      <c r="C193" s="65"/>
      <c r="D193" s="32"/>
      <c r="E193" s="32"/>
      <c r="F193" s="32"/>
      <c r="G193" s="66"/>
      <c r="H193" s="67"/>
      <c r="I193" s="67"/>
      <c r="J193" s="67"/>
      <c r="K193" s="68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</row>
    <row r="194" ht="15.75" customHeight="1">
      <c r="A194" s="32"/>
      <c r="B194" s="65"/>
      <c r="C194" s="65"/>
      <c r="D194" s="32"/>
      <c r="E194" s="32"/>
      <c r="F194" s="32"/>
      <c r="G194" s="66"/>
      <c r="H194" s="67"/>
      <c r="I194" s="67"/>
      <c r="J194" s="67"/>
      <c r="K194" s="68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</row>
    <row r="195" ht="15.75" customHeight="1">
      <c r="A195" s="32"/>
      <c r="B195" s="65"/>
      <c r="C195" s="65"/>
      <c r="D195" s="32"/>
      <c r="E195" s="32"/>
      <c r="F195" s="32"/>
      <c r="G195" s="66"/>
      <c r="H195" s="67"/>
      <c r="I195" s="67"/>
      <c r="J195" s="67"/>
      <c r="K195" s="68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</row>
    <row r="196" ht="15.75" customHeight="1">
      <c r="A196" s="32"/>
      <c r="B196" s="65"/>
      <c r="C196" s="65"/>
      <c r="D196" s="32"/>
      <c r="E196" s="32"/>
      <c r="F196" s="32"/>
      <c r="G196" s="66"/>
      <c r="H196" s="67"/>
      <c r="I196" s="67"/>
      <c r="J196" s="67"/>
      <c r="K196" s="68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</row>
    <row r="197" ht="15.75" customHeight="1">
      <c r="A197" s="32"/>
      <c r="B197" s="65"/>
      <c r="C197" s="65"/>
      <c r="D197" s="32"/>
      <c r="E197" s="32"/>
      <c r="F197" s="32"/>
      <c r="G197" s="66"/>
      <c r="H197" s="67"/>
      <c r="I197" s="67"/>
      <c r="J197" s="67"/>
      <c r="K197" s="68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</row>
    <row r="198" ht="15.75" customHeight="1">
      <c r="A198" s="32"/>
      <c r="B198" s="65"/>
      <c r="C198" s="65"/>
      <c r="D198" s="32"/>
      <c r="E198" s="32"/>
      <c r="F198" s="32"/>
      <c r="G198" s="66"/>
      <c r="H198" s="67"/>
      <c r="I198" s="67"/>
      <c r="J198" s="67"/>
      <c r="K198" s="68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</row>
    <row r="199" ht="15.75" customHeight="1">
      <c r="A199" s="32"/>
      <c r="B199" s="65"/>
      <c r="C199" s="65"/>
      <c r="D199" s="32"/>
      <c r="E199" s="32"/>
      <c r="F199" s="32"/>
      <c r="G199" s="66"/>
      <c r="H199" s="67"/>
      <c r="I199" s="67"/>
      <c r="J199" s="67"/>
      <c r="K199" s="68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</row>
    <row r="200" ht="15.75" customHeight="1">
      <c r="A200" s="32"/>
      <c r="B200" s="65"/>
      <c r="C200" s="65"/>
      <c r="D200" s="32"/>
      <c r="E200" s="32"/>
      <c r="F200" s="32"/>
      <c r="G200" s="66"/>
      <c r="H200" s="67"/>
      <c r="I200" s="67"/>
      <c r="J200" s="67"/>
      <c r="K200" s="68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</row>
    <row r="201" ht="15.75" customHeight="1">
      <c r="A201" s="32"/>
      <c r="B201" s="65"/>
      <c r="C201" s="65"/>
      <c r="D201" s="32"/>
      <c r="E201" s="32"/>
      <c r="F201" s="32"/>
      <c r="G201" s="66"/>
      <c r="H201" s="67"/>
      <c r="I201" s="67"/>
      <c r="J201" s="67"/>
      <c r="K201" s="68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</row>
    <row r="202" ht="15.75" customHeight="1">
      <c r="A202" s="32"/>
      <c r="B202" s="65"/>
      <c r="C202" s="65"/>
      <c r="D202" s="32"/>
      <c r="E202" s="32"/>
      <c r="F202" s="32"/>
      <c r="G202" s="66"/>
      <c r="H202" s="67"/>
      <c r="I202" s="67"/>
      <c r="J202" s="67"/>
      <c r="K202" s="68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</row>
    <row r="203" ht="15.75" customHeight="1">
      <c r="A203" s="32"/>
      <c r="B203" s="65"/>
      <c r="C203" s="65"/>
      <c r="D203" s="32"/>
      <c r="E203" s="32"/>
      <c r="F203" s="32"/>
      <c r="G203" s="66"/>
      <c r="H203" s="67"/>
      <c r="I203" s="67"/>
      <c r="J203" s="67"/>
      <c r="K203" s="68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</row>
    <row r="204" ht="15.75" customHeight="1">
      <c r="A204" s="32"/>
      <c r="B204" s="65"/>
      <c r="C204" s="65"/>
      <c r="D204" s="32"/>
      <c r="E204" s="32"/>
      <c r="F204" s="32"/>
      <c r="G204" s="66"/>
      <c r="H204" s="67"/>
      <c r="I204" s="67"/>
      <c r="J204" s="67"/>
      <c r="K204" s="68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</row>
    <row r="205" ht="15.75" customHeight="1">
      <c r="A205" s="32"/>
      <c r="B205" s="65"/>
      <c r="C205" s="65"/>
      <c r="D205" s="32"/>
      <c r="E205" s="32"/>
      <c r="F205" s="32"/>
      <c r="G205" s="66"/>
      <c r="H205" s="67"/>
      <c r="I205" s="67"/>
      <c r="J205" s="67"/>
      <c r="K205" s="68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</row>
    <row r="206" ht="15.75" customHeight="1">
      <c r="A206" s="32"/>
      <c r="B206" s="65"/>
      <c r="C206" s="65"/>
      <c r="D206" s="32"/>
      <c r="E206" s="32"/>
      <c r="F206" s="32"/>
      <c r="G206" s="66"/>
      <c r="H206" s="67"/>
      <c r="I206" s="67"/>
      <c r="J206" s="67"/>
      <c r="K206" s="68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</row>
    <row r="207" ht="15.75" customHeight="1">
      <c r="A207" s="32"/>
      <c r="B207" s="65"/>
      <c r="C207" s="65"/>
      <c r="D207" s="32"/>
      <c r="E207" s="32"/>
      <c r="F207" s="32"/>
      <c r="G207" s="66"/>
      <c r="H207" s="67"/>
      <c r="I207" s="67"/>
      <c r="J207" s="67"/>
      <c r="K207" s="68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</row>
    <row r="208" ht="15.75" customHeight="1">
      <c r="A208" s="32"/>
      <c r="B208" s="65"/>
      <c r="C208" s="65"/>
      <c r="D208" s="32"/>
      <c r="E208" s="32"/>
      <c r="F208" s="32"/>
      <c r="G208" s="66"/>
      <c r="H208" s="67"/>
      <c r="I208" s="67"/>
      <c r="J208" s="67"/>
      <c r="K208" s="68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</row>
    <row r="209" ht="15.75" customHeight="1">
      <c r="A209" s="32"/>
      <c r="B209" s="65"/>
      <c r="C209" s="65"/>
      <c r="D209" s="32"/>
      <c r="E209" s="32"/>
      <c r="F209" s="32"/>
      <c r="G209" s="66"/>
      <c r="H209" s="67"/>
      <c r="I209" s="67"/>
      <c r="J209" s="67"/>
      <c r="K209" s="68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</row>
    <row r="210" ht="15.75" customHeight="1">
      <c r="A210" s="32"/>
      <c r="B210" s="65"/>
      <c r="C210" s="65"/>
      <c r="D210" s="32"/>
      <c r="E210" s="32"/>
      <c r="F210" s="32"/>
      <c r="G210" s="66"/>
      <c r="H210" s="67"/>
      <c r="I210" s="67"/>
      <c r="J210" s="67"/>
      <c r="K210" s="68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</row>
    <row r="211" ht="15.75" customHeight="1">
      <c r="A211" s="32"/>
      <c r="B211" s="65"/>
      <c r="C211" s="65"/>
      <c r="D211" s="32"/>
      <c r="E211" s="32"/>
      <c r="F211" s="32"/>
      <c r="G211" s="66"/>
      <c r="H211" s="67"/>
      <c r="I211" s="67"/>
      <c r="J211" s="67"/>
      <c r="K211" s="68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</row>
    <row r="212" ht="15.75" customHeight="1">
      <c r="A212" s="32"/>
      <c r="B212" s="65"/>
      <c r="C212" s="65"/>
      <c r="D212" s="32"/>
      <c r="E212" s="32"/>
      <c r="F212" s="32"/>
      <c r="G212" s="66"/>
      <c r="H212" s="67"/>
      <c r="I212" s="67"/>
      <c r="J212" s="67"/>
      <c r="K212" s="68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</row>
    <row r="213" ht="15.75" customHeight="1">
      <c r="A213" s="32"/>
      <c r="B213" s="65"/>
      <c r="C213" s="65"/>
      <c r="D213" s="32"/>
      <c r="E213" s="32"/>
      <c r="F213" s="32"/>
      <c r="G213" s="66"/>
      <c r="H213" s="67"/>
      <c r="I213" s="67"/>
      <c r="J213" s="67"/>
      <c r="K213" s="68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</row>
    <row r="214" ht="15.75" customHeight="1">
      <c r="A214" s="32"/>
      <c r="B214" s="65"/>
      <c r="C214" s="65"/>
      <c r="D214" s="32"/>
      <c r="E214" s="32"/>
      <c r="F214" s="32"/>
      <c r="G214" s="66"/>
      <c r="H214" s="67"/>
      <c r="I214" s="67"/>
      <c r="J214" s="67"/>
      <c r="K214" s="68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</row>
    <row r="215" ht="15.75" customHeight="1">
      <c r="A215" s="32"/>
      <c r="B215" s="65"/>
      <c r="C215" s="65"/>
      <c r="D215" s="32"/>
      <c r="E215" s="32"/>
      <c r="F215" s="32"/>
      <c r="G215" s="66"/>
      <c r="H215" s="67"/>
      <c r="I215" s="67"/>
      <c r="J215" s="67"/>
      <c r="K215" s="68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</row>
    <row r="216" ht="15.75" customHeight="1">
      <c r="A216" s="32"/>
      <c r="B216" s="65"/>
      <c r="C216" s="65"/>
      <c r="D216" s="32"/>
      <c r="E216" s="32"/>
      <c r="F216" s="32"/>
      <c r="G216" s="66"/>
      <c r="H216" s="67"/>
      <c r="I216" s="67"/>
      <c r="J216" s="67"/>
      <c r="K216" s="68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</row>
    <row r="217" ht="15.75" customHeight="1">
      <c r="A217" s="32"/>
      <c r="B217" s="65"/>
      <c r="C217" s="65"/>
      <c r="D217" s="32"/>
      <c r="E217" s="32"/>
      <c r="F217" s="32"/>
      <c r="G217" s="66"/>
      <c r="H217" s="67"/>
      <c r="I217" s="67"/>
      <c r="J217" s="67"/>
      <c r="K217" s="68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</row>
    <row r="218" ht="15.75" customHeight="1">
      <c r="A218" s="32"/>
      <c r="B218" s="65"/>
      <c r="C218" s="65"/>
      <c r="D218" s="32"/>
      <c r="E218" s="32"/>
      <c r="F218" s="32"/>
      <c r="G218" s="66"/>
      <c r="H218" s="67"/>
      <c r="I218" s="67"/>
      <c r="J218" s="67"/>
      <c r="K218" s="68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</row>
    <row r="219" ht="15.75" customHeight="1">
      <c r="A219" s="32"/>
      <c r="B219" s="65"/>
      <c r="C219" s="65"/>
      <c r="D219" s="32"/>
      <c r="E219" s="32"/>
      <c r="F219" s="32"/>
      <c r="G219" s="66"/>
      <c r="H219" s="67"/>
      <c r="I219" s="67"/>
      <c r="J219" s="67"/>
      <c r="K219" s="68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</row>
    <row r="220" ht="15.75" customHeight="1">
      <c r="A220" s="32"/>
      <c r="B220" s="65"/>
      <c r="C220" s="65"/>
      <c r="D220" s="32"/>
      <c r="E220" s="32"/>
      <c r="F220" s="32"/>
      <c r="G220" s="66"/>
      <c r="H220" s="67"/>
      <c r="I220" s="67"/>
      <c r="J220" s="67"/>
      <c r="K220" s="68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</row>
    <row r="221" ht="15.75" customHeight="1">
      <c r="A221" s="32"/>
      <c r="B221" s="65"/>
      <c r="C221" s="65"/>
      <c r="D221" s="32"/>
      <c r="E221" s="32"/>
      <c r="F221" s="32"/>
      <c r="G221" s="66"/>
      <c r="H221" s="67"/>
      <c r="I221" s="67"/>
      <c r="J221" s="67"/>
      <c r="K221" s="68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</row>
    <row r="222" ht="15.75" customHeight="1">
      <c r="A222" s="32"/>
      <c r="B222" s="65"/>
      <c r="C222" s="65"/>
      <c r="D222" s="32"/>
      <c r="E222" s="32"/>
      <c r="F222" s="32"/>
      <c r="G222" s="66"/>
      <c r="H222" s="67"/>
      <c r="I222" s="67"/>
      <c r="J222" s="67"/>
      <c r="K222" s="68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</row>
    <row r="223" ht="15.75" customHeight="1">
      <c r="A223" s="32"/>
      <c r="B223" s="65"/>
      <c r="C223" s="65"/>
      <c r="D223" s="32"/>
      <c r="E223" s="32"/>
      <c r="F223" s="32"/>
      <c r="G223" s="66"/>
      <c r="H223" s="67"/>
      <c r="I223" s="67"/>
      <c r="J223" s="67"/>
      <c r="K223" s="68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</row>
    <row r="224" ht="15.75" customHeight="1">
      <c r="A224" s="32"/>
      <c r="B224" s="65"/>
      <c r="C224" s="65"/>
      <c r="D224" s="32"/>
      <c r="E224" s="32"/>
      <c r="F224" s="32"/>
      <c r="G224" s="66"/>
      <c r="H224" s="67"/>
      <c r="I224" s="67"/>
      <c r="J224" s="67"/>
      <c r="K224" s="68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</row>
    <row r="225" ht="15.75" customHeight="1">
      <c r="A225" s="32"/>
      <c r="B225" s="65"/>
      <c r="C225" s="65"/>
      <c r="D225" s="32"/>
      <c r="E225" s="32"/>
      <c r="F225" s="32"/>
      <c r="G225" s="66"/>
      <c r="H225" s="67"/>
      <c r="I225" s="67"/>
      <c r="J225" s="67"/>
      <c r="K225" s="68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</row>
    <row r="226" ht="15.75" customHeight="1">
      <c r="A226" s="32"/>
      <c r="B226" s="65"/>
      <c r="C226" s="65"/>
      <c r="D226" s="32"/>
      <c r="E226" s="32"/>
      <c r="F226" s="32"/>
      <c r="G226" s="66"/>
      <c r="H226" s="67"/>
      <c r="I226" s="67"/>
      <c r="J226" s="67"/>
      <c r="K226" s="68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</row>
    <row r="227" ht="15.75" customHeight="1">
      <c r="A227" s="32"/>
      <c r="B227" s="65"/>
      <c r="C227" s="65"/>
      <c r="D227" s="32"/>
      <c r="E227" s="32"/>
      <c r="F227" s="32"/>
      <c r="G227" s="66"/>
      <c r="H227" s="67"/>
      <c r="I227" s="67"/>
      <c r="J227" s="67"/>
      <c r="K227" s="68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</row>
    <row r="228" ht="15.75" customHeight="1">
      <c r="A228" s="32"/>
      <c r="B228" s="65"/>
      <c r="C228" s="65"/>
      <c r="D228" s="32"/>
      <c r="E228" s="32"/>
      <c r="F228" s="32"/>
      <c r="G228" s="66"/>
      <c r="H228" s="67"/>
      <c r="I228" s="67"/>
      <c r="J228" s="67"/>
      <c r="K228" s="68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</row>
    <row r="229" ht="15.75" customHeight="1">
      <c r="A229" s="32"/>
      <c r="B229" s="65"/>
      <c r="C229" s="65"/>
      <c r="D229" s="32"/>
      <c r="E229" s="32"/>
      <c r="F229" s="32"/>
      <c r="G229" s="66"/>
      <c r="H229" s="67"/>
      <c r="I229" s="67"/>
      <c r="J229" s="67"/>
      <c r="K229" s="68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</row>
    <row r="230" ht="15.75" customHeight="1">
      <c r="A230" s="32"/>
      <c r="B230" s="65"/>
      <c r="C230" s="65"/>
      <c r="D230" s="32"/>
      <c r="E230" s="32"/>
      <c r="F230" s="32"/>
      <c r="G230" s="66"/>
      <c r="H230" s="67"/>
      <c r="I230" s="67"/>
      <c r="J230" s="67"/>
      <c r="K230" s="68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</row>
    <row r="231" ht="15.75" customHeight="1">
      <c r="A231" s="32"/>
      <c r="B231" s="65"/>
      <c r="C231" s="65"/>
      <c r="D231" s="32"/>
      <c r="E231" s="32"/>
      <c r="F231" s="32"/>
      <c r="G231" s="66"/>
      <c r="H231" s="67"/>
      <c r="I231" s="67"/>
      <c r="J231" s="67"/>
      <c r="K231" s="68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</row>
    <row r="232" ht="15.75" customHeight="1">
      <c r="A232" s="32"/>
      <c r="B232" s="65"/>
      <c r="C232" s="65"/>
      <c r="D232" s="32"/>
      <c r="E232" s="32"/>
      <c r="F232" s="32"/>
      <c r="G232" s="66"/>
      <c r="H232" s="67"/>
      <c r="I232" s="67"/>
      <c r="J232" s="67"/>
      <c r="K232" s="68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</row>
    <row r="233" ht="15.75" customHeight="1">
      <c r="A233" s="32"/>
      <c r="B233" s="65"/>
      <c r="C233" s="65"/>
      <c r="D233" s="32"/>
      <c r="E233" s="32"/>
      <c r="F233" s="32"/>
      <c r="G233" s="66"/>
      <c r="H233" s="67"/>
      <c r="I233" s="67"/>
      <c r="J233" s="67"/>
      <c r="K233" s="68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</row>
    <row r="234" ht="15.75" customHeight="1">
      <c r="A234" s="32"/>
      <c r="B234" s="65"/>
      <c r="C234" s="65"/>
      <c r="D234" s="32"/>
      <c r="E234" s="32"/>
      <c r="F234" s="32"/>
      <c r="G234" s="66"/>
      <c r="H234" s="67"/>
      <c r="I234" s="67"/>
      <c r="J234" s="67"/>
      <c r="K234" s="68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</row>
    <row r="235" ht="15.75" customHeight="1">
      <c r="A235" s="32"/>
      <c r="B235" s="65"/>
      <c r="C235" s="65"/>
      <c r="D235" s="32"/>
      <c r="E235" s="32"/>
      <c r="F235" s="32"/>
      <c r="G235" s="66"/>
      <c r="H235" s="67"/>
      <c r="I235" s="67"/>
      <c r="J235" s="67"/>
      <c r="K235" s="68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</row>
    <row r="236" ht="15.75" customHeight="1">
      <c r="A236" s="32"/>
      <c r="B236" s="65"/>
      <c r="C236" s="65"/>
      <c r="D236" s="32"/>
      <c r="E236" s="32"/>
      <c r="F236" s="32"/>
      <c r="G236" s="66"/>
      <c r="H236" s="67"/>
      <c r="I236" s="67"/>
      <c r="J236" s="67"/>
      <c r="K236" s="68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</row>
    <row r="237" ht="15.75" customHeight="1">
      <c r="A237" s="32"/>
      <c r="B237" s="65"/>
      <c r="C237" s="65"/>
      <c r="D237" s="32"/>
      <c r="E237" s="32"/>
      <c r="F237" s="32"/>
      <c r="G237" s="66"/>
      <c r="H237" s="67"/>
      <c r="I237" s="67"/>
      <c r="J237" s="67"/>
      <c r="K237" s="68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</row>
    <row r="238" ht="15.75" customHeight="1">
      <c r="A238" s="32"/>
      <c r="B238" s="65"/>
      <c r="C238" s="65"/>
      <c r="D238" s="32"/>
      <c r="E238" s="32"/>
      <c r="F238" s="32"/>
      <c r="G238" s="66"/>
      <c r="H238" s="67"/>
      <c r="I238" s="67"/>
      <c r="J238" s="67"/>
      <c r="K238" s="68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</row>
    <row r="239" ht="15.75" customHeight="1">
      <c r="A239" s="32"/>
      <c r="B239" s="65"/>
      <c r="C239" s="65"/>
      <c r="D239" s="32"/>
      <c r="E239" s="32"/>
      <c r="F239" s="32"/>
      <c r="G239" s="66"/>
      <c r="H239" s="67"/>
      <c r="I239" s="67"/>
      <c r="J239" s="67"/>
      <c r="K239" s="68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</row>
    <row r="240" ht="15.75" customHeight="1">
      <c r="A240" s="32"/>
      <c r="B240" s="65"/>
      <c r="C240" s="65"/>
      <c r="D240" s="32"/>
      <c r="E240" s="32"/>
      <c r="F240" s="32"/>
      <c r="G240" s="66"/>
      <c r="H240" s="67"/>
      <c r="I240" s="67"/>
      <c r="J240" s="67"/>
      <c r="K240" s="68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</row>
    <row r="241" ht="15.75" customHeight="1">
      <c r="A241" s="32"/>
      <c r="B241" s="65"/>
      <c r="C241" s="65"/>
      <c r="D241" s="32"/>
      <c r="E241" s="32"/>
      <c r="F241" s="32"/>
      <c r="G241" s="66"/>
      <c r="H241" s="67"/>
      <c r="I241" s="67"/>
      <c r="J241" s="67"/>
      <c r="K241" s="68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</row>
    <row r="242" ht="15.75" customHeight="1">
      <c r="A242" s="32"/>
      <c r="B242" s="65"/>
      <c r="C242" s="65"/>
      <c r="D242" s="32"/>
      <c r="E242" s="32"/>
      <c r="F242" s="32"/>
      <c r="G242" s="66"/>
      <c r="H242" s="67"/>
      <c r="I242" s="67"/>
      <c r="J242" s="67"/>
      <c r="K242" s="68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</row>
    <row r="243" ht="15.75" customHeight="1">
      <c r="A243" s="32"/>
      <c r="B243" s="65"/>
      <c r="C243" s="65"/>
      <c r="D243" s="32"/>
      <c r="E243" s="32"/>
      <c r="F243" s="32"/>
      <c r="G243" s="66"/>
      <c r="H243" s="67"/>
      <c r="I243" s="67"/>
      <c r="J243" s="67"/>
      <c r="K243" s="68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</row>
    <row r="244" ht="15.75" customHeight="1">
      <c r="A244" s="32"/>
      <c r="B244" s="65"/>
      <c r="C244" s="65"/>
      <c r="D244" s="32"/>
      <c r="E244" s="32"/>
      <c r="F244" s="32"/>
      <c r="G244" s="66"/>
      <c r="H244" s="67"/>
      <c r="I244" s="67"/>
      <c r="J244" s="67"/>
      <c r="K244" s="68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</row>
    <row r="245" ht="15.75" customHeight="1">
      <c r="A245" s="32"/>
      <c r="B245" s="65"/>
      <c r="C245" s="65"/>
      <c r="D245" s="32"/>
      <c r="E245" s="32"/>
      <c r="F245" s="32"/>
      <c r="G245" s="66"/>
      <c r="H245" s="67"/>
      <c r="I245" s="67"/>
      <c r="J245" s="67"/>
      <c r="K245" s="68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</row>
    <row r="246" ht="15.75" customHeight="1">
      <c r="A246" s="32"/>
      <c r="B246" s="65"/>
      <c r="C246" s="65"/>
      <c r="D246" s="32"/>
      <c r="E246" s="32"/>
      <c r="F246" s="32"/>
      <c r="G246" s="66"/>
      <c r="H246" s="67"/>
      <c r="I246" s="67"/>
      <c r="J246" s="67"/>
      <c r="K246" s="68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</row>
    <row r="247" ht="15.75" customHeight="1">
      <c r="A247" s="32"/>
      <c r="B247" s="65"/>
      <c r="C247" s="65"/>
      <c r="D247" s="32"/>
      <c r="E247" s="32"/>
      <c r="F247" s="32"/>
      <c r="G247" s="66"/>
      <c r="H247" s="67"/>
      <c r="I247" s="67"/>
      <c r="J247" s="67"/>
      <c r="K247" s="68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</row>
    <row r="248" ht="15.75" customHeight="1">
      <c r="A248" s="32"/>
      <c r="B248" s="65"/>
      <c r="C248" s="65"/>
      <c r="D248" s="32"/>
      <c r="E248" s="32"/>
      <c r="F248" s="32"/>
      <c r="G248" s="66"/>
      <c r="H248" s="67"/>
      <c r="I248" s="67"/>
      <c r="J248" s="67"/>
      <c r="K248" s="68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</row>
    <row r="249" ht="15.75" customHeight="1">
      <c r="A249" s="32"/>
      <c r="B249" s="65"/>
      <c r="C249" s="65"/>
      <c r="D249" s="32"/>
      <c r="E249" s="32"/>
      <c r="F249" s="32"/>
      <c r="G249" s="66"/>
      <c r="H249" s="67"/>
      <c r="I249" s="67"/>
      <c r="J249" s="67"/>
      <c r="K249" s="68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</row>
    <row r="250" ht="15.75" customHeight="1">
      <c r="A250" s="32"/>
      <c r="B250" s="65"/>
      <c r="C250" s="65"/>
      <c r="D250" s="32"/>
      <c r="E250" s="32"/>
      <c r="F250" s="32"/>
      <c r="G250" s="66"/>
      <c r="H250" s="67"/>
      <c r="I250" s="67"/>
      <c r="J250" s="67"/>
      <c r="K250" s="68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</row>
    <row r="251" ht="15.75" customHeight="1">
      <c r="A251" s="32"/>
      <c r="B251" s="65"/>
      <c r="C251" s="65"/>
      <c r="D251" s="32"/>
      <c r="E251" s="32"/>
      <c r="F251" s="32"/>
      <c r="G251" s="66"/>
      <c r="H251" s="67"/>
      <c r="I251" s="67"/>
      <c r="J251" s="67"/>
      <c r="K251" s="68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</row>
    <row r="252" ht="15.75" customHeight="1">
      <c r="A252" s="32"/>
      <c r="B252" s="65"/>
      <c r="C252" s="65"/>
      <c r="D252" s="32"/>
      <c r="E252" s="32"/>
      <c r="F252" s="32"/>
      <c r="G252" s="66"/>
      <c r="H252" s="67"/>
      <c r="I252" s="67"/>
      <c r="J252" s="67"/>
      <c r="K252" s="68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</row>
    <row r="253" ht="15.75" customHeight="1">
      <c r="A253" s="32"/>
      <c r="B253" s="65"/>
      <c r="C253" s="65"/>
      <c r="D253" s="32"/>
      <c r="E253" s="32"/>
      <c r="F253" s="32"/>
      <c r="G253" s="66"/>
      <c r="H253" s="67"/>
      <c r="I253" s="67"/>
      <c r="J253" s="67"/>
      <c r="K253" s="68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</row>
    <row r="254" ht="15.75" customHeight="1">
      <c r="A254" s="32"/>
      <c r="B254" s="65"/>
      <c r="C254" s="65"/>
      <c r="D254" s="32"/>
      <c r="E254" s="32"/>
      <c r="F254" s="32"/>
      <c r="G254" s="66"/>
      <c r="H254" s="67"/>
      <c r="I254" s="67"/>
      <c r="J254" s="67"/>
      <c r="K254" s="68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</row>
    <row r="255" ht="15.75" customHeight="1">
      <c r="A255" s="32"/>
      <c r="B255" s="65"/>
      <c r="C255" s="65"/>
      <c r="D255" s="32"/>
      <c r="E255" s="32"/>
      <c r="F255" s="32"/>
      <c r="G255" s="66"/>
      <c r="H255" s="67"/>
      <c r="I255" s="67"/>
      <c r="J255" s="67"/>
      <c r="K255" s="68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</row>
    <row r="256" ht="15.75" customHeight="1">
      <c r="A256" s="32"/>
      <c r="B256" s="65"/>
      <c r="C256" s="65"/>
      <c r="D256" s="32"/>
      <c r="E256" s="32"/>
      <c r="F256" s="32"/>
      <c r="G256" s="66"/>
      <c r="H256" s="67"/>
      <c r="I256" s="67"/>
      <c r="J256" s="67"/>
      <c r="K256" s="68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</row>
    <row r="257" ht="15.75" customHeight="1">
      <c r="A257" s="32"/>
      <c r="B257" s="65"/>
      <c r="C257" s="65"/>
      <c r="D257" s="32"/>
      <c r="E257" s="32"/>
      <c r="F257" s="32"/>
      <c r="G257" s="66"/>
      <c r="H257" s="67"/>
      <c r="I257" s="67"/>
      <c r="J257" s="67"/>
      <c r="K257" s="68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</row>
    <row r="258" ht="15.75" customHeight="1">
      <c r="A258" s="32"/>
      <c r="B258" s="65"/>
      <c r="C258" s="65"/>
      <c r="D258" s="32"/>
      <c r="E258" s="32"/>
      <c r="F258" s="32"/>
      <c r="G258" s="66"/>
      <c r="H258" s="67"/>
      <c r="I258" s="67"/>
      <c r="J258" s="67"/>
      <c r="K258" s="68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</row>
    <row r="259" ht="15.75" customHeight="1">
      <c r="A259" s="32"/>
      <c r="B259" s="65"/>
      <c r="C259" s="65"/>
      <c r="D259" s="32"/>
      <c r="E259" s="32"/>
      <c r="F259" s="32"/>
      <c r="G259" s="66"/>
      <c r="H259" s="67"/>
      <c r="I259" s="67"/>
      <c r="J259" s="67"/>
      <c r="K259" s="68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</row>
    <row r="260" ht="15.75" customHeight="1">
      <c r="A260" s="32"/>
      <c r="B260" s="65"/>
      <c r="C260" s="65"/>
      <c r="D260" s="32"/>
      <c r="E260" s="32"/>
      <c r="F260" s="32"/>
      <c r="G260" s="66"/>
      <c r="H260" s="67"/>
      <c r="I260" s="67"/>
      <c r="J260" s="67"/>
      <c r="K260" s="68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</row>
    <row r="261" ht="15.75" customHeight="1">
      <c r="A261" s="32"/>
      <c r="B261" s="65"/>
      <c r="C261" s="65"/>
      <c r="D261" s="32"/>
      <c r="E261" s="32"/>
      <c r="F261" s="32"/>
      <c r="G261" s="66"/>
      <c r="H261" s="67"/>
      <c r="I261" s="67"/>
      <c r="J261" s="67"/>
      <c r="K261" s="68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</row>
    <row r="262" ht="15.75" customHeight="1">
      <c r="A262" s="32"/>
      <c r="B262" s="65"/>
      <c r="C262" s="65"/>
      <c r="D262" s="32"/>
      <c r="E262" s="32"/>
      <c r="F262" s="32"/>
      <c r="G262" s="66"/>
      <c r="H262" s="67"/>
      <c r="I262" s="67"/>
      <c r="J262" s="67"/>
      <c r="K262" s="68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</row>
    <row r="263" ht="15.75" customHeight="1">
      <c r="A263" s="32"/>
      <c r="B263" s="65"/>
      <c r="C263" s="65"/>
      <c r="D263" s="32"/>
      <c r="E263" s="32"/>
      <c r="F263" s="32"/>
      <c r="G263" s="66"/>
      <c r="H263" s="67"/>
      <c r="I263" s="67"/>
      <c r="J263" s="67"/>
      <c r="K263" s="68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</row>
    <row r="264" ht="15.75" customHeight="1">
      <c r="A264" s="32"/>
      <c r="B264" s="65"/>
      <c r="C264" s="65"/>
      <c r="D264" s="32"/>
      <c r="E264" s="32"/>
      <c r="F264" s="32"/>
      <c r="G264" s="66"/>
      <c r="H264" s="67"/>
      <c r="I264" s="67"/>
      <c r="J264" s="67"/>
      <c r="K264" s="68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</row>
    <row r="265" ht="15.75" customHeight="1">
      <c r="A265" s="32"/>
      <c r="B265" s="65"/>
      <c r="C265" s="65"/>
      <c r="D265" s="32"/>
      <c r="E265" s="32"/>
      <c r="F265" s="32"/>
      <c r="G265" s="66"/>
      <c r="H265" s="67"/>
      <c r="I265" s="67"/>
      <c r="J265" s="67"/>
      <c r="K265" s="68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</row>
    <row r="266" ht="15.75" customHeight="1">
      <c r="A266" s="32"/>
      <c r="B266" s="65"/>
      <c r="C266" s="65"/>
      <c r="D266" s="32"/>
      <c r="E266" s="32"/>
      <c r="F266" s="32"/>
      <c r="G266" s="66"/>
      <c r="H266" s="67"/>
      <c r="I266" s="67"/>
      <c r="J266" s="67"/>
      <c r="K266" s="68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</row>
    <row r="267" ht="15.75" customHeight="1">
      <c r="A267" s="32"/>
      <c r="B267" s="65"/>
      <c r="C267" s="65"/>
      <c r="D267" s="32"/>
      <c r="E267" s="32"/>
      <c r="F267" s="32"/>
      <c r="G267" s="66"/>
      <c r="H267" s="67"/>
      <c r="I267" s="67"/>
      <c r="J267" s="67"/>
      <c r="K267" s="68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</row>
    <row r="268" ht="15.75" customHeight="1">
      <c r="A268" s="32"/>
      <c r="B268" s="65"/>
      <c r="C268" s="65"/>
      <c r="D268" s="32"/>
      <c r="E268" s="32"/>
      <c r="F268" s="32"/>
      <c r="G268" s="66"/>
      <c r="H268" s="67"/>
      <c r="I268" s="67"/>
      <c r="J268" s="67"/>
      <c r="K268" s="68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</row>
    <row r="269" ht="15.75" customHeight="1">
      <c r="A269" s="32"/>
      <c r="B269" s="65"/>
      <c r="C269" s="65"/>
      <c r="D269" s="32"/>
      <c r="E269" s="32"/>
      <c r="F269" s="32"/>
      <c r="G269" s="66"/>
      <c r="H269" s="67"/>
      <c r="I269" s="67"/>
      <c r="J269" s="67"/>
      <c r="K269" s="68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</row>
    <row r="270" ht="15.75" customHeight="1">
      <c r="A270" s="32"/>
      <c r="B270" s="65"/>
      <c r="C270" s="65"/>
      <c r="D270" s="32"/>
      <c r="E270" s="32"/>
      <c r="F270" s="32"/>
      <c r="G270" s="66"/>
      <c r="H270" s="67"/>
      <c r="I270" s="67"/>
      <c r="J270" s="67"/>
      <c r="K270" s="68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</row>
    <row r="271" ht="15.75" customHeight="1">
      <c r="A271" s="32"/>
      <c r="B271" s="65"/>
      <c r="C271" s="65"/>
      <c r="D271" s="32"/>
      <c r="E271" s="32"/>
      <c r="F271" s="32"/>
      <c r="G271" s="66"/>
      <c r="H271" s="67"/>
      <c r="I271" s="67"/>
      <c r="J271" s="67"/>
      <c r="K271" s="68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</row>
    <row r="272" ht="15.75" customHeight="1">
      <c r="A272" s="32"/>
      <c r="B272" s="65"/>
      <c r="C272" s="65"/>
      <c r="D272" s="32"/>
      <c r="E272" s="32"/>
      <c r="F272" s="32"/>
      <c r="G272" s="66"/>
      <c r="H272" s="67"/>
      <c r="I272" s="67"/>
      <c r="J272" s="67"/>
      <c r="K272" s="68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</row>
    <row r="273" ht="15.75" customHeight="1">
      <c r="A273" s="32"/>
      <c r="B273" s="65"/>
      <c r="C273" s="65"/>
      <c r="D273" s="32"/>
      <c r="E273" s="32"/>
      <c r="F273" s="32"/>
      <c r="G273" s="66"/>
      <c r="H273" s="67"/>
      <c r="I273" s="67"/>
      <c r="J273" s="67"/>
      <c r="K273" s="68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</row>
    <row r="274" ht="15.75" customHeight="1">
      <c r="A274" s="32"/>
      <c r="B274" s="65"/>
      <c r="C274" s="65"/>
      <c r="D274" s="32"/>
      <c r="E274" s="32"/>
      <c r="F274" s="32"/>
      <c r="G274" s="66"/>
      <c r="H274" s="67"/>
      <c r="I274" s="67"/>
      <c r="J274" s="67"/>
      <c r="K274" s="68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</row>
    <row r="275" ht="15.75" customHeight="1">
      <c r="A275" s="32"/>
      <c r="B275" s="65"/>
      <c r="C275" s="65"/>
      <c r="D275" s="32"/>
      <c r="E275" s="32"/>
      <c r="F275" s="32"/>
      <c r="G275" s="66"/>
      <c r="H275" s="67"/>
      <c r="I275" s="67"/>
      <c r="J275" s="67"/>
      <c r="K275" s="68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</row>
    <row r="276" ht="15.75" customHeight="1">
      <c r="A276" s="32"/>
      <c r="B276" s="65"/>
      <c r="C276" s="65"/>
      <c r="D276" s="32"/>
      <c r="E276" s="32"/>
      <c r="F276" s="32"/>
      <c r="G276" s="66"/>
      <c r="H276" s="67"/>
      <c r="I276" s="67"/>
      <c r="J276" s="67"/>
      <c r="K276" s="68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</row>
    <row r="277" ht="15.75" customHeight="1">
      <c r="A277" s="32"/>
      <c r="B277" s="65"/>
      <c r="C277" s="65"/>
      <c r="D277" s="32"/>
      <c r="E277" s="32"/>
      <c r="F277" s="32"/>
      <c r="G277" s="66"/>
      <c r="H277" s="67"/>
      <c r="I277" s="67"/>
      <c r="J277" s="67"/>
      <c r="K277" s="68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</row>
    <row r="278" ht="15.75" customHeight="1">
      <c r="A278" s="32"/>
      <c r="B278" s="65"/>
      <c r="C278" s="65"/>
      <c r="D278" s="32"/>
      <c r="E278" s="32"/>
      <c r="F278" s="32"/>
      <c r="G278" s="66"/>
      <c r="H278" s="67"/>
      <c r="I278" s="67"/>
      <c r="J278" s="67"/>
      <c r="K278" s="68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</row>
    <row r="279" ht="15.75" customHeight="1">
      <c r="A279" s="32"/>
      <c r="B279" s="65"/>
      <c r="C279" s="65"/>
      <c r="D279" s="32"/>
      <c r="E279" s="32"/>
      <c r="F279" s="32"/>
      <c r="G279" s="66"/>
      <c r="H279" s="67"/>
      <c r="I279" s="67"/>
      <c r="J279" s="67"/>
      <c r="K279" s="68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</row>
    <row r="280" ht="15.75" customHeight="1">
      <c r="A280" s="32"/>
      <c r="B280" s="65"/>
      <c r="C280" s="65"/>
      <c r="D280" s="32"/>
      <c r="E280" s="32"/>
      <c r="F280" s="32"/>
      <c r="G280" s="66"/>
      <c r="H280" s="67"/>
      <c r="I280" s="67"/>
      <c r="J280" s="67"/>
      <c r="K280" s="68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</row>
    <row r="281" ht="15.75" customHeight="1">
      <c r="A281" s="32"/>
      <c r="B281" s="65"/>
      <c r="C281" s="65"/>
      <c r="D281" s="32"/>
      <c r="E281" s="32"/>
      <c r="F281" s="32"/>
      <c r="G281" s="66"/>
      <c r="H281" s="67"/>
      <c r="I281" s="67"/>
      <c r="J281" s="67"/>
      <c r="K281" s="68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</row>
    <row r="282" ht="15.75" customHeight="1">
      <c r="A282" s="32"/>
      <c r="B282" s="65"/>
      <c r="C282" s="65"/>
      <c r="D282" s="32"/>
      <c r="E282" s="32"/>
      <c r="F282" s="32"/>
      <c r="G282" s="66"/>
      <c r="H282" s="67"/>
      <c r="I282" s="67"/>
      <c r="J282" s="67"/>
      <c r="K282" s="68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</row>
    <row r="283" ht="15.75" customHeight="1">
      <c r="A283" s="32"/>
      <c r="B283" s="65"/>
      <c r="C283" s="65"/>
      <c r="D283" s="32"/>
      <c r="E283" s="32"/>
      <c r="F283" s="32"/>
      <c r="G283" s="66"/>
      <c r="H283" s="67"/>
      <c r="I283" s="67"/>
      <c r="J283" s="67"/>
      <c r="K283" s="68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</row>
    <row r="284" ht="15.75" customHeight="1">
      <c r="A284" s="32"/>
      <c r="B284" s="65"/>
      <c r="C284" s="65"/>
      <c r="D284" s="32"/>
      <c r="E284" s="32"/>
      <c r="F284" s="32"/>
      <c r="G284" s="66"/>
      <c r="H284" s="67"/>
      <c r="I284" s="67"/>
      <c r="J284" s="67"/>
      <c r="K284" s="68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</row>
    <row r="285" ht="15.75" customHeight="1">
      <c r="A285" s="32"/>
      <c r="B285" s="65"/>
      <c r="C285" s="65"/>
      <c r="D285" s="32"/>
      <c r="E285" s="32"/>
      <c r="F285" s="32"/>
      <c r="G285" s="66"/>
      <c r="H285" s="67"/>
      <c r="I285" s="67"/>
      <c r="J285" s="67"/>
      <c r="K285" s="68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</row>
    <row r="286" ht="15.75" customHeight="1">
      <c r="A286" s="32"/>
      <c r="B286" s="65"/>
      <c r="C286" s="65"/>
      <c r="D286" s="32"/>
      <c r="E286" s="32"/>
      <c r="F286" s="32"/>
      <c r="G286" s="66"/>
      <c r="H286" s="67"/>
      <c r="I286" s="67"/>
      <c r="J286" s="67"/>
      <c r="K286" s="68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</row>
    <row r="287" ht="15.75" customHeight="1">
      <c r="A287" s="32"/>
      <c r="B287" s="65"/>
      <c r="C287" s="65"/>
      <c r="D287" s="32"/>
      <c r="E287" s="32"/>
      <c r="F287" s="32"/>
      <c r="G287" s="66"/>
      <c r="H287" s="67"/>
      <c r="I287" s="67"/>
      <c r="J287" s="67"/>
      <c r="K287" s="68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</row>
    <row r="288" ht="15.75" customHeight="1">
      <c r="A288" s="32"/>
      <c r="B288" s="65"/>
      <c r="C288" s="65"/>
      <c r="D288" s="32"/>
      <c r="E288" s="32"/>
      <c r="F288" s="32"/>
      <c r="G288" s="66"/>
      <c r="H288" s="67"/>
      <c r="I288" s="67"/>
      <c r="J288" s="67"/>
      <c r="K288" s="68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</row>
    <row r="289" ht="15.75" customHeight="1">
      <c r="A289" s="32"/>
      <c r="B289" s="65"/>
      <c r="C289" s="65"/>
      <c r="D289" s="32"/>
      <c r="E289" s="32"/>
      <c r="F289" s="32"/>
      <c r="G289" s="66"/>
      <c r="H289" s="67"/>
      <c r="I289" s="67"/>
      <c r="J289" s="67"/>
      <c r="K289" s="68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</row>
    <row r="290" ht="15.75" customHeight="1">
      <c r="A290" s="32"/>
      <c r="B290" s="65"/>
      <c r="C290" s="65"/>
      <c r="D290" s="32"/>
      <c r="E290" s="32"/>
      <c r="F290" s="32"/>
      <c r="G290" s="66"/>
      <c r="H290" s="67"/>
      <c r="I290" s="67"/>
      <c r="J290" s="67"/>
      <c r="K290" s="68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</row>
    <row r="291" ht="15.75" customHeight="1">
      <c r="A291" s="32"/>
      <c r="B291" s="65"/>
      <c r="C291" s="65"/>
      <c r="D291" s="32"/>
      <c r="E291" s="32"/>
      <c r="F291" s="32"/>
      <c r="G291" s="66"/>
      <c r="H291" s="67"/>
      <c r="I291" s="67"/>
      <c r="J291" s="67"/>
      <c r="K291" s="68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</row>
    <row r="292" ht="15.75" customHeight="1">
      <c r="A292" s="32"/>
      <c r="B292" s="65"/>
      <c r="C292" s="65"/>
      <c r="D292" s="32"/>
      <c r="E292" s="32"/>
      <c r="F292" s="32"/>
      <c r="G292" s="66"/>
      <c r="H292" s="67"/>
      <c r="I292" s="67"/>
      <c r="J292" s="67"/>
      <c r="K292" s="68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</row>
    <row r="293" ht="15.75" customHeight="1">
      <c r="A293" s="32"/>
      <c r="B293" s="65"/>
      <c r="C293" s="65"/>
      <c r="D293" s="32"/>
      <c r="E293" s="32"/>
      <c r="F293" s="32"/>
      <c r="G293" s="66"/>
      <c r="H293" s="67"/>
      <c r="I293" s="67"/>
      <c r="J293" s="67"/>
      <c r="K293" s="68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</row>
    <row r="294" ht="15.75" customHeight="1">
      <c r="A294" s="32"/>
      <c r="B294" s="65"/>
      <c r="C294" s="65"/>
      <c r="D294" s="32"/>
      <c r="E294" s="32"/>
      <c r="F294" s="32"/>
      <c r="G294" s="66"/>
      <c r="H294" s="67"/>
      <c r="I294" s="67"/>
      <c r="J294" s="67"/>
      <c r="K294" s="68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</row>
    <row r="295" ht="15.75" customHeight="1">
      <c r="A295" s="32"/>
      <c r="B295" s="65"/>
      <c r="C295" s="65"/>
      <c r="D295" s="32"/>
      <c r="E295" s="32"/>
      <c r="F295" s="32"/>
      <c r="G295" s="66"/>
      <c r="H295" s="67"/>
      <c r="I295" s="67"/>
      <c r="J295" s="67"/>
      <c r="K295" s="68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</row>
    <row r="296" ht="15.75" customHeight="1">
      <c r="A296" s="32"/>
      <c r="B296" s="65"/>
      <c r="C296" s="65"/>
      <c r="D296" s="32"/>
      <c r="E296" s="32"/>
      <c r="F296" s="32"/>
      <c r="G296" s="66"/>
      <c r="H296" s="67"/>
      <c r="I296" s="67"/>
      <c r="J296" s="67"/>
      <c r="K296" s="68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</row>
    <row r="297" ht="15.75" customHeight="1">
      <c r="A297" s="32"/>
      <c r="B297" s="65"/>
      <c r="C297" s="65"/>
      <c r="D297" s="32"/>
      <c r="E297" s="32"/>
      <c r="F297" s="32"/>
      <c r="G297" s="66"/>
      <c r="H297" s="67"/>
      <c r="I297" s="67"/>
      <c r="J297" s="67"/>
      <c r="K297" s="68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</row>
    <row r="298" ht="15.75" customHeight="1">
      <c r="A298" s="32"/>
      <c r="B298" s="65"/>
      <c r="C298" s="65"/>
      <c r="D298" s="32"/>
      <c r="E298" s="32"/>
      <c r="F298" s="32"/>
      <c r="G298" s="66"/>
      <c r="H298" s="67"/>
      <c r="I298" s="67"/>
      <c r="J298" s="67"/>
      <c r="K298" s="68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</row>
    <row r="299" ht="15.75" customHeight="1">
      <c r="A299" s="32"/>
      <c r="B299" s="65"/>
      <c r="C299" s="65"/>
      <c r="D299" s="32"/>
      <c r="E299" s="32"/>
      <c r="F299" s="32"/>
      <c r="G299" s="66"/>
      <c r="H299" s="67"/>
      <c r="I299" s="67"/>
      <c r="J299" s="67"/>
      <c r="K299" s="68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</row>
    <row r="300" ht="15.75" customHeight="1">
      <c r="A300" s="32"/>
      <c r="B300" s="65"/>
      <c r="C300" s="65"/>
      <c r="D300" s="32"/>
      <c r="E300" s="32"/>
      <c r="F300" s="32"/>
      <c r="G300" s="66"/>
      <c r="H300" s="67"/>
      <c r="I300" s="67"/>
      <c r="J300" s="67"/>
      <c r="K300" s="68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</row>
    <row r="301" ht="15.75" customHeight="1">
      <c r="A301" s="32"/>
      <c r="B301" s="65"/>
      <c r="C301" s="65"/>
      <c r="D301" s="32"/>
      <c r="E301" s="32"/>
      <c r="F301" s="32"/>
      <c r="G301" s="66"/>
      <c r="H301" s="67"/>
      <c r="I301" s="67"/>
      <c r="J301" s="67"/>
      <c r="K301" s="68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</row>
    <row r="302" ht="15.75" customHeight="1">
      <c r="A302" s="32"/>
      <c r="B302" s="65"/>
      <c r="C302" s="65"/>
      <c r="D302" s="32"/>
      <c r="E302" s="32"/>
      <c r="F302" s="32"/>
      <c r="G302" s="66"/>
      <c r="H302" s="67"/>
      <c r="I302" s="67"/>
      <c r="J302" s="67"/>
      <c r="K302" s="68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</row>
    <row r="303" ht="15.75" customHeight="1">
      <c r="A303" s="32"/>
      <c r="B303" s="65"/>
      <c r="C303" s="65"/>
      <c r="D303" s="32"/>
      <c r="E303" s="32"/>
      <c r="F303" s="32"/>
      <c r="G303" s="66"/>
      <c r="H303" s="67"/>
      <c r="I303" s="67"/>
      <c r="J303" s="67"/>
      <c r="K303" s="68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</row>
    <row r="304" ht="15.75" customHeight="1">
      <c r="A304" s="32"/>
      <c r="B304" s="65"/>
      <c r="C304" s="65"/>
      <c r="D304" s="32"/>
      <c r="E304" s="32"/>
      <c r="F304" s="32"/>
      <c r="G304" s="66"/>
      <c r="H304" s="67"/>
      <c r="I304" s="67"/>
      <c r="J304" s="67"/>
      <c r="K304" s="68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</row>
    <row r="305" ht="15.75" customHeight="1">
      <c r="A305" s="32"/>
      <c r="B305" s="65"/>
      <c r="C305" s="65"/>
      <c r="D305" s="32"/>
      <c r="E305" s="32"/>
      <c r="F305" s="32"/>
      <c r="G305" s="66"/>
      <c r="H305" s="67"/>
      <c r="I305" s="67"/>
      <c r="J305" s="67"/>
      <c r="K305" s="68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</row>
    <row r="306" ht="15.75" customHeight="1">
      <c r="A306" s="32"/>
      <c r="B306" s="65"/>
      <c r="C306" s="65"/>
      <c r="D306" s="32"/>
      <c r="E306" s="32"/>
      <c r="F306" s="32"/>
      <c r="G306" s="66"/>
      <c r="H306" s="67"/>
      <c r="I306" s="67"/>
      <c r="J306" s="67"/>
      <c r="K306" s="68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</row>
    <row r="307" ht="15.75" customHeight="1">
      <c r="A307" s="32"/>
      <c r="B307" s="65"/>
      <c r="C307" s="65"/>
      <c r="D307" s="32"/>
      <c r="E307" s="32"/>
      <c r="F307" s="32"/>
      <c r="G307" s="66"/>
      <c r="H307" s="67"/>
      <c r="I307" s="67"/>
      <c r="J307" s="67"/>
      <c r="K307" s="68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</row>
    <row r="308" ht="15.75" customHeight="1">
      <c r="A308" s="32"/>
      <c r="B308" s="65"/>
      <c r="C308" s="65"/>
      <c r="D308" s="32"/>
      <c r="E308" s="32"/>
      <c r="F308" s="32"/>
      <c r="G308" s="66"/>
      <c r="H308" s="67"/>
      <c r="I308" s="67"/>
      <c r="J308" s="67"/>
      <c r="K308" s="68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</row>
    <row r="309" ht="15.75" customHeight="1">
      <c r="A309" s="32"/>
      <c r="B309" s="65"/>
      <c r="C309" s="65"/>
      <c r="D309" s="32"/>
      <c r="E309" s="32"/>
      <c r="F309" s="32"/>
      <c r="G309" s="66"/>
      <c r="H309" s="67"/>
      <c r="I309" s="67"/>
      <c r="J309" s="67"/>
      <c r="K309" s="68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</row>
    <row r="310" ht="15.75" customHeight="1">
      <c r="A310" s="32"/>
      <c r="B310" s="65"/>
      <c r="C310" s="65"/>
      <c r="D310" s="32"/>
      <c r="E310" s="32"/>
      <c r="F310" s="32"/>
      <c r="G310" s="66"/>
      <c r="H310" s="67"/>
      <c r="I310" s="67"/>
      <c r="J310" s="67"/>
      <c r="K310" s="68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</row>
    <row r="311" ht="15.75" customHeight="1">
      <c r="A311" s="32"/>
      <c r="B311" s="65"/>
      <c r="C311" s="65"/>
      <c r="D311" s="32"/>
      <c r="E311" s="32"/>
      <c r="F311" s="32"/>
      <c r="G311" s="66"/>
      <c r="H311" s="67"/>
      <c r="I311" s="67"/>
      <c r="J311" s="67"/>
      <c r="K311" s="68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</row>
    <row r="312" ht="15.75" customHeight="1">
      <c r="A312" s="32"/>
      <c r="B312" s="65"/>
      <c r="C312" s="65"/>
      <c r="D312" s="32"/>
      <c r="E312" s="32"/>
      <c r="F312" s="32"/>
      <c r="G312" s="66"/>
      <c r="H312" s="67"/>
      <c r="I312" s="67"/>
      <c r="J312" s="67"/>
      <c r="K312" s="68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</row>
    <row r="313" ht="15.75" customHeight="1">
      <c r="A313" s="32"/>
      <c r="B313" s="65"/>
      <c r="C313" s="65"/>
      <c r="D313" s="32"/>
      <c r="E313" s="32"/>
      <c r="F313" s="32"/>
      <c r="G313" s="66"/>
      <c r="H313" s="67"/>
      <c r="I313" s="67"/>
      <c r="J313" s="67"/>
      <c r="K313" s="68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</row>
    <row r="314" ht="15.75" customHeight="1">
      <c r="A314" s="32"/>
      <c r="B314" s="65"/>
      <c r="C314" s="65"/>
      <c r="D314" s="32"/>
      <c r="E314" s="32"/>
      <c r="F314" s="32"/>
      <c r="G314" s="66"/>
      <c r="H314" s="67"/>
      <c r="I314" s="67"/>
      <c r="J314" s="67"/>
      <c r="K314" s="68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</row>
    <row r="315" ht="15.75" customHeight="1">
      <c r="A315" s="32"/>
      <c r="B315" s="65"/>
      <c r="C315" s="65"/>
      <c r="D315" s="32"/>
      <c r="E315" s="32"/>
      <c r="F315" s="32"/>
      <c r="G315" s="66"/>
      <c r="H315" s="67"/>
      <c r="I315" s="67"/>
      <c r="J315" s="67"/>
      <c r="K315" s="68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</row>
    <row r="316" ht="15.75" customHeight="1">
      <c r="A316" s="32"/>
      <c r="B316" s="65"/>
      <c r="C316" s="65"/>
      <c r="D316" s="32"/>
      <c r="E316" s="32"/>
      <c r="F316" s="32"/>
      <c r="G316" s="66"/>
      <c r="H316" s="67"/>
      <c r="I316" s="67"/>
      <c r="J316" s="67"/>
      <c r="K316" s="68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</row>
    <row r="317" ht="15.75" customHeight="1">
      <c r="A317" s="32"/>
      <c r="B317" s="65"/>
      <c r="C317" s="65"/>
      <c r="D317" s="32"/>
      <c r="E317" s="32"/>
      <c r="F317" s="32"/>
      <c r="G317" s="66"/>
      <c r="H317" s="67"/>
      <c r="I317" s="67"/>
      <c r="J317" s="67"/>
      <c r="K317" s="68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</row>
    <row r="318" ht="15.75" customHeight="1">
      <c r="A318" s="32"/>
      <c r="B318" s="65"/>
      <c r="C318" s="65"/>
      <c r="D318" s="32"/>
      <c r="E318" s="32"/>
      <c r="F318" s="32"/>
      <c r="G318" s="66"/>
      <c r="H318" s="67"/>
      <c r="I318" s="67"/>
      <c r="J318" s="67"/>
      <c r="K318" s="68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</row>
    <row r="319" ht="15.75" customHeight="1">
      <c r="A319" s="32"/>
      <c r="B319" s="65"/>
      <c r="C319" s="65"/>
      <c r="D319" s="32"/>
      <c r="E319" s="32"/>
      <c r="F319" s="32"/>
      <c r="G319" s="66"/>
      <c r="H319" s="67"/>
      <c r="I319" s="67"/>
      <c r="J319" s="67"/>
      <c r="K319" s="68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</row>
    <row r="320" ht="15.75" customHeight="1">
      <c r="A320" s="32"/>
      <c r="B320" s="65"/>
      <c r="C320" s="65"/>
      <c r="D320" s="32"/>
      <c r="E320" s="32"/>
      <c r="F320" s="32"/>
      <c r="G320" s="66"/>
      <c r="H320" s="67"/>
      <c r="I320" s="67"/>
      <c r="J320" s="67"/>
      <c r="K320" s="68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</row>
    <row r="321" ht="15.75" customHeight="1">
      <c r="A321" s="32"/>
      <c r="B321" s="65"/>
      <c r="C321" s="65"/>
      <c r="D321" s="32"/>
      <c r="E321" s="32"/>
      <c r="F321" s="32"/>
      <c r="G321" s="66"/>
      <c r="H321" s="67"/>
      <c r="I321" s="67"/>
      <c r="J321" s="67"/>
      <c r="K321" s="68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</row>
    <row r="322" ht="15.75" customHeight="1">
      <c r="A322" s="32"/>
      <c r="B322" s="65"/>
      <c r="C322" s="65"/>
      <c r="D322" s="32"/>
      <c r="E322" s="32"/>
      <c r="F322" s="32"/>
      <c r="G322" s="66"/>
      <c r="H322" s="67"/>
      <c r="I322" s="67"/>
      <c r="J322" s="67"/>
      <c r="K322" s="68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</row>
    <row r="323" ht="15.75" customHeight="1">
      <c r="A323" s="32"/>
      <c r="B323" s="65"/>
      <c r="C323" s="65"/>
      <c r="D323" s="32"/>
      <c r="E323" s="32"/>
      <c r="F323" s="32"/>
      <c r="G323" s="66"/>
      <c r="H323" s="67"/>
      <c r="I323" s="67"/>
      <c r="J323" s="67"/>
      <c r="K323" s="68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</row>
    <row r="324" ht="15.75" customHeight="1">
      <c r="A324" s="32"/>
      <c r="B324" s="65"/>
      <c r="C324" s="65"/>
      <c r="D324" s="32"/>
      <c r="E324" s="32"/>
      <c r="F324" s="32"/>
      <c r="G324" s="66"/>
      <c r="H324" s="67"/>
      <c r="I324" s="67"/>
      <c r="J324" s="67"/>
      <c r="K324" s="68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</row>
    <row r="325" ht="15.75" customHeight="1">
      <c r="A325" s="32"/>
      <c r="B325" s="65"/>
      <c r="C325" s="65"/>
      <c r="D325" s="32"/>
      <c r="E325" s="32"/>
      <c r="F325" s="32"/>
      <c r="G325" s="66"/>
      <c r="H325" s="67"/>
      <c r="I325" s="67"/>
      <c r="J325" s="67"/>
      <c r="K325" s="68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</row>
    <row r="326" ht="15.75" customHeight="1">
      <c r="A326" s="32"/>
      <c r="B326" s="65"/>
      <c r="C326" s="65"/>
      <c r="D326" s="32"/>
      <c r="E326" s="32"/>
      <c r="F326" s="32"/>
      <c r="G326" s="66"/>
      <c r="H326" s="67"/>
      <c r="I326" s="67"/>
      <c r="J326" s="67"/>
      <c r="K326" s="68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</row>
    <row r="327" ht="15.75" customHeight="1">
      <c r="A327" s="32"/>
      <c r="B327" s="65"/>
      <c r="C327" s="65"/>
      <c r="D327" s="32"/>
      <c r="E327" s="32"/>
      <c r="F327" s="32"/>
      <c r="G327" s="66"/>
      <c r="H327" s="67"/>
      <c r="I327" s="67"/>
      <c r="J327" s="67"/>
      <c r="K327" s="68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</row>
    <row r="328" ht="15.75" customHeight="1">
      <c r="A328" s="32"/>
      <c r="B328" s="65"/>
      <c r="C328" s="65"/>
      <c r="D328" s="32"/>
      <c r="E328" s="32"/>
      <c r="F328" s="32"/>
      <c r="G328" s="66"/>
      <c r="H328" s="67"/>
      <c r="I328" s="67"/>
      <c r="J328" s="67"/>
      <c r="K328" s="68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</row>
    <row r="329" ht="15.75" customHeight="1">
      <c r="A329" s="32"/>
      <c r="B329" s="65"/>
      <c r="C329" s="65"/>
      <c r="D329" s="32"/>
      <c r="E329" s="32"/>
      <c r="F329" s="32"/>
      <c r="G329" s="66"/>
      <c r="H329" s="67"/>
      <c r="I329" s="67"/>
      <c r="J329" s="67"/>
      <c r="K329" s="68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</row>
    <row r="330" ht="15.75" customHeight="1">
      <c r="A330" s="32"/>
      <c r="B330" s="65"/>
      <c r="C330" s="65"/>
      <c r="D330" s="32"/>
      <c r="E330" s="32"/>
      <c r="F330" s="32"/>
      <c r="G330" s="66"/>
      <c r="H330" s="67"/>
      <c r="I330" s="67"/>
      <c r="J330" s="67"/>
      <c r="K330" s="68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</row>
    <row r="331" ht="15.75" customHeight="1">
      <c r="A331" s="32"/>
      <c r="B331" s="65"/>
      <c r="C331" s="65"/>
      <c r="D331" s="32"/>
      <c r="E331" s="32"/>
      <c r="F331" s="32"/>
      <c r="G331" s="66"/>
      <c r="H331" s="67"/>
      <c r="I331" s="67"/>
      <c r="J331" s="67"/>
      <c r="K331" s="68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</row>
    <row r="332" ht="15.75" customHeight="1">
      <c r="A332" s="32"/>
      <c r="B332" s="65"/>
      <c r="C332" s="65"/>
      <c r="D332" s="32"/>
      <c r="E332" s="32"/>
      <c r="F332" s="32"/>
      <c r="G332" s="66"/>
      <c r="H332" s="67"/>
      <c r="I332" s="67"/>
      <c r="J332" s="67"/>
      <c r="K332" s="68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</row>
    <row r="333" ht="15.75" customHeight="1">
      <c r="A333" s="32"/>
      <c r="B333" s="65"/>
      <c r="C333" s="65"/>
      <c r="D333" s="32"/>
      <c r="E333" s="32"/>
      <c r="F333" s="32"/>
      <c r="G333" s="66"/>
      <c r="H333" s="67"/>
      <c r="I333" s="67"/>
      <c r="J333" s="67"/>
      <c r="K333" s="68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</row>
    <row r="334" ht="15.75" customHeight="1">
      <c r="A334" s="32"/>
      <c r="B334" s="65"/>
      <c r="C334" s="65"/>
      <c r="D334" s="32"/>
      <c r="E334" s="32"/>
      <c r="F334" s="32"/>
      <c r="G334" s="66"/>
      <c r="H334" s="67"/>
      <c r="I334" s="67"/>
      <c r="J334" s="67"/>
      <c r="K334" s="68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</row>
    <row r="335" ht="15.75" customHeight="1">
      <c r="A335" s="32"/>
      <c r="B335" s="65"/>
      <c r="C335" s="65"/>
      <c r="D335" s="32"/>
      <c r="E335" s="32"/>
      <c r="F335" s="32"/>
      <c r="G335" s="66"/>
      <c r="H335" s="67"/>
      <c r="I335" s="67"/>
      <c r="J335" s="67"/>
      <c r="K335" s="68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</row>
    <row r="336" ht="15.75" customHeight="1">
      <c r="A336" s="32"/>
      <c r="B336" s="65"/>
      <c r="C336" s="65"/>
      <c r="D336" s="32"/>
      <c r="E336" s="32"/>
      <c r="F336" s="32"/>
      <c r="G336" s="66"/>
      <c r="H336" s="67"/>
      <c r="I336" s="67"/>
      <c r="J336" s="67"/>
      <c r="K336" s="68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</row>
    <row r="337" ht="15.75" customHeight="1">
      <c r="A337" s="32"/>
      <c r="B337" s="65"/>
      <c r="C337" s="65"/>
      <c r="D337" s="32"/>
      <c r="E337" s="32"/>
      <c r="F337" s="32"/>
      <c r="G337" s="66"/>
      <c r="H337" s="67"/>
      <c r="I337" s="67"/>
      <c r="J337" s="67"/>
      <c r="K337" s="68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</row>
    <row r="338" ht="15.75" customHeight="1">
      <c r="A338" s="32"/>
      <c r="B338" s="65"/>
      <c r="C338" s="65"/>
      <c r="D338" s="32"/>
      <c r="E338" s="32"/>
      <c r="F338" s="32"/>
      <c r="G338" s="66"/>
      <c r="H338" s="67"/>
      <c r="I338" s="67"/>
      <c r="J338" s="67"/>
      <c r="K338" s="68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</row>
    <row r="339" ht="15.75" customHeight="1">
      <c r="A339" s="32"/>
      <c r="B339" s="65"/>
      <c r="C339" s="65"/>
      <c r="D339" s="32"/>
      <c r="E339" s="32"/>
      <c r="F339" s="32"/>
      <c r="G339" s="66"/>
      <c r="H339" s="67"/>
      <c r="I339" s="67"/>
      <c r="J339" s="67"/>
      <c r="K339" s="68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</row>
    <row r="340" ht="15.75" customHeight="1">
      <c r="A340" s="32"/>
      <c r="B340" s="65"/>
      <c r="C340" s="65"/>
      <c r="D340" s="32"/>
      <c r="E340" s="32"/>
      <c r="F340" s="32"/>
      <c r="G340" s="66"/>
      <c r="H340" s="67"/>
      <c r="I340" s="67"/>
      <c r="J340" s="67"/>
      <c r="K340" s="68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</row>
    <row r="341" ht="15.75" customHeight="1">
      <c r="A341" s="32"/>
      <c r="B341" s="65"/>
      <c r="C341" s="65"/>
      <c r="D341" s="32"/>
      <c r="E341" s="32"/>
      <c r="F341" s="32"/>
      <c r="G341" s="66"/>
      <c r="H341" s="67"/>
      <c r="I341" s="67"/>
      <c r="J341" s="67"/>
      <c r="K341" s="68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</row>
    <row r="342" ht="15.75" customHeight="1">
      <c r="A342" s="32"/>
      <c r="B342" s="65"/>
      <c r="C342" s="65"/>
      <c r="D342" s="32"/>
      <c r="E342" s="32"/>
      <c r="F342" s="32"/>
      <c r="G342" s="66"/>
      <c r="H342" s="67"/>
      <c r="I342" s="67"/>
      <c r="J342" s="67"/>
      <c r="K342" s="68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</row>
    <row r="343" ht="15.75" customHeight="1">
      <c r="A343" s="32"/>
      <c r="B343" s="65"/>
      <c r="C343" s="65"/>
      <c r="D343" s="32"/>
      <c r="E343" s="32"/>
      <c r="F343" s="32"/>
      <c r="G343" s="66"/>
      <c r="H343" s="67"/>
      <c r="I343" s="67"/>
      <c r="J343" s="67"/>
      <c r="K343" s="68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</row>
    <row r="344" ht="15.75" customHeight="1">
      <c r="A344" s="32"/>
      <c r="B344" s="65"/>
      <c r="C344" s="65"/>
      <c r="D344" s="32"/>
      <c r="E344" s="32"/>
      <c r="F344" s="32"/>
      <c r="G344" s="66"/>
      <c r="H344" s="67"/>
      <c r="I344" s="67"/>
      <c r="J344" s="67"/>
      <c r="K344" s="68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</row>
    <row r="345" ht="15.75" customHeight="1">
      <c r="A345" s="32"/>
      <c r="B345" s="65"/>
      <c r="C345" s="65"/>
      <c r="D345" s="32"/>
      <c r="E345" s="32"/>
      <c r="F345" s="32"/>
      <c r="G345" s="66"/>
      <c r="H345" s="67"/>
      <c r="I345" s="67"/>
      <c r="J345" s="67"/>
      <c r="K345" s="68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</row>
    <row r="346" ht="15.75" customHeight="1">
      <c r="A346" s="32"/>
      <c r="B346" s="65"/>
      <c r="C346" s="65"/>
      <c r="D346" s="32"/>
      <c r="E346" s="32"/>
      <c r="F346" s="32"/>
      <c r="G346" s="66"/>
      <c r="H346" s="67"/>
      <c r="I346" s="67"/>
      <c r="J346" s="67"/>
      <c r="K346" s="68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</row>
    <row r="347" ht="15.75" customHeight="1">
      <c r="A347" s="32"/>
      <c r="B347" s="65"/>
      <c r="C347" s="65"/>
      <c r="D347" s="32"/>
      <c r="E347" s="32"/>
      <c r="F347" s="32"/>
      <c r="G347" s="66"/>
      <c r="H347" s="67"/>
      <c r="I347" s="67"/>
      <c r="J347" s="67"/>
      <c r="K347" s="68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</row>
    <row r="348" ht="15.75" customHeight="1">
      <c r="A348" s="32"/>
      <c r="B348" s="65"/>
      <c r="C348" s="65"/>
      <c r="D348" s="32"/>
      <c r="E348" s="32"/>
      <c r="F348" s="32"/>
      <c r="G348" s="66"/>
      <c r="H348" s="67"/>
      <c r="I348" s="67"/>
      <c r="J348" s="67"/>
      <c r="K348" s="68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</row>
    <row r="349" ht="15.75" customHeight="1">
      <c r="A349" s="32"/>
      <c r="B349" s="65"/>
      <c r="C349" s="65"/>
      <c r="D349" s="32"/>
      <c r="E349" s="32"/>
      <c r="F349" s="32"/>
      <c r="G349" s="66"/>
      <c r="H349" s="67"/>
      <c r="I349" s="67"/>
      <c r="J349" s="67"/>
      <c r="K349" s="68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</row>
    <row r="350" ht="15.75" customHeight="1">
      <c r="A350" s="32"/>
      <c r="B350" s="65"/>
      <c r="C350" s="65"/>
      <c r="D350" s="32"/>
      <c r="E350" s="32"/>
      <c r="F350" s="32"/>
      <c r="G350" s="66"/>
      <c r="H350" s="67"/>
      <c r="I350" s="67"/>
      <c r="J350" s="67"/>
      <c r="K350" s="68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</row>
    <row r="351" ht="15.75" customHeight="1">
      <c r="A351" s="32"/>
      <c r="B351" s="65"/>
      <c r="C351" s="65"/>
      <c r="D351" s="32"/>
      <c r="E351" s="32"/>
      <c r="F351" s="32"/>
      <c r="G351" s="66"/>
      <c r="H351" s="67"/>
      <c r="I351" s="67"/>
      <c r="J351" s="67"/>
      <c r="K351" s="68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</row>
    <row r="352" ht="15.75" customHeight="1">
      <c r="A352" s="32"/>
      <c r="B352" s="65"/>
      <c r="C352" s="65"/>
      <c r="D352" s="32"/>
      <c r="E352" s="32"/>
      <c r="F352" s="32"/>
      <c r="G352" s="66"/>
      <c r="H352" s="67"/>
      <c r="I352" s="67"/>
      <c r="J352" s="67"/>
      <c r="K352" s="68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</row>
    <row r="353" ht="15.75" customHeight="1">
      <c r="A353" s="32"/>
      <c r="B353" s="65"/>
      <c r="C353" s="65"/>
      <c r="D353" s="32"/>
      <c r="E353" s="32"/>
      <c r="F353" s="32"/>
      <c r="G353" s="66"/>
      <c r="H353" s="67"/>
      <c r="I353" s="67"/>
      <c r="J353" s="67"/>
      <c r="K353" s="68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</row>
    <row r="354" ht="15.75" customHeight="1">
      <c r="A354" s="32"/>
      <c r="B354" s="65"/>
      <c r="C354" s="65"/>
      <c r="D354" s="32"/>
      <c r="E354" s="32"/>
      <c r="F354" s="32"/>
      <c r="G354" s="66"/>
      <c r="H354" s="67"/>
      <c r="I354" s="67"/>
      <c r="J354" s="67"/>
      <c r="K354" s="68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</row>
    <row r="355" ht="15.75" customHeight="1">
      <c r="A355" s="32"/>
      <c r="B355" s="65"/>
      <c r="C355" s="65"/>
      <c r="D355" s="32"/>
      <c r="E355" s="32"/>
      <c r="F355" s="32"/>
      <c r="G355" s="66"/>
      <c r="H355" s="67"/>
      <c r="I355" s="67"/>
      <c r="J355" s="67"/>
      <c r="K355" s="68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</row>
    <row r="356" ht="15.75" customHeight="1">
      <c r="A356" s="32"/>
      <c r="B356" s="65"/>
      <c r="C356" s="65"/>
      <c r="D356" s="32"/>
      <c r="E356" s="32"/>
      <c r="F356" s="32"/>
      <c r="G356" s="66"/>
      <c r="H356" s="67"/>
      <c r="I356" s="67"/>
      <c r="J356" s="67"/>
      <c r="K356" s="68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</row>
    <row r="357" ht="15.75" customHeight="1">
      <c r="A357" s="32"/>
      <c r="B357" s="65"/>
      <c r="C357" s="65"/>
      <c r="D357" s="32"/>
      <c r="E357" s="32"/>
      <c r="F357" s="32"/>
      <c r="G357" s="66"/>
      <c r="H357" s="67"/>
      <c r="I357" s="67"/>
      <c r="J357" s="67"/>
      <c r="K357" s="68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</row>
    <row r="358" ht="15.75" customHeight="1">
      <c r="A358" s="32"/>
      <c r="B358" s="65"/>
      <c r="C358" s="65"/>
      <c r="D358" s="32"/>
      <c r="E358" s="32"/>
      <c r="F358" s="32"/>
      <c r="G358" s="66"/>
      <c r="H358" s="67"/>
      <c r="I358" s="67"/>
      <c r="J358" s="67"/>
      <c r="K358" s="68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</row>
    <row r="359" ht="15.75" customHeight="1">
      <c r="A359" s="32"/>
      <c r="B359" s="65"/>
      <c r="C359" s="65"/>
      <c r="D359" s="32"/>
      <c r="E359" s="32"/>
      <c r="F359" s="32"/>
      <c r="G359" s="66"/>
      <c r="H359" s="67"/>
      <c r="I359" s="67"/>
      <c r="J359" s="67"/>
      <c r="K359" s="68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</row>
    <row r="360" ht="15.75" customHeight="1">
      <c r="A360" s="32"/>
      <c r="B360" s="65"/>
      <c r="C360" s="65"/>
      <c r="D360" s="32"/>
      <c r="E360" s="32"/>
      <c r="F360" s="32"/>
      <c r="G360" s="66"/>
      <c r="H360" s="67"/>
      <c r="I360" s="67"/>
      <c r="J360" s="67"/>
      <c r="K360" s="68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</row>
    <row r="361" ht="15.75" customHeight="1">
      <c r="A361" s="32"/>
      <c r="B361" s="65"/>
      <c r="C361" s="65"/>
      <c r="D361" s="32"/>
      <c r="E361" s="32"/>
      <c r="F361" s="32"/>
      <c r="G361" s="66"/>
      <c r="H361" s="67"/>
      <c r="I361" s="67"/>
      <c r="J361" s="67"/>
      <c r="K361" s="68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</row>
    <row r="362" ht="15.75" customHeight="1">
      <c r="A362" s="32"/>
      <c r="B362" s="65"/>
      <c r="C362" s="65"/>
      <c r="D362" s="32"/>
      <c r="E362" s="32"/>
      <c r="F362" s="32"/>
      <c r="G362" s="66"/>
      <c r="H362" s="67"/>
      <c r="I362" s="67"/>
      <c r="J362" s="67"/>
      <c r="K362" s="68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</row>
    <row r="363" ht="15.75" customHeight="1">
      <c r="A363" s="32"/>
      <c r="B363" s="65"/>
      <c r="C363" s="65"/>
      <c r="D363" s="32"/>
      <c r="E363" s="32"/>
      <c r="F363" s="32"/>
      <c r="G363" s="66"/>
      <c r="H363" s="67"/>
      <c r="I363" s="67"/>
      <c r="J363" s="67"/>
      <c r="K363" s="68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</row>
    <row r="364" ht="15.75" customHeight="1">
      <c r="A364" s="32"/>
      <c r="B364" s="65"/>
      <c r="C364" s="65"/>
      <c r="D364" s="32"/>
      <c r="E364" s="32"/>
      <c r="F364" s="32"/>
      <c r="G364" s="66"/>
      <c r="H364" s="67"/>
      <c r="I364" s="67"/>
      <c r="J364" s="67"/>
      <c r="K364" s="68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</row>
    <row r="365" ht="15.75" customHeight="1">
      <c r="A365" s="32"/>
      <c r="B365" s="65"/>
      <c r="C365" s="65"/>
      <c r="D365" s="32"/>
      <c r="E365" s="32"/>
      <c r="F365" s="32"/>
      <c r="G365" s="66"/>
      <c r="H365" s="67"/>
      <c r="I365" s="67"/>
      <c r="J365" s="67"/>
      <c r="K365" s="68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</row>
    <row r="366" ht="15.75" customHeight="1">
      <c r="A366" s="32"/>
      <c r="B366" s="65"/>
      <c r="C366" s="65"/>
      <c r="D366" s="32"/>
      <c r="E366" s="32"/>
      <c r="F366" s="32"/>
      <c r="G366" s="66"/>
      <c r="H366" s="67"/>
      <c r="I366" s="67"/>
      <c r="J366" s="67"/>
      <c r="K366" s="68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</row>
    <row r="367" ht="15.75" customHeight="1">
      <c r="A367" s="32"/>
      <c r="B367" s="65"/>
      <c r="C367" s="65"/>
      <c r="D367" s="32"/>
      <c r="E367" s="32"/>
      <c r="F367" s="32"/>
      <c r="G367" s="66"/>
      <c r="H367" s="67"/>
      <c r="I367" s="67"/>
      <c r="J367" s="67"/>
      <c r="K367" s="68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</row>
    <row r="368" ht="15.75" customHeight="1">
      <c r="A368" s="32"/>
      <c r="B368" s="65"/>
      <c r="C368" s="65"/>
      <c r="D368" s="32"/>
      <c r="E368" s="32"/>
      <c r="F368" s="32"/>
      <c r="G368" s="66"/>
      <c r="H368" s="67"/>
      <c r="I368" s="67"/>
      <c r="J368" s="67"/>
      <c r="K368" s="68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</row>
    <row r="369" ht="15.75" customHeight="1">
      <c r="A369" s="32"/>
      <c r="B369" s="65"/>
      <c r="C369" s="65"/>
      <c r="D369" s="32"/>
      <c r="E369" s="32"/>
      <c r="F369" s="32"/>
      <c r="G369" s="66"/>
      <c r="H369" s="67"/>
      <c r="I369" s="67"/>
      <c r="J369" s="67"/>
      <c r="K369" s="68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</row>
    <row r="370" ht="15.75" customHeight="1">
      <c r="A370" s="32"/>
      <c r="B370" s="65"/>
      <c r="C370" s="65"/>
      <c r="D370" s="32"/>
      <c r="E370" s="32"/>
      <c r="F370" s="32"/>
      <c r="G370" s="66"/>
      <c r="H370" s="67"/>
      <c r="I370" s="67"/>
      <c r="J370" s="67"/>
      <c r="K370" s="68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</row>
    <row r="371" ht="15.75" customHeight="1">
      <c r="A371" s="32"/>
      <c r="B371" s="65"/>
      <c r="C371" s="65"/>
      <c r="D371" s="32"/>
      <c r="E371" s="32"/>
      <c r="F371" s="32"/>
      <c r="G371" s="66"/>
      <c r="H371" s="67"/>
      <c r="I371" s="67"/>
      <c r="J371" s="67"/>
      <c r="K371" s="68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</row>
    <row r="372" ht="15.75" customHeight="1">
      <c r="A372" s="32"/>
      <c r="B372" s="65"/>
      <c r="C372" s="65"/>
      <c r="D372" s="32"/>
      <c r="E372" s="32"/>
      <c r="F372" s="32"/>
      <c r="G372" s="66"/>
      <c r="H372" s="67"/>
      <c r="I372" s="67"/>
      <c r="J372" s="67"/>
      <c r="K372" s="68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</row>
    <row r="373" ht="15.75" customHeight="1">
      <c r="A373" s="32"/>
      <c r="B373" s="65"/>
      <c r="C373" s="65"/>
      <c r="D373" s="32"/>
      <c r="E373" s="32"/>
      <c r="F373" s="32"/>
      <c r="G373" s="66"/>
      <c r="H373" s="67"/>
      <c r="I373" s="67"/>
      <c r="J373" s="67"/>
      <c r="K373" s="68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</row>
    <row r="374" ht="15.75" customHeight="1">
      <c r="A374" s="32"/>
      <c r="B374" s="65"/>
      <c r="C374" s="65"/>
      <c r="D374" s="32"/>
      <c r="E374" s="32"/>
      <c r="F374" s="32"/>
      <c r="G374" s="66"/>
      <c r="H374" s="67"/>
      <c r="I374" s="67"/>
      <c r="J374" s="67"/>
      <c r="K374" s="68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</row>
    <row r="375" ht="15.75" customHeight="1">
      <c r="A375" s="32"/>
      <c r="B375" s="65"/>
      <c r="C375" s="65"/>
      <c r="D375" s="32"/>
      <c r="E375" s="32"/>
      <c r="F375" s="32"/>
      <c r="G375" s="66"/>
      <c r="H375" s="67"/>
      <c r="I375" s="67"/>
      <c r="J375" s="67"/>
      <c r="K375" s="68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</row>
    <row r="376" ht="15.75" customHeight="1">
      <c r="A376" s="32"/>
      <c r="B376" s="65"/>
      <c r="C376" s="65"/>
      <c r="D376" s="32"/>
      <c r="E376" s="32"/>
      <c r="F376" s="32"/>
      <c r="G376" s="66"/>
      <c r="H376" s="67"/>
      <c r="I376" s="67"/>
      <c r="J376" s="67"/>
      <c r="K376" s="68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</row>
    <row r="377" ht="15.75" customHeight="1">
      <c r="A377" s="32"/>
      <c r="B377" s="65"/>
      <c r="C377" s="65"/>
      <c r="D377" s="32"/>
      <c r="E377" s="32"/>
      <c r="F377" s="32"/>
      <c r="G377" s="66"/>
      <c r="H377" s="67"/>
      <c r="I377" s="67"/>
      <c r="J377" s="67"/>
      <c r="K377" s="68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</row>
    <row r="378" ht="15.75" customHeight="1">
      <c r="A378" s="32"/>
      <c r="B378" s="65"/>
      <c r="C378" s="65"/>
      <c r="D378" s="32"/>
      <c r="E378" s="32"/>
      <c r="F378" s="32"/>
      <c r="G378" s="66"/>
      <c r="H378" s="67"/>
      <c r="I378" s="67"/>
      <c r="J378" s="67"/>
      <c r="K378" s="68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</row>
    <row r="379" ht="15.75" customHeight="1">
      <c r="A379" s="32"/>
      <c r="B379" s="65"/>
      <c r="C379" s="65"/>
      <c r="D379" s="32"/>
      <c r="E379" s="32"/>
      <c r="F379" s="32"/>
      <c r="G379" s="66"/>
      <c r="H379" s="67"/>
      <c r="I379" s="67"/>
      <c r="J379" s="67"/>
      <c r="K379" s="68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</row>
    <row r="380" ht="15.75" customHeight="1">
      <c r="A380" s="32"/>
      <c r="B380" s="65"/>
      <c r="C380" s="65"/>
      <c r="D380" s="32"/>
      <c r="E380" s="32"/>
      <c r="F380" s="32"/>
      <c r="G380" s="66"/>
      <c r="H380" s="67"/>
      <c r="I380" s="67"/>
      <c r="J380" s="67"/>
      <c r="K380" s="68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</row>
    <row r="381" ht="15.75" customHeight="1">
      <c r="A381" s="32"/>
      <c r="B381" s="65"/>
      <c r="C381" s="65"/>
      <c r="D381" s="32"/>
      <c r="E381" s="32"/>
      <c r="F381" s="32"/>
      <c r="G381" s="66"/>
      <c r="H381" s="67"/>
      <c r="I381" s="67"/>
      <c r="J381" s="67"/>
      <c r="K381" s="68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</row>
    <row r="382" ht="15.75" customHeight="1">
      <c r="A382" s="32"/>
      <c r="B382" s="65"/>
      <c r="C382" s="65"/>
      <c r="D382" s="32"/>
      <c r="E382" s="32"/>
      <c r="F382" s="32"/>
      <c r="G382" s="66"/>
      <c r="H382" s="67"/>
      <c r="I382" s="67"/>
      <c r="J382" s="67"/>
      <c r="K382" s="68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</row>
    <row r="383" ht="15.75" customHeight="1">
      <c r="A383" s="32"/>
      <c r="B383" s="65"/>
      <c r="C383" s="65"/>
      <c r="D383" s="32"/>
      <c r="E383" s="32"/>
      <c r="F383" s="32"/>
      <c r="G383" s="66"/>
      <c r="H383" s="67"/>
      <c r="I383" s="67"/>
      <c r="J383" s="67"/>
      <c r="K383" s="68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</row>
    <row r="384" ht="15.75" customHeight="1">
      <c r="A384" s="32"/>
      <c r="B384" s="65"/>
      <c r="C384" s="65"/>
      <c r="D384" s="32"/>
      <c r="E384" s="32"/>
      <c r="F384" s="32"/>
      <c r="G384" s="66"/>
      <c r="H384" s="67"/>
      <c r="I384" s="67"/>
      <c r="J384" s="67"/>
      <c r="K384" s="68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</row>
    <row r="385" ht="15.75" customHeight="1">
      <c r="A385" s="32"/>
      <c r="B385" s="65"/>
      <c r="C385" s="65"/>
      <c r="D385" s="32"/>
      <c r="E385" s="32"/>
      <c r="F385" s="32"/>
      <c r="G385" s="66"/>
      <c r="H385" s="67"/>
      <c r="I385" s="67"/>
      <c r="J385" s="67"/>
      <c r="K385" s="68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</row>
    <row r="386" ht="15.75" customHeight="1">
      <c r="A386" s="32"/>
      <c r="B386" s="65"/>
      <c r="C386" s="65"/>
      <c r="D386" s="32"/>
      <c r="E386" s="32"/>
      <c r="F386" s="32"/>
      <c r="G386" s="66"/>
      <c r="H386" s="67"/>
      <c r="I386" s="67"/>
      <c r="J386" s="67"/>
      <c r="K386" s="68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</row>
    <row r="387" ht="15.75" customHeight="1">
      <c r="A387" s="32"/>
      <c r="B387" s="65"/>
      <c r="C387" s="65"/>
      <c r="D387" s="32"/>
      <c r="E387" s="32"/>
      <c r="F387" s="32"/>
      <c r="G387" s="66"/>
      <c r="H387" s="67"/>
      <c r="I387" s="67"/>
      <c r="J387" s="67"/>
      <c r="K387" s="68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</row>
    <row r="388" ht="15.75" customHeight="1">
      <c r="A388" s="32"/>
      <c r="B388" s="65"/>
      <c r="C388" s="65"/>
      <c r="D388" s="32"/>
      <c r="E388" s="32"/>
      <c r="F388" s="32"/>
      <c r="G388" s="66"/>
      <c r="H388" s="67"/>
      <c r="I388" s="67"/>
      <c r="J388" s="67"/>
      <c r="K388" s="68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</row>
    <row r="389" ht="15.75" customHeight="1">
      <c r="A389" s="32"/>
      <c r="B389" s="65"/>
      <c r="C389" s="65"/>
      <c r="D389" s="32"/>
      <c r="E389" s="32"/>
      <c r="F389" s="32"/>
      <c r="G389" s="66"/>
      <c r="H389" s="67"/>
      <c r="I389" s="67"/>
      <c r="J389" s="67"/>
      <c r="K389" s="68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</row>
    <row r="390" ht="15.75" customHeight="1">
      <c r="A390" s="32"/>
      <c r="B390" s="65"/>
      <c r="C390" s="65"/>
      <c r="D390" s="32"/>
      <c r="E390" s="32"/>
      <c r="F390" s="32"/>
      <c r="G390" s="66"/>
      <c r="H390" s="67"/>
      <c r="I390" s="67"/>
      <c r="J390" s="67"/>
      <c r="K390" s="68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</row>
    <row r="391" ht="15.75" customHeight="1">
      <c r="A391" s="32"/>
      <c r="B391" s="65"/>
      <c r="C391" s="65"/>
      <c r="D391" s="32"/>
      <c r="E391" s="32"/>
      <c r="F391" s="32"/>
      <c r="G391" s="66"/>
      <c r="H391" s="67"/>
      <c r="I391" s="67"/>
      <c r="J391" s="67"/>
      <c r="K391" s="68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</row>
    <row r="392" ht="15.75" customHeight="1">
      <c r="A392" s="32"/>
      <c r="B392" s="65"/>
      <c r="C392" s="65"/>
      <c r="D392" s="32"/>
      <c r="E392" s="32"/>
      <c r="F392" s="32"/>
      <c r="G392" s="66"/>
      <c r="H392" s="67"/>
      <c r="I392" s="67"/>
      <c r="J392" s="67"/>
      <c r="K392" s="68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</row>
    <row r="393" ht="15.75" customHeight="1">
      <c r="A393" s="32"/>
      <c r="B393" s="65"/>
      <c r="C393" s="65"/>
      <c r="D393" s="32"/>
      <c r="E393" s="32"/>
      <c r="F393" s="32"/>
      <c r="G393" s="66"/>
      <c r="H393" s="67"/>
      <c r="I393" s="67"/>
      <c r="J393" s="67"/>
      <c r="K393" s="68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</row>
    <row r="394" ht="15.75" customHeight="1">
      <c r="A394" s="32"/>
      <c r="B394" s="65"/>
      <c r="C394" s="65"/>
      <c r="D394" s="32"/>
      <c r="E394" s="32"/>
      <c r="F394" s="32"/>
      <c r="G394" s="66"/>
      <c r="H394" s="67"/>
      <c r="I394" s="67"/>
      <c r="J394" s="67"/>
      <c r="K394" s="68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</row>
    <row r="395" ht="15.75" customHeight="1">
      <c r="A395" s="32"/>
      <c r="B395" s="65"/>
      <c r="C395" s="65"/>
      <c r="D395" s="32"/>
      <c r="E395" s="32"/>
      <c r="F395" s="32"/>
      <c r="G395" s="66"/>
      <c r="H395" s="67"/>
      <c r="I395" s="67"/>
      <c r="J395" s="67"/>
      <c r="K395" s="68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</row>
    <row r="396" ht="15.75" customHeight="1">
      <c r="A396" s="32"/>
      <c r="B396" s="65"/>
      <c r="C396" s="65"/>
      <c r="D396" s="32"/>
      <c r="E396" s="32"/>
      <c r="F396" s="32"/>
      <c r="G396" s="66"/>
      <c r="H396" s="67"/>
      <c r="I396" s="67"/>
      <c r="J396" s="67"/>
      <c r="K396" s="68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</row>
    <row r="397" ht="15.75" customHeight="1">
      <c r="A397" s="32"/>
      <c r="B397" s="65"/>
      <c r="C397" s="65"/>
      <c r="D397" s="32"/>
      <c r="E397" s="32"/>
      <c r="F397" s="32"/>
      <c r="G397" s="66"/>
      <c r="H397" s="67"/>
      <c r="I397" s="67"/>
      <c r="J397" s="67"/>
      <c r="K397" s="68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</row>
    <row r="398" ht="15.75" customHeight="1">
      <c r="A398" s="32"/>
      <c r="B398" s="65"/>
      <c r="C398" s="65"/>
      <c r="D398" s="32"/>
      <c r="E398" s="32"/>
      <c r="F398" s="32"/>
      <c r="G398" s="66"/>
      <c r="H398" s="67"/>
      <c r="I398" s="67"/>
      <c r="J398" s="67"/>
      <c r="K398" s="68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</row>
    <row r="399" ht="15.75" customHeight="1">
      <c r="A399" s="32"/>
      <c r="B399" s="65"/>
      <c r="C399" s="65"/>
      <c r="D399" s="32"/>
      <c r="E399" s="32"/>
      <c r="F399" s="32"/>
      <c r="G399" s="66"/>
      <c r="H399" s="67"/>
      <c r="I399" s="67"/>
      <c r="J399" s="67"/>
      <c r="K399" s="68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</row>
    <row r="400" ht="15.75" customHeight="1">
      <c r="A400" s="32"/>
      <c r="B400" s="65"/>
      <c r="C400" s="65"/>
      <c r="D400" s="32"/>
      <c r="E400" s="32"/>
      <c r="F400" s="32"/>
      <c r="G400" s="66"/>
      <c r="H400" s="67"/>
      <c r="I400" s="67"/>
      <c r="J400" s="67"/>
      <c r="K400" s="68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</row>
    <row r="401" ht="15.75" customHeight="1">
      <c r="A401" s="32"/>
      <c r="B401" s="65"/>
      <c r="C401" s="65"/>
      <c r="D401" s="32"/>
      <c r="E401" s="32"/>
      <c r="F401" s="32"/>
      <c r="G401" s="66"/>
      <c r="H401" s="67"/>
      <c r="I401" s="67"/>
      <c r="J401" s="67"/>
      <c r="K401" s="68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</row>
    <row r="402" ht="15.75" customHeight="1">
      <c r="A402" s="32"/>
      <c r="B402" s="65"/>
      <c r="C402" s="65"/>
      <c r="D402" s="32"/>
      <c r="E402" s="32"/>
      <c r="F402" s="32"/>
      <c r="G402" s="66"/>
      <c r="H402" s="67"/>
      <c r="I402" s="67"/>
      <c r="J402" s="67"/>
      <c r="K402" s="68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</row>
    <row r="403" ht="15.75" customHeight="1">
      <c r="A403" s="32"/>
      <c r="B403" s="65"/>
      <c r="C403" s="65"/>
      <c r="D403" s="32"/>
      <c r="E403" s="32"/>
      <c r="F403" s="32"/>
      <c r="G403" s="66"/>
      <c r="H403" s="67"/>
      <c r="I403" s="67"/>
      <c r="J403" s="67"/>
      <c r="K403" s="68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</row>
    <row r="404" ht="15.75" customHeight="1">
      <c r="A404" s="32"/>
      <c r="B404" s="65"/>
      <c r="C404" s="65"/>
      <c r="D404" s="32"/>
      <c r="E404" s="32"/>
      <c r="F404" s="32"/>
      <c r="G404" s="66"/>
      <c r="H404" s="67"/>
      <c r="I404" s="67"/>
      <c r="J404" s="67"/>
      <c r="K404" s="68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</row>
    <row r="405" ht="15.75" customHeight="1">
      <c r="A405" s="32"/>
      <c r="B405" s="65"/>
      <c r="C405" s="65"/>
      <c r="D405" s="32"/>
      <c r="E405" s="32"/>
      <c r="F405" s="32"/>
      <c r="G405" s="66"/>
      <c r="H405" s="67"/>
      <c r="I405" s="67"/>
      <c r="J405" s="67"/>
      <c r="K405" s="68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</row>
    <row r="406" ht="15.75" customHeight="1">
      <c r="A406" s="32"/>
      <c r="B406" s="65"/>
      <c r="C406" s="65"/>
      <c r="D406" s="32"/>
      <c r="E406" s="32"/>
      <c r="F406" s="32"/>
      <c r="G406" s="66"/>
      <c r="H406" s="67"/>
      <c r="I406" s="67"/>
      <c r="J406" s="67"/>
      <c r="K406" s="68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</row>
    <row r="407" ht="15.75" customHeight="1">
      <c r="A407" s="32"/>
      <c r="B407" s="65"/>
      <c r="C407" s="65"/>
      <c r="D407" s="32"/>
      <c r="E407" s="32"/>
      <c r="F407" s="32"/>
      <c r="G407" s="66"/>
      <c r="H407" s="67"/>
      <c r="I407" s="67"/>
      <c r="J407" s="67"/>
      <c r="K407" s="68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</row>
    <row r="408" ht="15.75" customHeight="1">
      <c r="A408" s="32"/>
      <c r="B408" s="65"/>
      <c r="C408" s="65"/>
      <c r="D408" s="32"/>
      <c r="E408" s="32"/>
      <c r="F408" s="32"/>
      <c r="G408" s="66"/>
      <c r="H408" s="67"/>
      <c r="I408" s="67"/>
      <c r="J408" s="67"/>
      <c r="K408" s="68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</row>
    <row r="409" ht="15.75" customHeight="1">
      <c r="A409" s="32"/>
      <c r="B409" s="65"/>
      <c r="C409" s="65"/>
      <c r="D409" s="32"/>
      <c r="E409" s="32"/>
      <c r="F409" s="32"/>
      <c r="G409" s="66"/>
      <c r="H409" s="67"/>
      <c r="I409" s="67"/>
      <c r="J409" s="67"/>
      <c r="K409" s="68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</row>
    <row r="410" ht="15.75" customHeight="1">
      <c r="A410" s="32"/>
      <c r="B410" s="65"/>
      <c r="C410" s="65"/>
      <c r="D410" s="32"/>
      <c r="E410" s="32"/>
      <c r="F410" s="32"/>
      <c r="G410" s="66"/>
      <c r="H410" s="67"/>
      <c r="I410" s="67"/>
      <c r="J410" s="67"/>
      <c r="K410" s="68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</row>
    <row r="411" ht="15.75" customHeight="1">
      <c r="A411" s="32"/>
      <c r="B411" s="65"/>
      <c r="C411" s="65"/>
      <c r="D411" s="32"/>
      <c r="E411" s="32"/>
      <c r="F411" s="32"/>
      <c r="G411" s="66"/>
      <c r="H411" s="67"/>
      <c r="I411" s="67"/>
      <c r="J411" s="67"/>
      <c r="K411" s="68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</row>
    <row r="412" ht="15.75" customHeight="1">
      <c r="A412" s="32"/>
      <c r="B412" s="65"/>
      <c r="C412" s="65"/>
      <c r="D412" s="32"/>
      <c r="E412" s="32"/>
      <c r="F412" s="32"/>
      <c r="G412" s="66"/>
      <c r="H412" s="67"/>
      <c r="I412" s="67"/>
      <c r="J412" s="67"/>
      <c r="K412" s="68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</row>
    <row r="413" ht="15.75" customHeight="1">
      <c r="A413" s="32"/>
      <c r="B413" s="65"/>
      <c r="C413" s="65"/>
      <c r="D413" s="32"/>
      <c r="E413" s="32"/>
      <c r="F413" s="32"/>
      <c r="G413" s="66"/>
      <c r="H413" s="67"/>
      <c r="I413" s="67"/>
      <c r="J413" s="67"/>
      <c r="K413" s="68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</row>
    <row r="414" ht="15.75" customHeight="1">
      <c r="A414" s="32"/>
      <c r="B414" s="65"/>
      <c r="C414" s="65"/>
      <c r="D414" s="32"/>
      <c r="E414" s="32"/>
      <c r="F414" s="32"/>
      <c r="G414" s="66"/>
      <c r="H414" s="67"/>
      <c r="I414" s="67"/>
      <c r="J414" s="67"/>
      <c r="K414" s="68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</row>
    <row r="415" ht="15.75" customHeight="1">
      <c r="A415" s="32"/>
      <c r="B415" s="65"/>
      <c r="C415" s="65"/>
      <c r="D415" s="32"/>
      <c r="E415" s="32"/>
      <c r="F415" s="32"/>
      <c r="G415" s="66"/>
      <c r="H415" s="67"/>
      <c r="I415" s="67"/>
      <c r="J415" s="67"/>
      <c r="K415" s="68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</row>
    <row r="416" ht="15.75" customHeight="1">
      <c r="A416" s="32"/>
      <c r="B416" s="65"/>
      <c r="C416" s="65"/>
      <c r="D416" s="32"/>
      <c r="E416" s="32"/>
      <c r="F416" s="32"/>
      <c r="G416" s="66"/>
      <c r="H416" s="67"/>
      <c r="I416" s="67"/>
      <c r="J416" s="67"/>
      <c r="K416" s="68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</row>
    <row r="417" ht="15.75" customHeight="1">
      <c r="A417" s="32"/>
      <c r="B417" s="65"/>
      <c r="C417" s="65"/>
      <c r="D417" s="32"/>
      <c r="E417" s="32"/>
      <c r="F417" s="32"/>
      <c r="G417" s="66"/>
      <c r="H417" s="67"/>
      <c r="I417" s="67"/>
      <c r="J417" s="67"/>
      <c r="K417" s="68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</row>
    <row r="418" ht="15.75" customHeight="1">
      <c r="A418" s="32"/>
      <c r="B418" s="65"/>
      <c r="C418" s="65"/>
      <c r="D418" s="32"/>
      <c r="E418" s="32"/>
      <c r="F418" s="32"/>
      <c r="G418" s="66"/>
      <c r="H418" s="67"/>
      <c r="I418" s="67"/>
      <c r="J418" s="67"/>
      <c r="K418" s="68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</row>
    <row r="419" ht="15.75" customHeight="1">
      <c r="A419" s="32"/>
      <c r="B419" s="65"/>
      <c r="C419" s="65"/>
      <c r="D419" s="32"/>
      <c r="E419" s="32"/>
      <c r="F419" s="32"/>
      <c r="G419" s="66"/>
      <c r="H419" s="67"/>
      <c r="I419" s="67"/>
      <c r="J419" s="67"/>
      <c r="K419" s="68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</row>
    <row r="420" ht="15.75" customHeight="1">
      <c r="A420" s="32"/>
      <c r="B420" s="65"/>
      <c r="C420" s="65"/>
      <c r="D420" s="32"/>
      <c r="E420" s="32"/>
      <c r="F420" s="32"/>
      <c r="G420" s="66"/>
      <c r="H420" s="67"/>
      <c r="I420" s="67"/>
      <c r="J420" s="67"/>
      <c r="K420" s="68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</row>
    <row r="421" ht="15.75" customHeight="1">
      <c r="A421" s="32"/>
      <c r="B421" s="65"/>
      <c r="C421" s="65"/>
      <c r="D421" s="32"/>
      <c r="E421" s="32"/>
      <c r="F421" s="32"/>
      <c r="G421" s="66"/>
      <c r="H421" s="67"/>
      <c r="I421" s="67"/>
      <c r="J421" s="67"/>
      <c r="K421" s="68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</row>
    <row r="422" ht="15.75" customHeight="1">
      <c r="A422" s="32"/>
      <c r="B422" s="65"/>
      <c r="C422" s="65"/>
      <c r="D422" s="32"/>
      <c r="E422" s="32"/>
      <c r="F422" s="32"/>
      <c r="G422" s="66"/>
      <c r="H422" s="67"/>
      <c r="I422" s="67"/>
      <c r="J422" s="67"/>
      <c r="K422" s="68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</row>
    <row r="423" ht="15.75" customHeight="1">
      <c r="A423" s="32"/>
      <c r="B423" s="65"/>
      <c r="C423" s="65"/>
      <c r="D423" s="32"/>
      <c r="E423" s="32"/>
      <c r="F423" s="32"/>
      <c r="G423" s="66"/>
      <c r="H423" s="67"/>
      <c r="I423" s="67"/>
      <c r="J423" s="67"/>
      <c r="K423" s="68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</row>
    <row r="424" ht="15.75" customHeight="1">
      <c r="A424" s="32"/>
      <c r="B424" s="65"/>
      <c r="C424" s="65"/>
      <c r="D424" s="32"/>
      <c r="E424" s="32"/>
      <c r="F424" s="32"/>
      <c r="G424" s="66"/>
      <c r="H424" s="67"/>
      <c r="I424" s="67"/>
      <c r="J424" s="67"/>
      <c r="K424" s="68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</row>
    <row r="425" ht="15.75" customHeight="1">
      <c r="A425" s="32"/>
      <c r="B425" s="65"/>
      <c r="C425" s="65"/>
      <c r="D425" s="32"/>
      <c r="E425" s="32"/>
      <c r="F425" s="32"/>
      <c r="G425" s="66"/>
      <c r="H425" s="67"/>
      <c r="I425" s="67"/>
      <c r="J425" s="67"/>
      <c r="K425" s="68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</row>
    <row r="426" ht="15.75" customHeight="1">
      <c r="A426" s="32"/>
      <c r="B426" s="65"/>
      <c r="C426" s="65"/>
      <c r="D426" s="32"/>
      <c r="E426" s="32"/>
      <c r="F426" s="32"/>
      <c r="G426" s="66"/>
      <c r="H426" s="67"/>
      <c r="I426" s="67"/>
      <c r="J426" s="67"/>
      <c r="K426" s="68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</row>
    <row r="427" ht="15.75" customHeight="1">
      <c r="A427" s="32"/>
      <c r="B427" s="65"/>
      <c r="C427" s="65"/>
      <c r="D427" s="32"/>
      <c r="E427" s="32"/>
      <c r="F427" s="32"/>
      <c r="G427" s="66"/>
      <c r="H427" s="67"/>
      <c r="I427" s="67"/>
      <c r="J427" s="67"/>
      <c r="K427" s="68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</row>
    <row r="428" ht="15.75" customHeight="1">
      <c r="A428" s="32"/>
      <c r="B428" s="65"/>
      <c r="C428" s="65"/>
      <c r="D428" s="32"/>
      <c r="E428" s="32"/>
      <c r="F428" s="32"/>
      <c r="G428" s="66"/>
      <c r="H428" s="67"/>
      <c r="I428" s="67"/>
      <c r="J428" s="67"/>
      <c r="K428" s="68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</row>
    <row r="429" ht="15.75" customHeight="1">
      <c r="A429" s="32"/>
      <c r="B429" s="65"/>
      <c r="C429" s="65"/>
      <c r="D429" s="32"/>
      <c r="E429" s="32"/>
      <c r="F429" s="32"/>
      <c r="G429" s="66"/>
      <c r="H429" s="67"/>
      <c r="I429" s="67"/>
      <c r="J429" s="67"/>
      <c r="K429" s="68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</row>
    <row r="430" ht="15.75" customHeight="1">
      <c r="A430" s="32"/>
      <c r="B430" s="65"/>
      <c r="C430" s="65"/>
      <c r="D430" s="32"/>
      <c r="E430" s="32"/>
      <c r="F430" s="32"/>
      <c r="G430" s="66"/>
      <c r="H430" s="67"/>
      <c r="I430" s="67"/>
      <c r="J430" s="67"/>
      <c r="K430" s="68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</row>
    <row r="431" ht="15.75" customHeight="1">
      <c r="A431" s="32"/>
      <c r="B431" s="65"/>
      <c r="C431" s="65"/>
      <c r="D431" s="32"/>
      <c r="E431" s="32"/>
      <c r="F431" s="32"/>
      <c r="G431" s="66"/>
      <c r="H431" s="67"/>
      <c r="I431" s="67"/>
      <c r="J431" s="67"/>
      <c r="K431" s="68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</row>
    <row r="432" ht="15.75" customHeight="1">
      <c r="A432" s="32"/>
      <c r="B432" s="65"/>
      <c r="C432" s="65"/>
      <c r="D432" s="32"/>
      <c r="E432" s="32"/>
      <c r="F432" s="32"/>
      <c r="G432" s="66"/>
      <c r="H432" s="67"/>
      <c r="I432" s="67"/>
      <c r="J432" s="67"/>
      <c r="K432" s="68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</row>
    <row r="433" ht="15.75" customHeight="1">
      <c r="A433" s="32"/>
      <c r="B433" s="65"/>
      <c r="C433" s="65"/>
      <c r="D433" s="32"/>
      <c r="E433" s="32"/>
      <c r="F433" s="32"/>
      <c r="G433" s="66"/>
      <c r="H433" s="67"/>
      <c r="I433" s="67"/>
      <c r="J433" s="67"/>
      <c r="K433" s="68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</row>
    <row r="434" ht="15.75" customHeight="1">
      <c r="A434" s="32"/>
      <c r="B434" s="65"/>
      <c r="C434" s="65"/>
      <c r="D434" s="32"/>
      <c r="E434" s="32"/>
      <c r="F434" s="32"/>
      <c r="G434" s="66"/>
      <c r="H434" s="67"/>
      <c r="I434" s="67"/>
      <c r="J434" s="67"/>
      <c r="K434" s="68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</row>
    <row r="435" ht="15.75" customHeight="1">
      <c r="A435" s="32"/>
      <c r="B435" s="65"/>
      <c r="C435" s="65"/>
      <c r="D435" s="32"/>
      <c r="E435" s="32"/>
      <c r="F435" s="32"/>
      <c r="G435" s="66"/>
      <c r="H435" s="67"/>
      <c r="I435" s="67"/>
      <c r="J435" s="67"/>
      <c r="K435" s="68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</row>
    <row r="436" ht="15.75" customHeight="1">
      <c r="A436" s="32"/>
      <c r="B436" s="65"/>
      <c r="C436" s="65"/>
      <c r="D436" s="32"/>
      <c r="E436" s="32"/>
      <c r="F436" s="32"/>
      <c r="G436" s="66"/>
      <c r="H436" s="67"/>
      <c r="I436" s="67"/>
      <c r="J436" s="67"/>
      <c r="K436" s="68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</row>
    <row r="437" ht="15.75" customHeight="1">
      <c r="A437" s="32"/>
      <c r="B437" s="65"/>
      <c r="C437" s="65"/>
      <c r="D437" s="32"/>
      <c r="E437" s="32"/>
      <c r="F437" s="32"/>
      <c r="G437" s="66"/>
      <c r="H437" s="67"/>
      <c r="I437" s="67"/>
      <c r="J437" s="67"/>
      <c r="K437" s="68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</row>
    <row r="438" ht="15.75" customHeight="1">
      <c r="A438" s="32"/>
      <c r="B438" s="65"/>
      <c r="C438" s="65"/>
      <c r="D438" s="32"/>
      <c r="E438" s="32"/>
      <c r="F438" s="32"/>
      <c r="G438" s="66"/>
      <c r="H438" s="67"/>
      <c r="I438" s="67"/>
      <c r="J438" s="67"/>
      <c r="K438" s="68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</row>
    <row r="439" ht="15.75" customHeight="1">
      <c r="A439" s="32"/>
      <c r="B439" s="65"/>
      <c r="C439" s="65"/>
      <c r="D439" s="32"/>
      <c r="E439" s="32"/>
      <c r="F439" s="32"/>
      <c r="G439" s="66"/>
      <c r="H439" s="67"/>
      <c r="I439" s="67"/>
      <c r="J439" s="67"/>
      <c r="K439" s="68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</row>
    <row r="440" ht="15.75" customHeight="1">
      <c r="A440" s="32"/>
      <c r="B440" s="65"/>
      <c r="C440" s="65"/>
      <c r="D440" s="32"/>
      <c r="E440" s="32"/>
      <c r="F440" s="32"/>
      <c r="G440" s="66"/>
      <c r="H440" s="67"/>
      <c r="I440" s="67"/>
      <c r="J440" s="67"/>
      <c r="K440" s="68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</row>
    <row r="441" ht="15.75" customHeight="1">
      <c r="A441" s="32"/>
      <c r="B441" s="65"/>
      <c r="C441" s="65"/>
      <c r="D441" s="32"/>
      <c r="E441" s="32"/>
      <c r="F441" s="32"/>
      <c r="G441" s="66"/>
      <c r="H441" s="67"/>
      <c r="I441" s="67"/>
      <c r="J441" s="67"/>
      <c r="K441" s="68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</row>
    <row r="442" ht="15.75" customHeight="1">
      <c r="A442" s="32"/>
      <c r="B442" s="65"/>
      <c r="C442" s="65"/>
      <c r="D442" s="32"/>
      <c r="E442" s="32"/>
      <c r="F442" s="32"/>
      <c r="G442" s="66"/>
      <c r="H442" s="67"/>
      <c r="I442" s="67"/>
      <c r="J442" s="67"/>
      <c r="K442" s="68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</row>
    <row r="443" ht="15.75" customHeight="1">
      <c r="A443" s="32"/>
      <c r="B443" s="65"/>
      <c r="C443" s="65"/>
      <c r="D443" s="32"/>
      <c r="E443" s="32"/>
      <c r="F443" s="32"/>
      <c r="G443" s="66"/>
      <c r="H443" s="67"/>
      <c r="I443" s="67"/>
      <c r="J443" s="67"/>
      <c r="K443" s="68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</row>
    <row r="444" ht="15.75" customHeight="1">
      <c r="A444" s="32"/>
      <c r="B444" s="65"/>
      <c r="C444" s="65"/>
      <c r="D444" s="32"/>
      <c r="E444" s="32"/>
      <c r="F444" s="32"/>
      <c r="G444" s="66"/>
      <c r="H444" s="67"/>
      <c r="I444" s="67"/>
      <c r="J444" s="67"/>
      <c r="K444" s="68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</row>
    <row r="445" ht="15.75" customHeight="1">
      <c r="A445" s="32"/>
      <c r="B445" s="65"/>
      <c r="C445" s="65"/>
      <c r="D445" s="32"/>
      <c r="E445" s="32"/>
      <c r="F445" s="32"/>
      <c r="G445" s="66"/>
      <c r="H445" s="67"/>
      <c r="I445" s="67"/>
      <c r="J445" s="67"/>
      <c r="K445" s="68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</row>
    <row r="446" ht="15.75" customHeight="1">
      <c r="A446" s="32"/>
      <c r="B446" s="65"/>
      <c r="C446" s="65"/>
      <c r="D446" s="32"/>
      <c r="E446" s="32"/>
      <c r="F446" s="32"/>
      <c r="G446" s="66"/>
      <c r="H446" s="67"/>
      <c r="I446" s="67"/>
      <c r="J446" s="67"/>
      <c r="K446" s="68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</row>
    <row r="447" ht="15.75" customHeight="1">
      <c r="A447" s="32"/>
      <c r="B447" s="65"/>
      <c r="C447" s="65"/>
      <c r="D447" s="32"/>
      <c r="E447" s="32"/>
      <c r="F447" s="32"/>
      <c r="G447" s="66"/>
      <c r="H447" s="67"/>
      <c r="I447" s="67"/>
      <c r="J447" s="67"/>
      <c r="K447" s="68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</row>
    <row r="448" ht="15.75" customHeight="1">
      <c r="A448" s="32"/>
      <c r="B448" s="65"/>
      <c r="C448" s="65"/>
      <c r="D448" s="32"/>
      <c r="E448" s="32"/>
      <c r="F448" s="32"/>
      <c r="G448" s="66"/>
      <c r="H448" s="67"/>
      <c r="I448" s="67"/>
      <c r="J448" s="67"/>
      <c r="K448" s="68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</row>
    <row r="449" ht="15.75" customHeight="1">
      <c r="A449" s="32"/>
      <c r="B449" s="65"/>
      <c r="C449" s="65"/>
      <c r="D449" s="32"/>
      <c r="E449" s="32"/>
      <c r="F449" s="32"/>
      <c r="G449" s="66"/>
      <c r="H449" s="67"/>
      <c r="I449" s="67"/>
      <c r="J449" s="67"/>
      <c r="K449" s="68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</row>
    <row r="450" ht="15.75" customHeight="1">
      <c r="A450" s="32"/>
      <c r="B450" s="65"/>
      <c r="C450" s="65"/>
      <c r="D450" s="32"/>
      <c r="E450" s="32"/>
      <c r="F450" s="32"/>
      <c r="G450" s="66"/>
      <c r="H450" s="67"/>
      <c r="I450" s="67"/>
      <c r="J450" s="67"/>
      <c r="K450" s="68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</row>
    <row r="451" ht="15.75" customHeight="1">
      <c r="A451" s="32"/>
      <c r="B451" s="65"/>
      <c r="C451" s="65"/>
      <c r="D451" s="32"/>
      <c r="E451" s="32"/>
      <c r="F451" s="32"/>
      <c r="G451" s="66"/>
      <c r="H451" s="67"/>
      <c r="I451" s="67"/>
      <c r="J451" s="67"/>
      <c r="K451" s="68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</row>
    <row r="452" ht="15.75" customHeight="1">
      <c r="A452" s="32"/>
      <c r="B452" s="65"/>
      <c r="C452" s="65"/>
      <c r="D452" s="32"/>
      <c r="E452" s="32"/>
      <c r="F452" s="32"/>
      <c r="G452" s="66"/>
      <c r="H452" s="67"/>
      <c r="I452" s="67"/>
      <c r="J452" s="67"/>
      <c r="K452" s="68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</row>
    <row r="453" ht="15.75" customHeight="1">
      <c r="A453" s="32"/>
      <c r="B453" s="65"/>
      <c r="C453" s="65"/>
      <c r="D453" s="32"/>
      <c r="E453" s="32"/>
      <c r="F453" s="32"/>
      <c r="G453" s="66"/>
      <c r="H453" s="67"/>
      <c r="I453" s="67"/>
      <c r="J453" s="67"/>
      <c r="K453" s="68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</row>
    <row r="454" ht="15.75" customHeight="1">
      <c r="A454" s="32"/>
      <c r="B454" s="65"/>
      <c r="C454" s="65"/>
      <c r="D454" s="32"/>
      <c r="E454" s="32"/>
      <c r="F454" s="32"/>
      <c r="G454" s="66"/>
      <c r="H454" s="67"/>
      <c r="I454" s="67"/>
      <c r="J454" s="67"/>
      <c r="K454" s="68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</row>
    <row r="455" ht="15.75" customHeight="1">
      <c r="A455" s="32"/>
      <c r="B455" s="65"/>
      <c r="C455" s="65"/>
      <c r="D455" s="32"/>
      <c r="E455" s="32"/>
      <c r="F455" s="32"/>
      <c r="G455" s="66"/>
      <c r="H455" s="67"/>
      <c r="I455" s="67"/>
      <c r="J455" s="67"/>
      <c r="K455" s="68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</row>
    <row r="456" ht="15.75" customHeight="1">
      <c r="A456" s="32"/>
      <c r="B456" s="65"/>
      <c r="C456" s="65"/>
      <c r="D456" s="32"/>
      <c r="E456" s="32"/>
      <c r="F456" s="32"/>
      <c r="G456" s="66"/>
      <c r="H456" s="67"/>
      <c r="I456" s="67"/>
      <c r="J456" s="67"/>
      <c r="K456" s="68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</row>
    <row r="457" ht="15.75" customHeight="1">
      <c r="A457" s="32"/>
      <c r="B457" s="65"/>
      <c r="C457" s="65"/>
      <c r="D457" s="32"/>
      <c r="E457" s="32"/>
      <c r="F457" s="32"/>
      <c r="G457" s="66"/>
      <c r="H457" s="67"/>
      <c r="I457" s="67"/>
      <c r="J457" s="67"/>
      <c r="K457" s="68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</row>
    <row r="458" ht="15.75" customHeight="1">
      <c r="A458" s="32"/>
      <c r="B458" s="65"/>
      <c r="C458" s="65"/>
      <c r="D458" s="32"/>
      <c r="E458" s="32"/>
      <c r="F458" s="32"/>
      <c r="G458" s="66"/>
      <c r="H458" s="67"/>
      <c r="I458" s="67"/>
      <c r="J458" s="67"/>
      <c r="K458" s="68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</row>
    <row r="459" ht="15.75" customHeight="1">
      <c r="A459" s="32"/>
      <c r="B459" s="65"/>
      <c r="C459" s="65"/>
      <c r="D459" s="32"/>
      <c r="E459" s="32"/>
      <c r="F459" s="32"/>
      <c r="G459" s="66"/>
      <c r="H459" s="67"/>
      <c r="I459" s="67"/>
      <c r="J459" s="67"/>
      <c r="K459" s="68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</row>
    <row r="460" ht="15.75" customHeight="1">
      <c r="A460" s="32"/>
      <c r="B460" s="65"/>
      <c r="C460" s="65"/>
      <c r="D460" s="32"/>
      <c r="E460" s="32"/>
      <c r="F460" s="32"/>
      <c r="G460" s="66"/>
      <c r="H460" s="67"/>
      <c r="I460" s="67"/>
      <c r="J460" s="67"/>
      <c r="K460" s="68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</row>
    <row r="461" ht="15.75" customHeight="1">
      <c r="A461" s="32"/>
      <c r="B461" s="65"/>
      <c r="C461" s="65"/>
      <c r="D461" s="32"/>
      <c r="E461" s="32"/>
      <c r="F461" s="32"/>
      <c r="G461" s="66"/>
      <c r="H461" s="67"/>
      <c r="I461" s="67"/>
      <c r="J461" s="67"/>
      <c r="K461" s="68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</row>
    <row r="462" ht="15.75" customHeight="1">
      <c r="A462" s="32"/>
      <c r="B462" s="65"/>
      <c r="C462" s="65"/>
      <c r="D462" s="32"/>
      <c r="E462" s="32"/>
      <c r="F462" s="32"/>
      <c r="G462" s="66"/>
      <c r="H462" s="67"/>
      <c r="I462" s="67"/>
      <c r="J462" s="67"/>
      <c r="K462" s="68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</row>
    <row r="463" ht="15.75" customHeight="1">
      <c r="A463" s="32"/>
      <c r="B463" s="65"/>
      <c r="C463" s="65"/>
      <c r="D463" s="32"/>
      <c r="E463" s="32"/>
      <c r="F463" s="32"/>
      <c r="G463" s="66"/>
      <c r="H463" s="67"/>
      <c r="I463" s="67"/>
      <c r="J463" s="67"/>
      <c r="K463" s="68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</row>
    <row r="464" ht="15.75" customHeight="1">
      <c r="A464" s="32"/>
      <c r="B464" s="65"/>
      <c r="C464" s="65"/>
      <c r="D464" s="32"/>
      <c r="E464" s="32"/>
      <c r="F464" s="32"/>
      <c r="G464" s="66"/>
      <c r="H464" s="67"/>
      <c r="I464" s="67"/>
      <c r="J464" s="67"/>
      <c r="K464" s="68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</row>
    <row r="465" ht="15.75" customHeight="1">
      <c r="A465" s="32"/>
      <c r="B465" s="65"/>
      <c r="C465" s="65"/>
      <c r="D465" s="32"/>
      <c r="E465" s="32"/>
      <c r="F465" s="32"/>
      <c r="G465" s="66"/>
      <c r="H465" s="67"/>
      <c r="I465" s="67"/>
      <c r="J465" s="67"/>
      <c r="K465" s="68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</row>
    <row r="466" ht="15.75" customHeight="1">
      <c r="A466" s="32"/>
      <c r="B466" s="65"/>
      <c r="C466" s="65"/>
      <c r="D466" s="32"/>
      <c r="E466" s="32"/>
      <c r="F466" s="32"/>
      <c r="G466" s="66"/>
      <c r="H466" s="67"/>
      <c r="I466" s="67"/>
      <c r="J466" s="67"/>
      <c r="K466" s="68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</row>
    <row r="467" ht="15.75" customHeight="1">
      <c r="A467" s="32"/>
      <c r="B467" s="65"/>
      <c r="C467" s="65"/>
      <c r="D467" s="32"/>
      <c r="E467" s="32"/>
      <c r="F467" s="32"/>
      <c r="G467" s="66"/>
      <c r="H467" s="67"/>
      <c r="I467" s="67"/>
      <c r="J467" s="67"/>
      <c r="K467" s="68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</row>
    <row r="468" ht="15.75" customHeight="1">
      <c r="A468" s="32"/>
      <c r="B468" s="65"/>
      <c r="C468" s="65"/>
      <c r="D468" s="32"/>
      <c r="E468" s="32"/>
      <c r="F468" s="32"/>
      <c r="G468" s="66"/>
      <c r="H468" s="67"/>
      <c r="I468" s="67"/>
      <c r="J468" s="67"/>
      <c r="K468" s="68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</row>
    <row r="469" ht="15.75" customHeight="1">
      <c r="A469" s="32"/>
      <c r="B469" s="65"/>
      <c r="C469" s="65"/>
      <c r="D469" s="32"/>
      <c r="E469" s="32"/>
      <c r="F469" s="32"/>
      <c r="G469" s="66"/>
      <c r="H469" s="67"/>
      <c r="I469" s="67"/>
      <c r="J469" s="67"/>
      <c r="K469" s="68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</row>
    <row r="470" ht="15.75" customHeight="1">
      <c r="A470" s="32"/>
      <c r="B470" s="65"/>
      <c r="C470" s="65"/>
      <c r="D470" s="32"/>
      <c r="E470" s="32"/>
      <c r="F470" s="32"/>
      <c r="G470" s="66"/>
      <c r="H470" s="67"/>
      <c r="I470" s="67"/>
      <c r="J470" s="67"/>
      <c r="K470" s="68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</row>
    <row r="471" ht="15.75" customHeight="1">
      <c r="A471" s="32"/>
      <c r="B471" s="65"/>
      <c r="C471" s="65"/>
      <c r="D471" s="32"/>
      <c r="E471" s="32"/>
      <c r="F471" s="32"/>
      <c r="G471" s="66"/>
      <c r="H471" s="67"/>
      <c r="I471" s="67"/>
      <c r="J471" s="67"/>
      <c r="K471" s="68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</row>
    <row r="472" ht="15.75" customHeight="1">
      <c r="A472" s="32"/>
      <c r="B472" s="65"/>
      <c r="C472" s="65"/>
      <c r="D472" s="32"/>
      <c r="E472" s="32"/>
      <c r="F472" s="32"/>
      <c r="G472" s="66"/>
      <c r="H472" s="67"/>
      <c r="I472" s="67"/>
      <c r="J472" s="67"/>
      <c r="K472" s="68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</row>
    <row r="473" ht="15.75" customHeight="1">
      <c r="A473" s="32"/>
      <c r="B473" s="65"/>
      <c r="C473" s="65"/>
      <c r="D473" s="32"/>
      <c r="E473" s="32"/>
      <c r="F473" s="32"/>
      <c r="G473" s="66"/>
      <c r="H473" s="67"/>
      <c r="I473" s="67"/>
      <c r="J473" s="67"/>
      <c r="K473" s="68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</row>
    <row r="474" ht="15.75" customHeight="1">
      <c r="A474" s="32"/>
      <c r="B474" s="65"/>
      <c r="C474" s="65"/>
      <c r="D474" s="32"/>
      <c r="E474" s="32"/>
      <c r="F474" s="32"/>
      <c r="G474" s="66"/>
      <c r="H474" s="67"/>
      <c r="I474" s="67"/>
      <c r="J474" s="67"/>
      <c r="K474" s="68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</row>
    <row r="475" ht="15.75" customHeight="1">
      <c r="A475" s="32"/>
      <c r="B475" s="65"/>
      <c r="C475" s="65"/>
      <c r="D475" s="32"/>
      <c r="E475" s="32"/>
      <c r="F475" s="32"/>
      <c r="G475" s="66"/>
      <c r="H475" s="67"/>
      <c r="I475" s="67"/>
      <c r="J475" s="67"/>
      <c r="K475" s="68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</row>
    <row r="476" ht="15.75" customHeight="1">
      <c r="A476" s="32"/>
      <c r="B476" s="65"/>
      <c r="C476" s="65"/>
      <c r="D476" s="32"/>
      <c r="E476" s="32"/>
      <c r="F476" s="32"/>
      <c r="G476" s="66"/>
      <c r="H476" s="67"/>
      <c r="I476" s="67"/>
      <c r="J476" s="67"/>
      <c r="K476" s="68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</row>
    <row r="477" ht="15.75" customHeight="1">
      <c r="A477" s="32"/>
      <c r="B477" s="65"/>
      <c r="C477" s="65"/>
      <c r="D477" s="32"/>
      <c r="E477" s="32"/>
      <c r="F477" s="32"/>
      <c r="G477" s="66"/>
      <c r="H477" s="67"/>
      <c r="I477" s="67"/>
      <c r="J477" s="67"/>
      <c r="K477" s="68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</row>
    <row r="478" ht="15.75" customHeight="1">
      <c r="A478" s="32"/>
      <c r="B478" s="65"/>
      <c r="C478" s="65"/>
      <c r="D478" s="32"/>
      <c r="E478" s="32"/>
      <c r="F478" s="32"/>
      <c r="G478" s="66"/>
      <c r="H478" s="67"/>
      <c r="I478" s="67"/>
      <c r="J478" s="67"/>
      <c r="K478" s="68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</row>
    <row r="479" ht="15.75" customHeight="1">
      <c r="A479" s="32"/>
      <c r="B479" s="65"/>
      <c r="C479" s="65"/>
      <c r="D479" s="32"/>
      <c r="E479" s="32"/>
      <c r="F479" s="32"/>
      <c r="G479" s="66"/>
      <c r="H479" s="67"/>
      <c r="I479" s="67"/>
      <c r="J479" s="67"/>
      <c r="K479" s="68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</row>
    <row r="480" ht="15.75" customHeight="1">
      <c r="A480" s="32"/>
      <c r="B480" s="65"/>
      <c r="C480" s="65"/>
      <c r="D480" s="32"/>
      <c r="E480" s="32"/>
      <c r="F480" s="32"/>
      <c r="G480" s="66"/>
      <c r="H480" s="67"/>
      <c r="I480" s="67"/>
      <c r="J480" s="67"/>
      <c r="K480" s="68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</row>
    <row r="481" ht="15.75" customHeight="1">
      <c r="A481" s="32"/>
      <c r="B481" s="65"/>
      <c r="C481" s="65"/>
      <c r="D481" s="32"/>
      <c r="E481" s="32"/>
      <c r="F481" s="32"/>
      <c r="G481" s="66"/>
      <c r="H481" s="67"/>
      <c r="I481" s="67"/>
      <c r="J481" s="67"/>
      <c r="K481" s="68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</row>
    <row r="482" ht="15.75" customHeight="1">
      <c r="A482" s="32"/>
      <c r="B482" s="65"/>
      <c r="C482" s="65"/>
      <c r="D482" s="32"/>
      <c r="E482" s="32"/>
      <c r="F482" s="32"/>
      <c r="G482" s="66"/>
      <c r="H482" s="67"/>
      <c r="I482" s="67"/>
      <c r="J482" s="67"/>
      <c r="K482" s="68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</row>
    <row r="483" ht="15.75" customHeight="1">
      <c r="A483" s="32"/>
      <c r="B483" s="65"/>
      <c r="C483" s="65"/>
      <c r="D483" s="32"/>
      <c r="E483" s="32"/>
      <c r="F483" s="32"/>
      <c r="G483" s="66"/>
      <c r="H483" s="67"/>
      <c r="I483" s="67"/>
      <c r="J483" s="67"/>
      <c r="K483" s="68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</row>
    <row r="484" ht="15.75" customHeight="1">
      <c r="A484" s="32"/>
      <c r="B484" s="65"/>
      <c r="C484" s="65"/>
      <c r="D484" s="32"/>
      <c r="E484" s="32"/>
      <c r="F484" s="32"/>
      <c r="G484" s="66"/>
      <c r="H484" s="67"/>
      <c r="I484" s="67"/>
      <c r="J484" s="67"/>
      <c r="K484" s="68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</row>
    <row r="485" ht="15.75" customHeight="1">
      <c r="A485" s="32"/>
      <c r="B485" s="65"/>
      <c r="C485" s="65"/>
      <c r="D485" s="32"/>
      <c r="E485" s="32"/>
      <c r="F485" s="32"/>
      <c r="G485" s="66"/>
      <c r="H485" s="67"/>
      <c r="I485" s="67"/>
      <c r="J485" s="67"/>
      <c r="K485" s="68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</row>
    <row r="486" ht="15.75" customHeight="1">
      <c r="A486" s="32"/>
      <c r="B486" s="65"/>
      <c r="C486" s="65"/>
      <c r="D486" s="32"/>
      <c r="E486" s="32"/>
      <c r="F486" s="32"/>
      <c r="G486" s="66"/>
      <c r="H486" s="67"/>
      <c r="I486" s="67"/>
      <c r="J486" s="67"/>
      <c r="K486" s="68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</row>
    <row r="487" ht="15.75" customHeight="1">
      <c r="A487" s="32"/>
      <c r="B487" s="65"/>
      <c r="C487" s="65"/>
      <c r="D487" s="32"/>
      <c r="E487" s="32"/>
      <c r="F487" s="32"/>
      <c r="G487" s="66"/>
      <c r="H487" s="67"/>
      <c r="I487" s="67"/>
      <c r="J487" s="67"/>
      <c r="K487" s="68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</row>
    <row r="488" ht="15.75" customHeight="1">
      <c r="A488" s="32"/>
      <c r="B488" s="65"/>
      <c r="C488" s="65"/>
      <c r="D488" s="32"/>
      <c r="E488" s="32"/>
      <c r="F488" s="32"/>
      <c r="G488" s="66"/>
      <c r="H488" s="67"/>
      <c r="I488" s="67"/>
      <c r="J488" s="67"/>
      <c r="K488" s="68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</row>
    <row r="489" ht="15.75" customHeight="1">
      <c r="A489" s="32"/>
      <c r="B489" s="65"/>
      <c r="C489" s="65"/>
      <c r="D489" s="32"/>
      <c r="E489" s="32"/>
      <c r="F489" s="32"/>
      <c r="G489" s="66"/>
      <c r="H489" s="67"/>
      <c r="I489" s="67"/>
      <c r="J489" s="67"/>
      <c r="K489" s="68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</row>
    <row r="490" ht="15.75" customHeight="1">
      <c r="A490" s="32"/>
      <c r="B490" s="65"/>
      <c r="C490" s="65"/>
      <c r="D490" s="32"/>
      <c r="E490" s="32"/>
      <c r="F490" s="32"/>
      <c r="G490" s="66"/>
      <c r="H490" s="67"/>
      <c r="I490" s="67"/>
      <c r="J490" s="67"/>
      <c r="K490" s="68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</row>
    <row r="491" ht="15.75" customHeight="1">
      <c r="A491" s="32"/>
      <c r="B491" s="65"/>
      <c r="C491" s="65"/>
      <c r="D491" s="32"/>
      <c r="E491" s="32"/>
      <c r="F491" s="32"/>
      <c r="G491" s="66"/>
      <c r="H491" s="67"/>
      <c r="I491" s="67"/>
      <c r="J491" s="67"/>
      <c r="K491" s="68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</row>
    <row r="492" ht="15.75" customHeight="1">
      <c r="A492" s="32"/>
      <c r="B492" s="65"/>
      <c r="C492" s="65"/>
      <c r="D492" s="32"/>
      <c r="E492" s="32"/>
      <c r="F492" s="32"/>
      <c r="G492" s="66"/>
      <c r="H492" s="67"/>
      <c r="I492" s="67"/>
      <c r="J492" s="67"/>
      <c r="K492" s="68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</row>
    <row r="493" ht="15.75" customHeight="1">
      <c r="A493" s="32"/>
      <c r="B493" s="65"/>
      <c r="C493" s="65"/>
      <c r="D493" s="32"/>
      <c r="E493" s="32"/>
      <c r="F493" s="32"/>
      <c r="G493" s="66"/>
      <c r="H493" s="67"/>
      <c r="I493" s="67"/>
      <c r="J493" s="67"/>
      <c r="K493" s="68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</row>
    <row r="494" ht="15.75" customHeight="1">
      <c r="A494" s="32"/>
      <c r="B494" s="65"/>
      <c r="C494" s="65"/>
      <c r="D494" s="32"/>
      <c r="E494" s="32"/>
      <c r="F494" s="32"/>
      <c r="G494" s="66"/>
      <c r="H494" s="67"/>
      <c r="I494" s="67"/>
      <c r="J494" s="67"/>
      <c r="K494" s="68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</row>
    <row r="495" ht="15.75" customHeight="1">
      <c r="A495" s="32"/>
      <c r="B495" s="65"/>
      <c r="C495" s="65"/>
      <c r="D495" s="32"/>
      <c r="E495" s="32"/>
      <c r="F495" s="32"/>
      <c r="G495" s="66"/>
      <c r="H495" s="67"/>
      <c r="I495" s="67"/>
      <c r="J495" s="67"/>
      <c r="K495" s="68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</row>
    <row r="496" ht="15.75" customHeight="1">
      <c r="A496" s="32"/>
      <c r="B496" s="65"/>
      <c r="C496" s="65"/>
      <c r="D496" s="32"/>
      <c r="E496" s="32"/>
      <c r="F496" s="32"/>
      <c r="G496" s="66"/>
      <c r="H496" s="67"/>
      <c r="I496" s="67"/>
      <c r="J496" s="67"/>
      <c r="K496" s="68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</row>
    <row r="497" ht="15.75" customHeight="1">
      <c r="A497" s="32"/>
      <c r="B497" s="65"/>
      <c r="C497" s="65"/>
      <c r="D497" s="32"/>
      <c r="E497" s="32"/>
      <c r="F497" s="32"/>
      <c r="G497" s="66"/>
      <c r="H497" s="67"/>
      <c r="I497" s="67"/>
      <c r="J497" s="67"/>
      <c r="K497" s="68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</row>
    <row r="498" ht="15.75" customHeight="1">
      <c r="A498" s="32"/>
      <c r="B498" s="65"/>
      <c r="C498" s="65"/>
      <c r="D498" s="32"/>
      <c r="E498" s="32"/>
      <c r="F498" s="32"/>
      <c r="G498" s="66"/>
      <c r="H498" s="67"/>
      <c r="I498" s="67"/>
      <c r="J498" s="67"/>
      <c r="K498" s="68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</row>
    <row r="499" ht="15.75" customHeight="1">
      <c r="A499" s="32"/>
      <c r="B499" s="65"/>
      <c r="C499" s="65"/>
      <c r="D499" s="32"/>
      <c r="E499" s="32"/>
      <c r="F499" s="32"/>
      <c r="G499" s="66"/>
      <c r="H499" s="67"/>
      <c r="I499" s="67"/>
      <c r="J499" s="67"/>
      <c r="K499" s="68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</row>
    <row r="500" ht="15.75" customHeight="1">
      <c r="A500" s="32"/>
      <c r="B500" s="65"/>
      <c r="C500" s="65"/>
      <c r="D500" s="32"/>
      <c r="E500" s="32"/>
      <c r="F500" s="32"/>
      <c r="G500" s="66"/>
      <c r="H500" s="67"/>
      <c r="I500" s="67"/>
      <c r="J500" s="67"/>
      <c r="K500" s="68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</row>
    <row r="501" ht="15.75" customHeight="1">
      <c r="A501" s="32"/>
      <c r="B501" s="65"/>
      <c r="C501" s="65"/>
      <c r="D501" s="32"/>
      <c r="E501" s="32"/>
      <c r="F501" s="32"/>
      <c r="G501" s="66"/>
      <c r="H501" s="67"/>
      <c r="I501" s="67"/>
      <c r="J501" s="67"/>
      <c r="K501" s="68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</row>
    <row r="502" ht="15.75" customHeight="1">
      <c r="A502" s="32"/>
      <c r="B502" s="65"/>
      <c r="C502" s="65"/>
      <c r="D502" s="32"/>
      <c r="E502" s="32"/>
      <c r="F502" s="32"/>
      <c r="G502" s="66"/>
      <c r="H502" s="67"/>
      <c r="I502" s="67"/>
      <c r="J502" s="67"/>
      <c r="K502" s="68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</row>
    <row r="503" ht="15.75" customHeight="1">
      <c r="A503" s="32"/>
      <c r="B503" s="65"/>
      <c r="C503" s="65"/>
      <c r="D503" s="32"/>
      <c r="E503" s="32"/>
      <c r="F503" s="32"/>
      <c r="G503" s="66"/>
      <c r="H503" s="67"/>
      <c r="I503" s="67"/>
      <c r="J503" s="67"/>
      <c r="K503" s="68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</row>
    <row r="504" ht="15.75" customHeight="1">
      <c r="A504" s="32"/>
      <c r="B504" s="65"/>
      <c r="C504" s="65"/>
      <c r="D504" s="32"/>
      <c r="E504" s="32"/>
      <c r="F504" s="32"/>
      <c r="G504" s="66"/>
      <c r="H504" s="67"/>
      <c r="I504" s="67"/>
      <c r="J504" s="67"/>
      <c r="K504" s="68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</row>
    <row r="505" ht="15.75" customHeight="1">
      <c r="A505" s="32"/>
      <c r="B505" s="65"/>
      <c r="C505" s="65"/>
      <c r="D505" s="32"/>
      <c r="E505" s="32"/>
      <c r="F505" s="32"/>
      <c r="G505" s="66"/>
      <c r="H505" s="67"/>
      <c r="I505" s="67"/>
      <c r="J505" s="67"/>
      <c r="K505" s="68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</row>
    <row r="506" ht="15.75" customHeight="1">
      <c r="A506" s="32"/>
      <c r="B506" s="65"/>
      <c r="C506" s="65"/>
      <c r="D506" s="32"/>
      <c r="E506" s="32"/>
      <c r="F506" s="32"/>
      <c r="G506" s="66"/>
      <c r="H506" s="67"/>
      <c r="I506" s="67"/>
      <c r="J506" s="67"/>
      <c r="K506" s="68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</row>
    <row r="507" ht="15.75" customHeight="1">
      <c r="A507" s="32"/>
      <c r="B507" s="65"/>
      <c r="C507" s="65"/>
      <c r="D507" s="32"/>
      <c r="E507" s="32"/>
      <c r="F507" s="32"/>
      <c r="G507" s="66"/>
      <c r="H507" s="67"/>
      <c r="I507" s="67"/>
      <c r="J507" s="67"/>
      <c r="K507" s="68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</row>
    <row r="508" ht="15.75" customHeight="1">
      <c r="A508" s="32"/>
      <c r="B508" s="65"/>
      <c r="C508" s="65"/>
      <c r="D508" s="32"/>
      <c r="E508" s="32"/>
      <c r="F508" s="32"/>
      <c r="G508" s="66"/>
      <c r="H508" s="67"/>
      <c r="I508" s="67"/>
      <c r="J508" s="67"/>
      <c r="K508" s="68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</row>
    <row r="509" ht="15.75" customHeight="1">
      <c r="A509" s="32"/>
      <c r="B509" s="65"/>
      <c r="C509" s="65"/>
      <c r="D509" s="32"/>
      <c r="E509" s="32"/>
      <c r="F509" s="32"/>
      <c r="G509" s="66"/>
      <c r="H509" s="67"/>
      <c r="I509" s="67"/>
      <c r="J509" s="67"/>
      <c r="K509" s="68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</row>
    <row r="510" ht="15.75" customHeight="1">
      <c r="A510" s="32"/>
      <c r="B510" s="65"/>
      <c r="C510" s="65"/>
      <c r="D510" s="32"/>
      <c r="E510" s="32"/>
      <c r="F510" s="32"/>
      <c r="G510" s="66"/>
      <c r="H510" s="67"/>
      <c r="I510" s="67"/>
      <c r="J510" s="67"/>
      <c r="K510" s="68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</row>
    <row r="511" ht="15.75" customHeight="1">
      <c r="A511" s="32"/>
      <c r="B511" s="65"/>
      <c r="C511" s="65"/>
      <c r="D511" s="32"/>
      <c r="E511" s="32"/>
      <c r="F511" s="32"/>
      <c r="G511" s="66"/>
      <c r="H511" s="67"/>
      <c r="I511" s="67"/>
      <c r="J511" s="67"/>
      <c r="K511" s="68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</row>
    <row r="512" ht="15.75" customHeight="1">
      <c r="A512" s="32"/>
      <c r="B512" s="65"/>
      <c r="C512" s="65"/>
      <c r="D512" s="32"/>
      <c r="E512" s="32"/>
      <c r="F512" s="32"/>
      <c r="G512" s="66"/>
      <c r="H512" s="67"/>
      <c r="I512" s="67"/>
      <c r="J512" s="67"/>
      <c r="K512" s="68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</row>
    <row r="513" ht="15.75" customHeight="1">
      <c r="A513" s="32"/>
      <c r="B513" s="65"/>
      <c r="C513" s="65"/>
      <c r="D513" s="32"/>
      <c r="E513" s="32"/>
      <c r="F513" s="32"/>
      <c r="G513" s="66"/>
      <c r="H513" s="67"/>
      <c r="I513" s="67"/>
      <c r="J513" s="67"/>
      <c r="K513" s="68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</row>
    <row r="514" ht="15.75" customHeight="1">
      <c r="A514" s="32"/>
      <c r="B514" s="65"/>
      <c r="C514" s="65"/>
      <c r="D514" s="32"/>
      <c r="E514" s="32"/>
      <c r="F514" s="32"/>
      <c r="G514" s="66"/>
      <c r="H514" s="67"/>
      <c r="I514" s="67"/>
      <c r="J514" s="67"/>
      <c r="K514" s="68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</row>
    <row r="515" ht="15.75" customHeight="1">
      <c r="A515" s="32"/>
      <c r="B515" s="65"/>
      <c r="C515" s="65"/>
      <c r="D515" s="32"/>
      <c r="E515" s="32"/>
      <c r="F515" s="32"/>
      <c r="G515" s="66"/>
      <c r="H515" s="67"/>
      <c r="I515" s="67"/>
      <c r="J515" s="67"/>
      <c r="K515" s="68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</row>
    <row r="516" ht="15.75" customHeight="1">
      <c r="A516" s="32"/>
      <c r="B516" s="65"/>
      <c r="C516" s="65"/>
      <c r="D516" s="32"/>
      <c r="E516" s="32"/>
      <c r="F516" s="32"/>
      <c r="G516" s="66"/>
      <c r="H516" s="67"/>
      <c r="I516" s="67"/>
      <c r="J516" s="67"/>
      <c r="K516" s="68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</row>
    <row r="517" ht="15.75" customHeight="1">
      <c r="A517" s="32"/>
      <c r="B517" s="65"/>
      <c r="C517" s="65"/>
      <c r="D517" s="32"/>
      <c r="E517" s="32"/>
      <c r="F517" s="32"/>
      <c r="G517" s="66"/>
      <c r="H517" s="67"/>
      <c r="I517" s="67"/>
      <c r="J517" s="67"/>
      <c r="K517" s="68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</row>
    <row r="518" ht="15.75" customHeight="1">
      <c r="A518" s="32"/>
      <c r="B518" s="65"/>
      <c r="C518" s="65"/>
      <c r="D518" s="32"/>
      <c r="E518" s="32"/>
      <c r="F518" s="32"/>
      <c r="G518" s="66"/>
      <c r="H518" s="67"/>
      <c r="I518" s="67"/>
      <c r="J518" s="67"/>
      <c r="K518" s="68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</row>
    <row r="519" ht="15.75" customHeight="1">
      <c r="A519" s="32"/>
      <c r="B519" s="65"/>
      <c r="C519" s="65"/>
      <c r="D519" s="32"/>
      <c r="E519" s="32"/>
      <c r="F519" s="32"/>
      <c r="G519" s="66"/>
      <c r="H519" s="67"/>
      <c r="I519" s="67"/>
      <c r="J519" s="67"/>
      <c r="K519" s="68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</row>
    <row r="520" ht="15.75" customHeight="1">
      <c r="A520" s="32"/>
      <c r="B520" s="65"/>
      <c r="C520" s="65"/>
      <c r="D520" s="32"/>
      <c r="E520" s="32"/>
      <c r="F520" s="32"/>
      <c r="G520" s="66"/>
      <c r="H520" s="67"/>
      <c r="I520" s="67"/>
      <c r="J520" s="67"/>
      <c r="K520" s="68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</row>
    <row r="521" ht="15.75" customHeight="1">
      <c r="A521" s="32"/>
      <c r="B521" s="65"/>
      <c r="C521" s="65"/>
      <c r="D521" s="32"/>
      <c r="E521" s="32"/>
      <c r="F521" s="32"/>
      <c r="G521" s="66"/>
      <c r="H521" s="67"/>
      <c r="I521" s="67"/>
      <c r="J521" s="67"/>
      <c r="K521" s="68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</row>
    <row r="522" ht="15.75" customHeight="1">
      <c r="A522" s="32"/>
      <c r="B522" s="65"/>
      <c r="C522" s="65"/>
      <c r="D522" s="32"/>
      <c r="E522" s="32"/>
      <c r="F522" s="32"/>
      <c r="G522" s="66"/>
      <c r="H522" s="67"/>
      <c r="I522" s="67"/>
      <c r="J522" s="67"/>
      <c r="K522" s="68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</row>
    <row r="523" ht="15.75" customHeight="1">
      <c r="A523" s="32"/>
      <c r="B523" s="65"/>
      <c r="C523" s="65"/>
      <c r="D523" s="32"/>
      <c r="E523" s="32"/>
      <c r="F523" s="32"/>
      <c r="G523" s="66"/>
      <c r="H523" s="67"/>
      <c r="I523" s="67"/>
      <c r="J523" s="67"/>
      <c r="K523" s="68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</row>
    <row r="524" ht="15.75" customHeight="1">
      <c r="A524" s="32"/>
      <c r="B524" s="65"/>
      <c r="C524" s="65"/>
      <c r="D524" s="32"/>
      <c r="E524" s="32"/>
      <c r="F524" s="32"/>
      <c r="G524" s="66"/>
      <c r="H524" s="67"/>
      <c r="I524" s="67"/>
      <c r="J524" s="67"/>
      <c r="K524" s="68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</row>
    <row r="525" ht="15.75" customHeight="1">
      <c r="A525" s="32"/>
      <c r="B525" s="65"/>
      <c r="C525" s="65"/>
      <c r="D525" s="32"/>
      <c r="E525" s="32"/>
      <c r="F525" s="32"/>
      <c r="G525" s="66"/>
      <c r="H525" s="67"/>
      <c r="I525" s="67"/>
      <c r="J525" s="67"/>
      <c r="K525" s="68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</row>
    <row r="526" ht="15.75" customHeight="1">
      <c r="A526" s="32"/>
      <c r="B526" s="65"/>
      <c r="C526" s="65"/>
      <c r="D526" s="32"/>
      <c r="E526" s="32"/>
      <c r="F526" s="32"/>
      <c r="G526" s="66"/>
      <c r="H526" s="67"/>
      <c r="I526" s="67"/>
      <c r="J526" s="67"/>
      <c r="K526" s="68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</row>
    <row r="527" ht="15.75" customHeight="1">
      <c r="A527" s="32"/>
      <c r="B527" s="65"/>
      <c r="C527" s="65"/>
      <c r="D527" s="32"/>
      <c r="E527" s="32"/>
      <c r="F527" s="32"/>
      <c r="G527" s="66"/>
      <c r="H527" s="67"/>
      <c r="I527" s="67"/>
      <c r="J527" s="67"/>
      <c r="K527" s="68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</row>
    <row r="528" ht="15.75" customHeight="1">
      <c r="A528" s="32"/>
      <c r="B528" s="65"/>
      <c r="C528" s="65"/>
      <c r="D528" s="32"/>
      <c r="E528" s="32"/>
      <c r="F528" s="32"/>
      <c r="G528" s="66"/>
      <c r="H528" s="67"/>
      <c r="I528" s="67"/>
      <c r="J528" s="67"/>
      <c r="K528" s="68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</row>
    <row r="529" ht="15.75" customHeight="1">
      <c r="A529" s="32"/>
      <c r="B529" s="65"/>
      <c r="C529" s="65"/>
      <c r="D529" s="32"/>
      <c r="E529" s="32"/>
      <c r="F529" s="32"/>
      <c r="G529" s="66"/>
      <c r="H529" s="67"/>
      <c r="I529" s="67"/>
      <c r="J529" s="67"/>
      <c r="K529" s="68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</row>
    <row r="530" ht="15.75" customHeight="1">
      <c r="A530" s="32"/>
      <c r="B530" s="65"/>
      <c r="C530" s="65"/>
      <c r="D530" s="32"/>
      <c r="E530" s="32"/>
      <c r="F530" s="32"/>
      <c r="G530" s="66"/>
      <c r="H530" s="67"/>
      <c r="I530" s="67"/>
      <c r="J530" s="67"/>
      <c r="K530" s="68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</row>
    <row r="531" ht="15.75" customHeight="1">
      <c r="A531" s="32"/>
      <c r="B531" s="65"/>
      <c r="C531" s="65"/>
      <c r="D531" s="32"/>
      <c r="E531" s="32"/>
      <c r="F531" s="32"/>
      <c r="G531" s="66"/>
      <c r="H531" s="67"/>
      <c r="I531" s="67"/>
      <c r="J531" s="67"/>
      <c r="K531" s="68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</row>
    <row r="532" ht="15.75" customHeight="1">
      <c r="A532" s="32"/>
      <c r="B532" s="65"/>
      <c r="C532" s="65"/>
      <c r="D532" s="32"/>
      <c r="E532" s="32"/>
      <c r="F532" s="32"/>
      <c r="G532" s="66"/>
      <c r="H532" s="67"/>
      <c r="I532" s="67"/>
      <c r="J532" s="67"/>
      <c r="K532" s="68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</row>
    <row r="533" ht="15.75" customHeight="1">
      <c r="A533" s="32"/>
      <c r="B533" s="65"/>
      <c r="C533" s="65"/>
      <c r="D533" s="32"/>
      <c r="E533" s="32"/>
      <c r="F533" s="32"/>
      <c r="G533" s="66"/>
      <c r="H533" s="67"/>
      <c r="I533" s="67"/>
      <c r="J533" s="67"/>
      <c r="K533" s="68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</row>
    <row r="534" ht="15.75" customHeight="1">
      <c r="A534" s="32"/>
      <c r="B534" s="65"/>
      <c r="C534" s="65"/>
      <c r="D534" s="32"/>
      <c r="E534" s="32"/>
      <c r="F534" s="32"/>
      <c r="G534" s="66"/>
      <c r="H534" s="67"/>
      <c r="I534" s="67"/>
      <c r="J534" s="67"/>
      <c r="K534" s="68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</row>
    <row r="535" ht="15.75" customHeight="1">
      <c r="A535" s="32"/>
      <c r="B535" s="65"/>
      <c r="C535" s="65"/>
      <c r="D535" s="32"/>
      <c r="E535" s="32"/>
      <c r="F535" s="32"/>
      <c r="G535" s="66"/>
      <c r="H535" s="67"/>
      <c r="I535" s="67"/>
      <c r="J535" s="67"/>
      <c r="K535" s="68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</row>
    <row r="536" ht="15.75" customHeight="1">
      <c r="A536" s="32"/>
      <c r="B536" s="65"/>
      <c r="C536" s="65"/>
      <c r="D536" s="32"/>
      <c r="E536" s="32"/>
      <c r="F536" s="32"/>
      <c r="G536" s="66"/>
      <c r="H536" s="67"/>
      <c r="I536" s="67"/>
      <c r="J536" s="67"/>
      <c r="K536" s="68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</row>
    <row r="537" ht="15.75" customHeight="1">
      <c r="A537" s="32"/>
      <c r="B537" s="65"/>
      <c r="C537" s="65"/>
      <c r="D537" s="32"/>
      <c r="E537" s="32"/>
      <c r="F537" s="32"/>
      <c r="G537" s="66"/>
      <c r="H537" s="67"/>
      <c r="I537" s="67"/>
      <c r="J537" s="67"/>
      <c r="K537" s="68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</row>
    <row r="538" ht="15.75" customHeight="1">
      <c r="A538" s="32"/>
      <c r="B538" s="65"/>
      <c r="C538" s="65"/>
      <c r="D538" s="32"/>
      <c r="E538" s="32"/>
      <c r="F538" s="32"/>
      <c r="G538" s="66"/>
      <c r="H538" s="67"/>
      <c r="I538" s="67"/>
      <c r="J538" s="67"/>
      <c r="K538" s="68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</row>
    <row r="539" ht="15.75" customHeight="1">
      <c r="A539" s="32"/>
      <c r="B539" s="65"/>
      <c r="C539" s="65"/>
      <c r="D539" s="32"/>
      <c r="E539" s="32"/>
      <c r="F539" s="32"/>
      <c r="G539" s="66"/>
      <c r="H539" s="67"/>
      <c r="I539" s="67"/>
      <c r="J539" s="67"/>
      <c r="K539" s="68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</row>
    <row r="540" ht="15.75" customHeight="1">
      <c r="A540" s="32"/>
      <c r="B540" s="65"/>
      <c r="C540" s="65"/>
      <c r="D540" s="32"/>
      <c r="E540" s="32"/>
      <c r="F540" s="32"/>
      <c r="G540" s="66"/>
      <c r="H540" s="67"/>
      <c r="I540" s="67"/>
      <c r="J540" s="67"/>
      <c r="K540" s="68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</row>
    <row r="541" ht="15.75" customHeight="1">
      <c r="A541" s="32"/>
      <c r="B541" s="65"/>
      <c r="C541" s="65"/>
      <c r="D541" s="32"/>
      <c r="E541" s="32"/>
      <c r="F541" s="32"/>
      <c r="G541" s="66"/>
      <c r="H541" s="67"/>
      <c r="I541" s="67"/>
      <c r="J541" s="67"/>
      <c r="K541" s="68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</row>
    <row r="542" ht="15.75" customHeight="1">
      <c r="A542" s="32"/>
      <c r="B542" s="65"/>
      <c r="C542" s="65"/>
      <c r="D542" s="32"/>
      <c r="E542" s="32"/>
      <c r="F542" s="32"/>
      <c r="G542" s="66"/>
      <c r="H542" s="67"/>
      <c r="I542" s="67"/>
      <c r="J542" s="67"/>
      <c r="K542" s="68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</row>
    <row r="543" ht="15.75" customHeight="1">
      <c r="A543" s="32"/>
      <c r="B543" s="65"/>
      <c r="C543" s="65"/>
      <c r="D543" s="32"/>
      <c r="E543" s="32"/>
      <c r="F543" s="32"/>
      <c r="G543" s="66"/>
      <c r="H543" s="67"/>
      <c r="I543" s="67"/>
      <c r="J543" s="67"/>
      <c r="K543" s="68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</row>
    <row r="544" ht="15.75" customHeight="1">
      <c r="A544" s="32"/>
      <c r="B544" s="65"/>
      <c r="C544" s="65"/>
      <c r="D544" s="32"/>
      <c r="E544" s="32"/>
      <c r="F544" s="32"/>
      <c r="G544" s="66"/>
      <c r="H544" s="67"/>
      <c r="I544" s="67"/>
      <c r="J544" s="67"/>
      <c r="K544" s="68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</row>
    <row r="545" ht="15.75" customHeight="1">
      <c r="A545" s="32"/>
      <c r="B545" s="65"/>
      <c r="C545" s="65"/>
      <c r="D545" s="32"/>
      <c r="E545" s="32"/>
      <c r="F545" s="32"/>
      <c r="G545" s="66"/>
      <c r="H545" s="67"/>
      <c r="I545" s="67"/>
      <c r="J545" s="67"/>
      <c r="K545" s="68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</row>
    <row r="546" ht="15.75" customHeight="1">
      <c r="A546" s="32"/>
      <c r="B546" s="65"/>
      <c r="C546" s="65"/>
      <c r="D546" s="32"/>
      <c r="E546" s="32"/>
      <c r="F546" s="32"/>
      <c r="G546" s="66"/>
      <c r="H546" s="67"/>
      <c r="I546" s="67"/>
      <c r="J546" s="67"/>
      <c r="K546" s="68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</row>
    <row r="547" ht="15.75" customHeight="1">
      <c r="A547" s="32"/>
      <c r="B547" s="65"/>
      <c r="C547" s="65"/>
      <c r="D547" s="32"/>
      <c r="E547" s="32"/>
      <c r="F547" s="32"/>
      <c r="G547" s="66"/>
      <c r="H547" s="67"/>
      <c r="I547" s="67"/>
      <c r="J547" s="67"/>
      <c r="K547" s="68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</row>
    <row r="548" ht="15.75" customHeight="1">
      <c r="A548" s="32"/>
      <c r="B548" s="65"/>
      <c r="C548" s="65"/>
      <c r="D548" s="32"/>
      <c r="E548" s="32"/>
      <c r="F548" s="32"/>
      <c r="G548" s="66"/>
      <c r="H548" s="67"/>
      <c r="I548" s="67"/>
      <c r="J548" s="67"/>
      <c r="K548" s="68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</row>
    <row r="549" ht="15.75" customHeight="1">
      <c r="A549" s="32"/>
      <c r="B549" s="65"/>
      <c r="C549" s="65"/>
      <c r="D549" s="32"/>
      <c r="E549" s="32"/>
      <c r="F549" s="32"/>
      <c r="G549" s="66"/>
      <c r="H549" s="67"/>
      <c r="I549" s="67"/>
      <c r="J549" s="67"/>
      <c r="K549" s="68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</row>
    <row r="550" ht="15.75" customHeight="1">
      <c r="A550" s="32"/>
      <c r="B550" s="65"/>
      <c r="C550" s="65"/>
      <c r="D550" s="32"/>
      <c r="E550" s="32"/>
      <c r="F550" s="32"/>
      <c r="G550" s="66"/>
      <c r="H550" s="67"/>
      <c r="I550" s="67"/>
      <c r="J550" s="67"/>
      <c r="K550" s="68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</row>
    <row r="551" ht="15.75" customHeight="1">
      <c r="A551" s="32"/>
      <c r="B551" s="65"/>
      <c r="C551" s="65"/>
      <c r="D551" s="32"/>
      <c r="E551" s="32"/>
      <c r="F551" s="32"/>
      <c r="G551" s="66"/>
      <c r="H551" s="67"/>
      <c r="I551" s="67"/>
      <c r="J551" s="67"/>
      <c r="K551" s="68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</row>
    <row r="552" ht="15.75" customHeight="1">
      <c r="A552" s="32"/>
      <c r="B552" s="65"/>
      <c r="C552" s="65"/>
      <c r="D552" s="32"/>
      <c r="E552" s="32"/>
      <c r="F552" s="32"/>
      <c r="G552" s="66"/>
      <c r="H552" s="67"/>
      <c r="I552" s="67"/>
      <c r="J552" s="67"/>
      <c r="K552" s="68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</row>
    <row r="553" ht="15.75" customHeight="1">
      <c r="A553" s="32"/>
      <c r="B553" s="65"/>
      <c r="C553" s="65"/>
      <c r="D553" s="32"/>
      <c r="E553" s="32"/>
      <c r="F553" s="32"/>
      <c r="G553" s="66"/>
      <c r="H553" s="67"/>
      <c r="I553" s="67"/>
      <c r="J553" s="67"/>
      <c r="K553" s="68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</row>
    <row r="554" ht="15.75" customHeight="1">
      <c r="A554" s="32"/>
      <c r="B554" s="65"/>
      <c r="C554" s="65"/>
      <c r="D554" s="32"/>
      <c r="E554" s="32"/>
      <c r="F554" s="32"/>
      <c r="G554" s="66"/>
      <c r="H554" s="67"/>
      <c r="I554" s="67"/>
      <c r="J554" s="67"/>
      <c r="K554" s="68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</row>
    <row r="555" ht="15.75" customHeight="1">
      <c r="A555" s="32"/>
      <c r="B555" s="65"/>
      <c r="C555" s="65"/>
      <c r="D555" s="32"/>
      <c r="E555" s="32"/>
      <c r="F555" s="32"/>
      <c r="G555" s="66"/>
      <c r="H555" s="67"/>
      <c r="I555" s="67"/>
      <c r="J555" s="67"/>
      <c r="K555" s="68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</row>
    <row r="556" ht="15.75" customHeight="1">
      <c r="A556" s="32"/>
      <c r="B556" s="65"/>
      <c r="C556" s="65"/>
      <c r="D556" s="32"/>
      <c r="E556" s="32"/>
      <c r="F556" s="32"/>
      <c r="G556" s="66"/>
      <c r="H556" s="67"/>
      <c r="I556" s="67"/>
      <c r="J556" s="67"/>
      <c r="K556" s="68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</row>
    <row r="557" ht="15.75" customHeight="1">
      <c r="A557" s="32"/>
      <c r="B557" s="65"/>
      <c r="C557" s="65"/>
      <c r="D557" s="32"/>
      <c r="E557" s="32"/>
      <c r="F557" s="32"/>
      <c r="G557" s="66"/>
      <c r="H557" s="67"/>
      <c r="I557" s="67"/>
      <c r="J557" s="67"/>
      <c r="K557" s="68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</row>
    <row r="558" ht="15.75" customHeight="1">
      <c r="A558" s="32"/>
      <c r="B558" s="65"/>
      <c r="C558" s="65"/>
      <c r="D558" s="32"/>
      <c r="E558" s="32"/>
      <c r="F558" s="32"/>
      <c r="G558" s="66"/>
      <c r="H558" s="67"/>
      <c r="I558" s="67"/>
      <c r="J558" s="67"/>
      <c r="K558" s="68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</row>
    <row r="559" ht="15.75" customHeight="1">
      <c r="A559" s="32"/>
      <c r="B559" s="65"/>
      <c r="C559" s="65"/>
      <c r="D559" s="32"/>
      <c r="E559" s="32"/>
      <c r="F559" s="32"/>
      <c r="G559" s="66"/>
      <c r="H559" s="67"/>
      <c r="I559" s="67"/>
      <c r="J559" s="67"/>
      <c r="K559" s="68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</row>
    <row r="560" ht="15.75" customHeight="1">
      <c r="A560" s="32"/>
      <c r="B560" s="65"/>
      <c r="C560" s="65"/>
      <c r="D560" s="32"/>
      <c r="E560" s="32"/>
      <c r="F560" s="32"/>
      <c r="G560" s="66"/>
      <c r="H560" s="67"/>
      <c r="I560" s="67"/>
      <c r="J560" s="67"/>
      <c r="K560" s="68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</row>
    <row r="561" ht="15.75" customHeight="1">
      <c r="A561" s="32"/>
      <c r="B561" s="65"/>
      <c r="C561" s="65"/>
      <c r="D561" s="32"/>
      <c r="E561" s="32"/>
      <c r="F561" s="32"/>
      <c r="G561" s="66"/>
      <c r="H561" s="67"/>
      <c r="I561" s="67"/>
      <c r="J561" s="67"/>
      <c r="K561" s="68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</row>
    <row r="562" ht="15.75" customHeight="1">
      <c r="A562" s="32"/>
      <c r="B562" s="65"/>
      <c r="C562" s="65"/>
      <c r="D562" s="32"/>
      <c r="E562" s="32"/>
      <c r="F562" s="32"/>
      <c r="G562" s="66"/>
      <c r="H562" s="67"/>
      <c r="I562" s="67"/>
      <c r="J562" s="67"/>
      <c r="K562" s="68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</row>
    <row r="563" ht="15.75" customHeight="1">
      <c r="A563" s="32"/>
      <c r="B563" s="65"/>
      <c r="C563" s="65"/>
      <c r="D563" s="32"/>
      <c r="E563" s="32"/>
      <c r="F563" s="32"/>
      <c r="G563" s="66"/>
      <c r="H563" s="67"/>
      <c r="I563" s="67"/>
      <c r="J563" s="67"/>
      <c r="K563" s="68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</row>
    <row r="564" ht="15.75" customHeight="1">
      <c r="A564" s="32"/>
      <c r="B564" s="65"/>
      <c r="C564" s="65"/>
      <c r="D564" s="32"/>
      <c r="E564" s="32"/>
      <c r="F564" s="32"/>
      <c r="G564" s="66"/>
      <c r="H564" s="67"/>
      <c r="I564" s="67"/>
      <c r="J564" s="67"/>
      <c r="K564" s="68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</row>
    <row r="565" ht="15.75" customHeight="1">
      <c r="A565" s="32"/>
      <c r="B565" s="65"/>
      <c r="C565" s="65"/>
      <c r="D565" s="32"/>
      <c r="E565" s="32"/>
      <c r="F565" s="32"/>
      <c r="G565" s="66"/>
      <c r="H565" s="67"/>
      <c r="I565" s="67"/>
      <c r="J565" s="67"/>
      <c r="K565" s="68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</row>
    <row r="566" ht="15.75" customHeight="1">
      <c r="A566" s="32"/>
      <c r="B566" s="65"/>
      <c r="C566" s="65"/>
      <c r="D566" s="32"/>
      <c r="E566" s="32"/>
      <c r="F566" s="32"/>
      <c r="G566" s="66"/>
      <c r="H566" s="67"/>
      <c r="I566" s="67"/>
      <c r="J566" s="67"/>
      <c r="K566" s="68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</row>
    <row r="567" ht="15.75" customHeight="1">
      <c r="A567" s="32"/>
      <c r="B567" s="65"/>
      <c r="C567" s="65"/>
      <c r="D567" s="32"/>
      <c r="E567" s="32"/>
      <c r="F567" s="32"/>
      <c r="G567" s="66"/>
      <c r="H567" s="67"/>
      <c r="I567" s="67"/>
      <c r="J567" s="67"/>
      <c r="K567" s="68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</row>
    <row r="568" ht="15.75" customHeight="1">
      <c r="A568" s="32"/>
      <c r="B568" s="65"/>
      <c r="C568" s="65"/>
      <c r="D568" s="32"/>
      <c r="E568" s="32"/>
      <c r="F568" s="32"/>
      <c r="G568" s="66"/>
      <c r="H568" s="67"/>
      <c r="I568" s="67"/>
      <c r="J568" s="67"/>
      <c r="K568" s="68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</row>
    <row r="569" ht="15.75" customHeight="1">
      <c r="A569" s="32"/>
      <c r="B569" s="65"/>
      <c r="C569" s="65"/>
      <c r="D569" s="32"/>
      <c r="E569" s="32"/>
      <c r="F569" s="32"/>
      <c r="G569" s="66"/>
      <c r="H569" s="67"/>
      <c r="I569" s="67"/>
      <c r="J569" s="67"/>
      <c r="K569" s="68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</row>
    <row r="570" ht="15.75" customHeight="1">
      <c r="A570" s="32"/>
      <c r="B570" s="65"/>
      <c r="C570" s="65"/>
      <c r="D570" s="32"/>
      <c r="E570" s="32"/>
      <c r="F570" s="32"/>
      <c r="G570" s="66"/>
      <c r="H570" s="67"/>
      <c r="I570" s="67"/>
      <c r="J570" s="67"/>
      <c r="K570" s="68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</row>
    <row r="571" ht="15.75" customHeight="1">
      <c r="A571" s="32"/>
      <c r="B571" s="65"/>
      <c r="C571" s="65"/>
      <c r="D571" s="32"/>
      <c r="E571" s="32"/>
      <c r="F571" s="32"/>
      <c r="G571" s="66"/>
      <c r="H571" s="67"/>
      <c r="I571" s="67"/>
      <c r="J571" s="67"/>
      <c r="K571" s="68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</row>
    <row r="572" ht="15.75" customHeight="1">
      <c r="A572" s="32"/>
      <c r="B572" s="65"/>
      <c r="C572" s="65"/>
      <c r="D572" s="32"/>
      <c r="E572" s="32"/>
      <c r="F572" s="32"/>
      <c r="G572" s="66"/>
      <c r="H572" s="67"/>
      <c r="I572" s="67"/>
      <c r="J572" s="67"/>
      <c r="K572" s="68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</row>
    <row r="573" ht="15.75" customHeight="1">
      <c r="A573" s="32"/>
      <c r="B573" s="65"/>
      <c r="C573" s="65"/>
      <c r="D573" s="32"/>
      <c r="E573" s="32"/>
      <c r="F573" s="32"/>
      <c r="G573" s="66"/>
      <c r="H573" s="67"/>
      <c r="I573" s="67"/>
      <c r="J573" s="67"/>
      <c r="K573" s="68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</row>
    <row r="574" ht="15.75" customHeight="1">
      <c r="A574" s="32"/>
      <c r="B574" s="65"/>
      <c r="C574" s="65"/>
      <c r="D574" s="32"/>
      <c r="E574" s="32"/>
      <c r="F574" s="32"/>
      <c r="G574" s="66"/>
      <c r="H574" s="67"/>
      <c r="I574" s="67"/>
      <c r="J574" s="67"/>
      <c r="K574" s="68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</row>
    <row r="575" ht="15.75" customHeight="1">
      <c r="A575" s="32"/>
      <c r="B575" s="65"/>
      <c r="C575" s="65"/>
      <c r="D575" s="32"/>
      <c r="E575" s="32"/>
      <c r="F575" s="32"/>
      <c r="G575" s="66"/>
      <c r="H575" s="67"/>
      <c r="I575" s="67"/>
      <c r="J575" s="67"/>
      <c r="K575" s="68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</row>
    <row r="576" ht="15.75" customHeight="1">
      <c r="A576" s="32"/>
      <c r="B576" s="65"/>
      <c r="C576" s="65"/>
      <c r="D576" s="32"/>
      <c r="E576" s="32"/>
      <c r="F576" s="32"/>
      <c r="G576" s="66"/>
      <c r="H576" s="67"/>
      <c r="I576" s="67"/>
      <c r="J576" s="67"/>
      <c r="K576" s="68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</row>
    <row r="577" ht="15.75" customHeight="1">
      <c r="A577" s="32"/>
      <c r="B577" s="65"/>
      <c r="C577" s="65"/>
      <c r="D577" s="32"/>
      <c r="E577" s="32"/>
      <c r="F577" s="32"/>
      <c r="G577" s="66"/>
      <c r="H577" s="67"/>
      <c r="I577" s="67"/>
      <c r="J577" s="67"/>
      <c r="K577" s="68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</row>
    <row r="578" ht="15.75" customHeight="1">
      <c r="A578" s="32"/>
      <c r="B578" s="65"/>
      <c r="C578" s="65"/>
      <c r="D578" s="32"/>
      <c r="E578" s="32"/>
      <c r="F578" s="32"/>
      <c r="G578" s="66"/>
      <c r="H578" s="67"/>
      <c r="I578" s="67"/>
      <c r="J578" s="67"/>
      <c r="K578" s="68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</row>
    <row r="579" ht="15.75" customHeight="1">
      <c r="A579" s="32"/>
      <c r="B579" s="65"/>
      <c r="C579" s="65"/>
      <c r="D579" s="32"/>
      <c r="E579" s="32"/>
      <c r="F579" s="32"/>
      <c r="G579" s="66"/>
      <c r="H579" s="67"/>
      <c r="I579" s="67"/>
      <c r="J579" s="67"/>
      <c r="K579" s="68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</row>
    <row r="580" ht="15.75" customHeight="1">
      <c r="A580" s="32"/>
      <c r="B580" s="65"/>
      <c r="C580" s="65"/>
      <c r="D580" s="32"/>
      <c r="E580" s="32"/>
      <c r="F580" s="32"/>
      <c r="G580" s="66"/>
      <c r="H580" s="67"/>
      <c r="I580" s="67"/>
      <c r="J580" s="67"/>
      <c r="K580" s="68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</row>
    <row r="581" ht="15.75" customHeight="1">
      <c r="A581" s="32"/>
      <c r="B581" s="65"/>
      <c r="C581" s="65"/>
      <c r="D581" s="32"/>
      <c r="E581" s="32"/>
      <c r="F581" s="32"/>
      <c r="G581" s="66"/>
      <c r="H581" s="67"/>
      <c r="I581" s="67"/>
      <c r="J581" s="67"/>
      <c r="K581" s="68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</row>
    <row r="582" ht="15.75" customHeight="1">
      <c r="A582" s="32"/>
      <c r="B582" s="65"/>
      <c r="C582" s="65"/>
      <c r="D582" s="32"/>
      <c r="E582" s="32"/>
      <c r="F582" s="32"/>
      <c r="G582" s="66"/>
      <c r="H582" s="67"/>
      <c r="I582" s="67"/>
      <c r="J582" s="67"/>
      <c r="K582" s="68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</row>
    <row r="583" ht="15.75" customHeight="1">
      <c r="A583" s="32"/>
      <c r="B583" s="65"/>
      <c r="C583" s="65"/>
      <c r="D583" s="32"/>
      <c r="E583" s="32"/>
      <c r="F583" s="32"/>
      <c r="G583" s="66"/>
      <c r="H583" s="67"/>
      <c r="I583" s="67"/>
      <c r="J583" s="67"/>
      <c r="K583" s="68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</row>
    <row r="584" ht="15.75" customHeight="1">
      <c r="A584" s="32"/>
      <c r="B584" s="65"/>
      <c r="C584" s="65"/>
      <c r="D584" s="32"/>
      <c r="E584" s="32"/>
      <c r="F584" s="32"/>
      <c r="G584" s="66"/>
      <c r="H584" s="67"/>
      <c r="I584" s="67"/>
      <c r="J584" s="67"/>
      <c r="K584" s="68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</row>
    <row r="585" ht="15.75" customHeight="1">
      <c r="A585" s="32"/>
      <c r="B585" s="65"/>
      <c r="C585" s="65"/>
      <c r="D585" s="32"/>
      <c r="E585" s="32"/>
      <c r="F585" s="32"/>
      <c r="G585" s="66"/>
      <c r="H585" s="67"/>
      <c r="I585" s="67"/>
      <c r="J585" s="67"/>
      <c r="K585" s="68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</row>
    <row r="586" ht="15.75" customHeight="1">
      <c r="A586" s="32"/>
      <c r="B586" s="65"/>
      <c r="C586" s="65"/>
      <c r="D586" s="32"/>
      <c r="E586" s="32"/>
      <c r="F586" s="32"/>
      <c r="G586" s="66"/>
      <c r="H586" s="67"/>
      <c r="I586" s="67"/>
      <c r="J586" s="67"/>
      <c r="K586" s="68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</row>
    <row r="587" ht="15.75" customHeight="1">
      <c r="A587" s="32"/>
      <c r="B587" s="65"/>
      <c r="C587" s="65"/>
      <c r="D587" s="32"/>
      <c r="E587" s="32"/>
      <c r="F587" s="32"/>
      <c r="G587" s="66"/>
      <c r="H587" s="67"/>
      <c r="I587" s="67"/>
      <c r="J587" s="67"/>
      <c r="K587" s="68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</row>
    <row r="588" ht="15.75" customHeight="1">
      <c r="A588" s="32"/>
      <c r="B588" s="65"/>
      <c r="C588" s="65"/>
      <c r="D588" s="32"/>
      <c r="E588" s="32"/>
      <c r="F588" s="32"/>
      <c r="G588" s="66"/>
      <c r="H588" s="67"/>
      <c r="I588" s="67"/>
      <c r="J588" s="67"/>
      <c r="K588" s="68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</row>
    <row r="589" ht="15.75" customHeight="1">
      <c r="A589" s="32"/>
      <c r="B589" s="65"/>
      <c r="C589" s="65"/>
      <c r="D589" s="32"/>
      <c r="E589" s="32"/>
      <c r="F589" s="32"/>
      <c r="G589" s="66"/>
      <c r="H589" s="67"/>
      <c r="I589" s="67"/>
      <c r="J589" s="67"/>
      <c r="K589" s="68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</row>
    <row r="590" ht="15.75" customHeight="1">
      <c r="A590" s="32"/>
      <c r="B590" s="65"/>
      <c r="C590" s="65"/>
      <c r="D590" s="32"/>
      <c r="E590" s="32"/>
      <c r="F590" s="32"/>
      <c r="G590" s="66"/>
      <c r="H590" s="67"/>
      <c r="I590" s="67"/>
      <c r="J590" s="67"/>
      <c r="K590" s="68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</row>
    <row r="591" ht="15.75" customHeight="1">
      <c r="A591" s="32"/>
      <c r="B591" s="65"/>
      <c r="C591" s="65"/>
      <c r="D591" s="32"/>
      <c r="E591" s="32"/>
      <c r="F591" s="32"/>
      <c r="G591" s="66"/>
      <c r="H591" s="67"/>
      <c r="I591" s="67"/>
      <c r="J591" s="67"/>
      <c r="K591" s="68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</row>
    <row r="592" ht="15.75" customHeight="1">
      <c r="A592" s="32"/>
      <c r="B592" s="65"/>
      <c r="C592" s="65"/>
      <c r="D592" s="32"/>
      <c r="E592" s="32"/>
      <c r="F592" s="32"/>
      <c r="G592" s="66"/>
      <c r="H592" s="67"/>
      <c r="I592" s="67"/>
      <c r="J592" s="67"/>
      <c r="K592" s="68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</row>
    <row r="593" ht="15.75" customHeight="1">
      <c r="A593" s="32"/>
      <c r="B593" s="65"/>
      <c r="C593" s="65"/>
      <c r="D593" s="32"/>
      <c r="E593" s="32"/>
      <c r="F593" s="32"/>
      <c r="G593" s="66"/>
      <c r="H593" s="67"/>
      <c r="I593" s="67"/>
      <c r="J593" s="67"/>
      <c r="K593" s="68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</row>
    <row r="594" ht="15.75" customHeight="1">
      <c r="A594" s="32"/>
      <c r="B594" s="65"/>
      <c r="C594" s="65"/>
      <c r="D594" s="32"/>
      <c r="E594" s="32"/>
      <c r="F594" s="32"/>
      <c r="G594" s="66"/>
      <c r="H594" s="67"/>
      <c r="I594" s="67"/>
      <c r="J594" s="67"/>
      <c r="K594" s="68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</row>
    <row r="595" ht="15.75" customHeight="1">
      <c r="A595" s="32"/>
      <c r="B595" s="65"/>
      <c r="C595" s="65"/>
      <c r="D595" s="32"/>
      <c r="E595" s="32"/>
      <c r="F595" s="32"/>
      <c r="G595" s="66"/>
      <c r="H595" s="67"/>
      <c r="I595" s="67"/>
      <c r="J595" s="67"/>
      <c r="K595" s="68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</row>
    <row r="596" ht="15.75" customHeight="1">
      <c r="A596" s="32"/>
      <c r="B596" s="65"/>
      <c r="C596" s="65"/>
      <c r="D596" s="32"/>
      <c r="E596" s="32"/>
      <c r="F596" s="32"/>
      <c r="G596" s="66"/>
      <c r="H596" s="67"/>
      <c r="I596" s="67"/>
      <c r="J596" s="67"/>
      <c r="K596" s="68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</row>
    <row r="597" ht="15.75" customHeight="1">
      <c r="A597" s="32"/>
      <c r="B597" s="65"/>
      <c r="C597" s="65"/>
      <c r="D597" s="32"/>
      <c r="E597" s="32"/>
      <c r="F597" s="32"/>
      <c r="G597" s="66"/>
      <c r="H597" s="67"/>
      <c r="I597" s="67"/>
      <c r="J597" s="67"/>
      <c r="K597" s="68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</row>
    <row r="598" ht="15.75" customHeight="1">
      <c r="A598" s="32"/>
      <c r="B598" s="65"/>
      <c r="C598" s="65"/>
      <c r="D598" s="32"/>
      <c r="E598" s="32"/>
      <c r="F598" s="32"/>
      <c r="G598" s="66"/>
      <c r="H598" s="67"/>
      <c r="I598" s="67"/>
      <c r="J598" s="67"/>
      <c r="K598" s="68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</row>
    <row r="599" ht="15.75" customHeight="1">
      <c r="A599" s="32"/>
      <c r="B599" s="65"/>
      <c r="C599" s="65"/>
      <c r="D599" s="32"/>
      <c r="E599" s="32"/>
      <c r="F599" s="32"/>
      <c r="G599" s="66"/>
      <c r="H599" s="67"/>
      <c r="I599" s="67"/>
      <c r="J599" s="67"/>
      <c r="K599" s="68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</row>
    <row r="600" ht="15.75" customHeight="1">
      <c r="A600" s="32"/>
      <c r="B600" s="65"/>
      <c r="C600" s="65"/>
      <c r="D600" s="32"/>
      <c r="E600" s="32"/>
      <c r="F600" s="32"/>
      <c r="G600" s="66"/>
      <c r="H600" s="67"/>
      <c r="I600" s="67"/>
      <c r="J600" s="67"/>
      <c r="K600" s="68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</row>
    <row r="601" ht="15.75" customHeight="1">
      <c r="A601" s="32"/>
      <c r="B601" s="65"/>
      <c r="C601" s="65"/>
      <c r="D601" s="32"/>
      <c r="E601" s="32"/>
      <c r="F601" s="32"/>
      <c r="G601" s="66"/>
      <c r="H601" s="67"/>
      <c r="I601" s="67"/>
      <c r="J601" s="67"/>
      <c r="K601" s="68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</row>
    <row r="602" ht="15.75" customHeight="1">
      <c r="A602" s="32"/>
      <c r="B602" s="65"/>
      <c r="C602" s="65"/>
      <c r="D602" s="32"/>
      <c r="E602" s="32"/>
      <c r="F602" s="32"/>
      <c r="G602" s="66"/>
      <c r="H602" s="67"/>
      <c r="I602" s="67"/>
      <c r="J602" s="67"/>
      <c r="K602" s="68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</row>
    <row r="603" ht="15.75" customHeight="1">
      <c r="A603" s="32"/>
      <c r="B603" s="65"/>
      <c r="C603" s="65"/>
      <c r="D603" s="32"/>
      <c r="E603" s="32"/>
      <c r="F603" s="32"/>
      <c r="G603" s="66"/>
      <c r="H603" s="67"/>
      <c r="I603" s="67"/>
      <c r="J603" s="67"/>
      <c r="K603" s="68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</row>
    <row r="604" ht="15.75" customHeight="1">
      <c r="A604" s="32"/>
      <c r="B604" s="65"/>
      <c r="C604" s="65"/>
      <c r="D604" s="32"/>
      <c r="E604" s="32"/>
      <c r="F604" s="32"/>
      <c r="G604" s="66"/>
      <c r="H604" s="67"/>
      <c r="I604" s="67"/>
      <c r="J604" s="67"/>
      <c r="K604" s="68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</row>
    <row r="605" ht="15.75" customHeight="1">
      <c r="A605" s="32"/>
      <c r="B605" s="65"/>
      <c r="C605" s="65"/>
      <c r="D605" s="32"/>
      <c r="E605" s="32"/>
      <c r="F605" s="32"/>
      <c r="G605" s="66"/>
      <c r="H605" s="67"/>
      <c r="I605" s="67"/>
      <c r="J605" s="67"/>
      <c r="K605" s="68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</row>
    <row r="606" ht="15.75" customHeight="1">
      <c r="A606" s="32"/>
      <c r="B606" s="65"/>
      <c r="C606" s="65"/>
      <c r="D606" s="32"/>
      <c r="E606" s="32"/>
      <c r="F606" s="32"/>
      <c r="G606" s="66"/>
      <c r="H606" s="67"/>
      <c r="I606" s="67"/>
      <c r="J606" s="67"/>
      <c r="K606" s="68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</row>
    <row r="607" ht="15.75" customHeight="1">
      <c r="A607" s="32"/>
      <c r="B607" s="65"/>
      <c r="C607" s="65"/>
      <c r="D607" s="32"/>
      <c r="E607" s="32"/>
      <c r="F607" s="32"/>
      <c r="G607" s="66"/>
      <c r="H607" s="67"/>
      <c r="I607" s="67"/>
      <c r="J607" s="67"/>
      <c r="K607" s="68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</row>
    <row r="608" ht="15.75" customHeight="1">
      <c r="A608" s="32"/>
      <c r="B608" s="65"/>
      <c r="C608" s="65"/>
      <c r="D608" s="32"/>
      <c r="E608" s="32"/>
      <c r="F608" s="32"/>
      <c r="G608" s="66"/>
      <c r="H608" s="67"/>
      <c r="I608" s="67"/>
      <c r="J608" s="67"/>
      <c r="K608" s="68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</row>
    <row r="609" ht="15.75" customHeight="1">
      <c r="A609" s="32"/>
      <c r="B609" s="65"/>
      <c r="C609" s="65"/>
      <c r="D609" s="32"/>
      <c r="E609" s="32"/>
      <c r="F609" s="32"/>
      <c r="G609" s="66"/>
      <c r="H609" s="67"/>
      <c r="I609" s="67"/>
      <c r="J609" s="67"/>
      <c r="K609" s="68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</row>
    <row r="610" ht="15.75" customHeight="1">
      <c r="A610" s="32"/>
      <c r="B610" s="65"/>
      <c r="C610" s="65"/>
      <c r="D610" s="32"/>
      <c r="E610" s="32"/>
      <c r="F610" s="32"/>
      <c r="G610" s="66"/>
      <c r="H610" s="67"/>
      <c r="I610" s="67"/>
      <c r="J610" s="67"/>
      <c r="K610" s="68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</row>
    <row r="611" ht="15.75" customHeight="1">
      <c r="A611" s="32"/>
      <c r="B611" s="65"/>
      <c r="C611" s="65"/>
      <c r="D611" s="32"/>
      <c r="E611" s="32"/>
      <c r="F611" s="32"/>
      <c r="G611" s="66"/>
      <c r="H611" s="67"/>
      <c r="I611" s="67"/>
      <c r="J611" s="67"/>
      <c r="K611" s="68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</row>
    <row r="612" ht="15.75" customHeight="1">
      <c r="A612" s="32"/>
      <c r="B612" s="65"/>
      <c r="C612" s="65"/>
      <c r="D612" s="32"/>
      <c r="E612" s="32"/>
      <c r="F612" s="32"/>
      <c r="G612" s="66"/>
      <c r="H612" s="67"/>
      <c r="I612" s="67"/>
      <c r="J612" s="67"/>
      <c r="K612" s="68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</row>
    <row r="613" ht="15.75" customHeight="1">
      <c r="A613" s="32"/>
      <c r="B613" s="65"/>
      <c r="C613" s="65"/>
      <c r="D613" s="32"/>
      <c r="E613" s="32"/>
      <c r="F613" s="32"/>
      <c r="G613" s="66"/>
      <c r="H613" s="67"/>
      <c r="I613" s="67"/>
      <c r="J613" s="67"/>
      <c r="K613" s="68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</row>
    <row r="614" ht="15.75" customHeight="1">
      <c r="A614" s="32"/>
      <c r="B614" s="65"/>
      <c r="C614" s="65"/>
      <c r="D614" s="32"/>
      <c r="E614" s="32"/>
      <c r="F614" s="32"/>
      <c r="G614" s="66"/>
      <c r="H614" s="67"/>
      <c r="I614" s="67"/>
      <c r="J614" s="67"/>
      <c r="K614" s="68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</row>
    <row r="615" ht="15.75" customHeight="1">
      <c r="A615" s="32"/>
      <c r="B615" s="65"/>
      <c r="C615" s="65"/>
      <c r="D615" s="32"/>
      <c r="E615" s="32"/>
      <c r="F615" s="32"/>
      <c r="G615" s="66"/>
      <c r="H615" s="67"/>
      <c r="I615" s="67"/>
      <c r="J615" s="67"/>
      <c r="K615" s="68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</row>
    <row r="616" ht="15.75" customHeight="1">
      <c r="A616" s="32"/>
      <c r="B616" s="65"/>
      <c r="C616" s="65"/>
      <c r="D616" s="32"/>
      <c r="E616" s="32"/>
      <c r="F616" s="32"/>
      <c r="G616" s="66"/>
      <c r="H616" s="67"/>
      <c r="I616" s="67"/>
      <c r="J616" s="67"/>
      <c r="K616" s="68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</row>
    <row r="617" ht="15.75" customHeight="1">
      <c r="A617" s="32"/>
      <c r="B617" s="65"/>
      <c r="C617" s="65"/>
      <c r="D617" s="32"/>
      <c r="E617" s="32"/>
      <c r="F617" s="32"/>
      <c r="G617" s="66"/>
      <c r="H617" s="67"/>
      <c r="I617" s="67"/>
      <c r="J617" s="67"/>
      <c r="K617" s="68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</row>
    <row r="618" ht="15.75" customHeight="1">
      <c r="A618" s="32"/>
      <c r="B618" s="65"/>
      <c r="C618" s="65"/>
      <c r="D618" s="32"/>
      <c r="E618" s="32"/>
      <c r="F618" s="32"/>
      <c r="G618" s="66"/>
      <c r="H618" s="67"/>
      <c r="I618" s="67"/>
      <c r="J618" s="67"/>
      <c r="K618" s="68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</row>
    <row r="619" ht="15.75" customHeight="1">
      <c r="A619" s="32"/>
      <c r="B619" s="65"/>
      <c r="C619" s="65"/>
      <c r="D619" s="32"/>
      <c r="E619" s="32"/>
      <c r="F619" s="32"/>
      <c r="G619" s="66"/>
      <c r="H619" s="67"/>
      <c r="I619" s="67"/>
      <c r="J619" s="67"/>
      <c r="K619" s="68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</row>
    <row r="620" ht="15.75" customHeight="1">
      <c r="A620" s="32"/>
      <c r="B620" s="65"/>
      <c r="C620" s="65"/>
      <c r="D620" s="32"/>
      <c r="E620" s="32"/>
      <c r="F620" s="32"/>
      <c r="G620" s="66"/>
      <c r="H620" s="67"/>
      <c r="I620" s="67"/>
      <c r="J620" s="67"/>
      <c r="K620" s="68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</row>
    <row r="621" ht="15.75" customHeight="1">
      <c r="A621" s="32"/>
      <c r="B621" s="65"/>
      <c r="C621" s="65"/>
      <c r="D621" s="32"/>
      <c r="E621" s="32"/>
      <c r="F621" s="32"/>
      <c r="G621" s="66"/>
      <c r="H621" s="67"/>
      <c r="I621" s="67"/>
      <c r="J621" s="67"/>
      <c r="K621" s="68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</row>
    <row r="622" ht="15.75" customHeight="1">
      <c r="A622" s="32"/>
      <c r="B622" s="65"/>
      <c r="C622" s="65"/>
      <c r="D622" s="32"/>
      <c r="E622" s="32"/>
      <c r="F622" s="32"/>
      <c r="G622" s="66"/>
      <c r="H622" s="67"/>
      <c r="I622" s="67"/>
      <c r="J622" s="67"/>
      <c r="K622" s="68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</row>
    <row r="623" ht="15.75" customHeight="1">
      <c r="A623" s="32"/>
      <c r="B623" s="65"/>
      <c r="C623" s="65"/>
      <c r="D623" s="32"/>
      <c r="E623" s="32"/>
      <c r="F623" s="32"/>
      <c r="G623" s="66"/>
      <c r="H623" s="67"/>
      <c r="I623" s="67"/>
      <c r="J623" s="67"/>
      <c r="K623" s="68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</row>
    <row r="624" ht="15.75" customHeight="1">
      <c r="A624" s="32"/>
      <c r="B624" s="65"/>
      <c r="C624" s="65"/>
      <c r="D624" s="32"/>
      <c r="E624" s="32"/>
      <c r="F624" s="32"/>
      <c r="G624" s="66"/>
      <c r="H624" s="67"/>
      <c r="I624" s="67"/>
      <c r="J624" s="67"/>
      <c r="K624" s="68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</row>
    <row r="625" ht="15.75" customHeight="1">
      <c r="A625" s="32"/>
      <c r="B625" s="65"/>
      <c r="C625" s="65"/>
      <c r="D625" s="32"/>
      <c r="E625" s="32"/>
      <c r="F625" s="32"/>
      <c r="G625" s="66"/>
      <c r="H625" s="67"/>
      <c r="I625" s="67"/>
      <c r="J625" s="67"/>
      <c r="K625" s="68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</row>
    <row r="626" ht="15.75" customHeight="1">
      <c r="A626" s="32"/>
      <c r="B626" s="65"/>
      <c r="C626" s="65"/>
      <c r="D626" s="32"/>
      <c r="E626" s="32"/>
      <c r="F626" s="32"/>
      <c r="G626" s="66"/>
      <c r="H626" s="67"/>
      <c r="I626" s="67"/>
      <c r="J626" s="67"/>
      <c r="K626" s="68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</row>
    <row r="627" ht="15.75" customHeight="1">
      <c r="A627" s="32"/>
      <c r="B627" s="65"/>
      <c r="C627" s="65"/>
      <c r="D627" s="32"/>
      <c r="E627" s="32"/>
      <c r="F627" s="32"/>
      <c r="G627" s="66"/>
      <c r="H627" s="67"/>
      <c r="I627" s="67"/>
      <c r="J627" s="67"/>
      <c r="K627" s="68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</row>
    <row r="628" ht="15.75" customHeight="1">
      <c r="A628" s="32"/>
      <c r="B628" s="65"/>
      <c r="C628" s="65"/>
      <c r="D628" s="32"/>
      <c r="E628" s="32"/>
      <c r="F628" s="32"/>
      <c r="G628" s="66"/>
      <c r="H628" s="67"/>
      <c r="I628" s="67"/>
      <c r="J628" s="67"/>
      <c r="K628" s="68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</row>
    <row r="629" ht="15.75" customHeight="1">
      <c r="A629" s="32"/>
      <c r="B629" s="65"/>
      <c r="C629" s="65"/>
      <c r="D629" s="32"/>
      <c r="E629" s="32"/>
      <c r="F629" s="32"/>
      <c r="G629" s="66"/>
      <c r="H629" s="67"/>
      <c r="I629" s="67"/>
      <c r="J629" s="67"/>
      <c r="K629" s="68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</row>
    <row r="630" ht="15.75" customHeight="1">
      <c r="A630" s="32"/>
      <c r="B630" s="65"/>
      <c r="C630" s="65"/>
      <c r="D630" s="32"/>
      <c r="E630" s="32"/>
      <c r="F630" s="32"/>
      <c r="G630" s="66"/>
      <c r="H630" s="67"/>
      <c r="I630" s="67"/>
      <c r="J630" s="67"/>
      <c r="K630" s="68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</row>
    <row r="631" ht="15.75" customHeight="1">
      <c r="A631" s="32"/>
      <c r="B631" s="65"/>
      <c r="C631" s="65"/>
      <c r="D631" s="32"/>
      <c r="E631" s="32"/>
      <c r="F631" s="32"/>
      <c r="G631" s="66"/>
      <c r="H631" s="67"/>
      <c r="I631" s="67"/>
      <c r="J631" s="67"/>
      <c r="K631" s="68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</row>
    <row r="632" ht="15.75" customHeight="1">
      <c r="A632" s="32"/>
      <c r="B632" s="65"/>
      <c r="C632" s="65"/>
      <c r="D632" s="32"/>
      <c r="E632" s="32"/>
      <c r="F632" s="32"/>
      <c r="G632" s="66"/>
      <c r="H632" s="67"/>
      <c r="I632" s="67"/>
      <c r="J632" s="67"/>
      <c r="K632" s="68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</row>
    <row r="633" ht="15.75" customHeight="1">
      <c r="A633" s="32"/>
      <c r="B633" s="65"/>
      <c r="C633" s="65"/>
      <c r="D633" s="32"/>
      <c r="E633" s="32"/>
      <c r="F633" s="32"/>
      <c r="G633" s="66"/>
      <c r="H633" s="67"/>
      <c r="I633" s="67"/>
      <c r="J633" s="67"/>
      <c r="K633" s="68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</row>
    <row r="634" ht="15.75" customHeight="1">
      <c r="A634" s="32"/>
      <c r="B634" s="65"/>
      <c r="C634" s="65"/>
      <c r="D634" s="32"/>
      <c r="E634" s="32"/>
      <c r="F634" s="32"/>
      <c r="G634" s="66"/>
      <c r="H634" s="67"/>
      <c r="I634" s="67"/>
      <c r="J634" s="67"/>
      <c r="K634" s="68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</row>
    <row r="635" ht="15.75" customHeight="1">
      <c r="A635" s="32"/>
      <c r="B635" s="65"/>
      <c r="C635" s="65"/>
      <c r="D635" s="32"/>
      <c r="E635" s="32"/>
      <c r="F635" s="32"/>
      <c r="G635" s="66"/>
      <c r="H635" s="67"/>
      <c r="I635" s="67"/>
      <c r="J635" s="67"/>
      <c r="K635" s="68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</row>
    <row r="636" ht="15.75" customHeight="1">
      <c r="A636" s="32"/>
      <c r="B636" s="65"/>
      <c r="C636" s="65"/>
      <c r="D636" s="32"/>
      <c r="E636" s="32"/>
      <c r="F636" s="32"/>
      <c r="G636" s="66"/>
      <c r="H636" s="67"/>
      <c r="I636" s="67"/>
      <c r="J636" s="67"/>
      <c r="K636" s="68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</row>
    <row r="637" ht="15.75" customHeight="1">
      <c r="A637" s="32"/>
      <c r="B637" s="65"/>
      <c r="C637" s="65"/>
      <c r="D637" s="32"/>
      <c r="E637" s="32"/>
      <c r="F637" s="32"/>
      <c r="G637" s="66"/>
      <c r="H637" s="67"/>
      <c r="I637" s="67"/>
      <c r="J637" s="67"/>
      <c r="K637" s="68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</row>
    <row r="638" ht="15.75" customHeight="1">
      <c r="A638" s="32"/>
      <c r="B638" s="65"/>
      <c r="C638" s="65"/>
      <c r="D638" s="32"/>
      <c r="E638" s="32"/>
      <c r="F638" s="32"/>
      <c r="G638" s="66"/>
      <c r="H638" s="67"/>
      <c r="I638" s="67"/>
      <c r="J638" s="67"/>
      <c r="K638" s="68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</row>
    <row r="639" ht="15.75" customHeight="1">
      <c r="A639" s="32"/>
      <c r="B639" s="65"/>
      <c r="C639" s="65"/>
      <c r="D639" s="32"/>
      <c r="E639" s="32"/>
      <c r="F639" s="32"/>
      <c r="G639" s="66"/>
      <c r="H639" s="67"/>
      <c r="I639" s="67"/>
      <c r="J639" s="67"/>
      <c r="K639" s="68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</row>
    <row r="640" ht="15.75" customHeight="1">
      <c r="A640" s="32"/>
      <c r="B640" s="65"/>
      <c r="C640" s="65"/>
      <c r="D640" s="32"/>
      <c r="E640" s="32"/>
      <c r="F640" s="32"/>
      <c r="G640" s="66"/>
      <c r="H640" s="67"/>
      <c r="I640" s="67"/>
      <c r="J640" s="67"/>
      <c r="K640" s="68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</row>
    <row r="641" ht="15.75" customHeight="1">
      <c r="A641" s="32"/>
      <c r="B641" s="65"/>
      <c r="C641" s="65"/>
      <c r="D641" s="32"/>
      <c r="E641" s="32"/>
      <c r="F641" s="32"/>
      <c r="G641" s="66"/>
      <c r="H641" s="67"/>
      <c r="I641" s="67"/>
      <c r="J641" s="67"/>
      <c r="K641" s="68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</row>
    <row r="642" ht="15.75" customHeight="1">
      <c r="A642" s="32"/>
      <c r="B642" s="65"/>
      <c r="C642" s="65"/>
      <c r="D642" s="32"/>
      <c r="E642" s="32"/>
      <c r="F642" s="32"/>
      <c r="G642" s="66"/>
      <c r="H642" s="67"/>
      <c r="I642" s="67"/>
      <c r="J642" s="67"/>
      <c r="K642" s="68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</row>
    <row r="643" ht="15.75" customHeight="1">
      <c r="A643" s="32"/>
      <c r="B643" s="65"/>
      <c r="C643" s="65"/>
      <c r="D643" s="32"/>
      <c r="E643" s="32"/>
      <c r="F643" s="32"/>
      <c r="G643" s="66"/>
      <c r="H643" s="67"/>
      <c r="I643" s="67"/>
      <c r="J643" s="67"/>
      <c r="K643" s="68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</row>
    <row r="644" ht="15.75" customHeight="1">
      <c r="A644" s="32"/>
      <c r="B644" s="65"/>
      <c r="C644" s="65"/>
      <c r="D644" s="32"/>
      <c r="E644" s="32"/>
      <c r="F644" s="32"/>
      <c r="G644" s="66"/>
      <c r="H644" s="67"/>
      <c r="I644" s="67"/>
      <c r="J644" s="67"/>
      <c r="K644" s="68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</row>
    <row r="645" ht="15.75" customHeight="1">
      <c r="A645" s="32"/>
      <c r="B645" s="65"/>
      <c r="C645" s="65"/>
      <c r="D645" s="32"/>
      <c r="E645" s="32"/>
      <c r="F645" s="32"/>
      <c r="G645" s="66"/>
      <c r="H645" s="67"/>
      <c r="I645" s="67"/>
      <c r="J645" s="67"/>
      <c r="K645" s="68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</row>
    <row r="646" ht="15.75" customHeight="1">
      <c r="A646" s="32"/>
      <c r="B646" s="65"/>
      <c r="C646" s="65"/>
      <c r="D646" s="32"/>
      <c r="E646" s="32"/>
      <c r="F646" s="32"/>
      <c r="G646" s="66"/>
      <c r="H646" s="67"/>
      <c r="I646" s="67"/>
      <c r="J646" s="67"/>
      <c r="K646" s="68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</row>
    <row r="647" ht="15.75" customHeight="1">
      <c r="A647" s="32"/>
      <c r="B647" s="65"/>
      <c r="C647" s="65"/>
      <c r="D647" s="32"/>
      <c r="E647" s="32"/>
      <c r="F647" s="32"/>
      <c r="G647" s="66"/>
      <c r="H647" s="67"/>
      <c r="I647" s="67"/>
      <c r="J647" s="67"/>
      <c r="K647" s="68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</row>
    <row r="648" ht="15.75" customHeight="1">
      <c r="A648" s="32"/>
      <c r="B648" s="65"/>
      <c r="C648" s="65"/>
      <c r="D648" s="32"/>
      <c r="E648" s="32"/>
      <c r="F648" s="32"/>
      <c r="G648" s="66"/>
      <c r="H648" s="67"/>
      <c r="I648" s="67"/>
      <c r="J648" s="67"/>
      <c r="K648" s="68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</row>
    <row r="649" ht="15.75" customHeight="1">
      <c r="A649" s="32"/>
      <c r="B649" s="65"/>
      <c r="C649" s="65"/>
      <c r="D649" s="32"/>
      <c r="E649" s="32"/>
      <c r="F649" s="32"/>
      <c r="G649" s="66"/>
      <c r="H649" s="67"/>
      <c r="I649" s="67"/>
      <c r="J649" s="67"/>
      <c r="K649" s="68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</row>
    <row r="650" ht="15.75" customHeight="1">
      <c r="A650" s="32"/>
      <c r="B650" s="65"/>
      <c r="C650" s="65"/>
      <c r="D650" s="32"/>
      <c r="E650" s="32"/>
      <c r="F650" s="32"/>
      <c r="G650" s="66"/>
      <c r="H650" s="67"/>
      <c r="I650" s="67"/>
      <c r="J650" s="67"/>
      <c r="K650" s="68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</row>
    <row r="651" ht="15.75" customHeight="1">
      <c r="A651" s="32"/>
      <c r="B651" s="65"/>
      <c r="C651" s="65"/>
      <c r="D651" s="32"/>
      <c r="E651" s="32"/>
      <c r="F651" s="32"/>
      <c r="G651" s="66"/>
      <c r="H651" s="67"/>
      <c r="I651" s="67"/>
      <c r="J651" s="67"/>
      <c r="K651" s="68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</row>
    <row r="652" ht="15.75" customHeight="1">
      <c r="A652" s="32"/>
      <c r="B652" s="65"/>
      <c r="C652" s="65"/>
      <c r="D652" s="32"/>
      <c r="E652" s="32"/>
      <c r="F652" s="32"/>
      <c r="G652" s="66"/>
      <c r="H652" s="67"/>
      <c r="I652" s="67"/>
      <c r="J652" s="67"/>
      <c r="K652" s="68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</row>
    <row r="653" ht="15.75" customHeight="1">
      <c r="A653" s="32"/>
      <c r="B653" s="65"/>
      <c r="C653" s="65"/>
      <c r="D653" s="32"/>
      <c r="E653" s="32"/>
      <c r="F653" s="32"/>
      <c r="G653" s="66"/>
      <c r="H653" s="67"/>
      <c r="I653" s="67"/>
      <c r="J653" s="67"/>
      <c r="K653" s="68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</row>
    <row r="654" ht="15.75" customHeight="1">
      <c r="A654" s="32"/>
      <c r="B654" s="65"/>
      <c r="C654" s="65"/>
      <c r="D654" s="32"/>
      <c r="E654" s="32"/>
      <c r="F654" s="32"/>
      <c r="G654" s="66"/>
      <c r="H654" s="67"/>
      <c r="I654" s="67"/>
      <c r="J654" s="67"/>
      <c r="K654" s="68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</row>
    <row r="655" ht="15.75" customHeight="1">
      <c r="A655" s="32"/>
      <c r="B655" s="65"/>
      <c r="C655" s="65"/>
      <c r="D655" s="32"/>
      <c r="E655" s="32"/>
      <c r="F655" s="32"/>
      <c r="G655" s="66"/>
      <c r="H655" s="67"/>
      <c r="I655" s="67"/>
      <c r="J655" s="67"/>
      <c r="K655" s="68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</row>
    <row r="656" ht="15.75" customHeight="1">
      <c r="A656" s="32"/>
      <c r="B656" s="65"/>
      <c r="C656" s="65"/>
      <c r="D656" s="32"/>
      <c r="E656" s="32"/>
      <c r="F656" s="32"/>
      <c r="G656" s="66"/>
      <c r="H656" s="67"/>
      <c r="I656" s="67"/>
      <c r="J656" s="67"/>
      <c r="K656" s="68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</row>
    <row r="657" ht="15.75" customHeight="1">
      <c r="A657" s="32"/>
      <c r="B657" s="65"/>
      <c r="C657" s="65"/>
      <c r="D657" s="32"/>
      <c r="E657" s="32"/>
      <c r="F657" s="32"/>
      <c r="G657" s="66"/>
      <c r="H657" s="67"/>
      <c r="I657" s="67"/>
      <c r="J657" s="67"/>
      <c r="K657" s="68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</row>
    <row r="658" ht="15.75" customHeight="1">
      <c r="A658" s="32"/>
      <c r="B658" s="65"/>
      <c r="C658" s="65"/>
      <c r="D658" s="32"/>
      <c r="E658" s="32"/>
      <c r="F658" s="32"/>
      <c r="G658" s="66"/>
      <c r="H658" s="67"/>
      <c r="I658" s="67"/>
      <c r="J658" s="67"/>
      <c r="K658" s="68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</row>
    <row r="659" ht="15.75" customHeight="1">
      <c r="A659" s="32"/>
      <c r="B659" s="65"/>
      <c r="C659" s="65"/>
      <c r="D659" s="32"/>
      <c r="E659" s="32"/>
      <c r="F659" s="32"/>
      <c r="G659" s="66"/>
      <c r="H659" s="67"/>
      <c r="I659" s="67"/>
      <c r="J659" s="67"/>
      <c r="K659" s="68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</row>
    <row r="660" ht="15.75" customHeight="1">
      <c r="A660" s="32"/>
      <c r="B660" s="65"/>
      <c r="C660" s="65"/>
      <c r="D660" s="32"/>
      <c r="E660" s="32"/>
      <c r="F660" s="32"/>
      <c r="G660" s="66"/>
      <c r="H660" s="67"/>
      <c r="I660" s="67"/>
      <c r="J660" s="67"/>
      <c r="K660" s="68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</row>
    <row r="661" ht="15.75" customHeight="1">
      <c r="A661" s="32"/>
      <c r="B661" s="65"/>
      <c r="C661" s="65"/>
      <c r="D661" s="32"/>
      <c r="E661" s="32"/>
      <c r="F661" s="32"/>
      <c r="G661" s="66"/>
      <c r="H661" s="67"/>
      <c r="I661" s="67"/>
      <c r="J661" s="67"/>
      <c r="K661" s="68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</row>
    <row r="662" ht="15.75" customHeight="1">
      <c r="A662" s="32"/>
      <c r="B662" s="65"/>
      <c r="C662" s="65"/>
      <c r="D662" s="32"/>
      <c r="E662" s="32"/>
      <c r="F662" s="32"/>
      <c r="G662" s="66"/>
      <c r="H662" s="67"/>
      <c r="I662" s="67"/>
      <c r="J662" s="67"/>
      <c r="K662" s="68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</row>
    <row r="663" ht="15.75" customHeight="1">
      <c r="A663" s="32"/>
      <c r="B663" s="65"/>
      <c r="C663" s="65"/>
      <c r="D663" s="32"/>
      <c r="E663" s="32"/>
      <c r="F663" s="32"/>
      <c r="G663" s="66"/>
      <c r="H663" s="67"/>
      <c r="I663" s="67"/>
      <c r="J663" s="67"/>
      <c r="K663" s="68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</row>
    <row r="664" ht="15.75" customHeight="1">
      <c r="A664" s="32"/>
      <c r="B664" s="65"/>
      <c r="C664" s="65"/>
      <c r="D664" s="32"/>
      <c r="E664" s="32"/>
      <c r="F664" s="32"/>
      <c r="G664" s="66"/>
      <c r="H664" s="67"/>
      <c r="I664" s="67"/>
      <c r="J664" s="67"/>
      <c r="K664" s="68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</row>
    <row r="665" ht="15.75" customHeight="1">
      <c r="A665" s="32"/>
      <c r="B665" s="65"/>
      <c r="C665" s="65"/>
      <c r="D665" s="32"/>
      <c r="E665" s="32"/>
      <c r="F665" s="32"/>
      <c r="G665" s="66"/>
      <c r="H665" s="67"/>
      <c r="I665" s="67"/>
      <c r="J665" s="67"/>
      <c r="K665" s="68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</row>
    <row r="666" ht="15.75" customHeight="1">
      <c r="A666" s="32"/>
      <c r="B666" s="65"/>
      <c r="C666" s="65"/>
      <c r="D666" s="32"/>
      <c r="E666" s="32"/>
      <c r="F666" s="32"/>
      <c r="G666" s="66"/>
      <c r="H666" s="67"/>
      <c r="I666" s="67"/>
      <c r="J666" s="67"/>
      <c r="K666" s="68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</row>
    <row r="667" ht="15.75" customHeight="1">
      <c r="A667" s="32"/>
      <c r="B667" s="65"/>
      <c r="C667" s="65"/>
      <c r="D667" s="32"/>
      <c r="E667" s="32"/>
      <c r="F667" s="32"/>
      <c r="G667" s="66"/>
      <c r="H667" s="67"/>
      <c r="I667" s="67"/>
      <c r="J667" s="67"/>
      <c r="K667" s="68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</row>
    <row r="668" ht="15.75" customHeight="1">
      <c r="A668" s="32"/>
      <c r="B668" s="65"/>
      <c r="C668" s="65"/>
      <c r="D668" s="32"/>
      <c r="E668" s="32"/>
      <c r="F668" s="32"/>
      <c r="G668" s="66"/>
      <c r="H668" s="67"/>
      <c r="I668" s="67"/>
      <c r="J668" s="67"/>
      <c r="K668" s="68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</row>
    <row r="669" ht="15.75" customHeight="1">
      <c r="A669" s="32"/>
      <c r="B669" s="65"/>
      <c r="C669" s="65"/>
      <c r="D669" s="32"/>
      <c r="E669" s="32"/>
      <c r="F669" s="32"/>
      <c r="G669" s="66"/>
      <c r="H669" s="67"/>
      <c r="I669" s="67"/>
      <c r="J669" s="67"/>
      <c r="K669" s="68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</row>
    <row r="670" ht="15.75" customHeight="1">
      <c r="A670" s="32"/>
      <c r="B670" s="65"/>
      <c r="C670" s="65"/>
      <c r="D670" s="32"/>
      <c r="E670" s="32"/>
      <c r="F670" s="32"/>
      <c r="G670" s="66"/>
      <c r="H670" s="67"/>
      <c r="I670" s="67"/>
      <c r="J670" s="67"/>
      <c r="K670" s="68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</row>
    <row r="671" ht="15.75" customHeight="1">
      <c r="A671" s="32"/>
      <c r="B671" s="65"/>
      <c r="C671" s="65"/>
      <c r="D671" s="32"/>
      <c r="E671" s="32"/>
      <c r="F671" s="32"/>
      <c r="G671" s="66"/>
      <c r="H671" s="67"/>
      <c r="I671" s="67"/>
      <c r="J671" s="67"/>
      <c r="K671" s="68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</row>
    <row r="672" ht="15.75" customHeight="1">
      <c r="A672" s="32"/>
      <c r="B672" s="65"/>
      <c r="C672" s="65"/>
      <c r="D672" s="32"/>
      <c r="E672" s="32"/>
      <c r="F672" s="32"/>
      <c r="G672" s="66"/>
      <c r="H672" s="67"/>
      <c r="I672" s="67"/>
      <c r="J672" s="67"/>
      <c r="K672" s="68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</row>
    <row r="673" ht="15.75" customHeight="1">
      <c r="A673" s="32"/>
      <c r="B673" s="65"/>
      <c r="C673" s="65"/>
      <c r="D673" s="32"/>
      <c r="E673" s="32"/>
      <c r="F673" s="32"/>
      <c r="G673" s="66"/>
      <c r="H673" s="67"/>
      <c r="I673" s="67"/>
      <c r="J673" s="67"/>
      <c r="K673" s="68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</row>
    <row r="674" ht="15.75" customHeight="1">
      <c r="A674" s="32"/>
      <c r="B674" s="65"/>
      <c r="C674" s="65"/>
      <c r="D674" s="32"/>
      <c r="E674" s="32"/>
      <c r="F674" s="32"/>
      <c r="G674" s="66"/>
      <c r="H674" s="67"/>
      <c r="I674" s="67"/>
      <c r="J674" s="67"/>
      <c r="K674" s="68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</row>
    <row r="675" ht="15.75" customHeight="1">
      <c r="A675" s="32"/>
      <c r="B675" s="65"/>
      <c r="C675" s="65"/>
      <c r="D675" s="32"/>
      <c r="E675" s="32"/>
      <c r="F675" s="32"/>
      <c r="G675" s="66"/>
      <c r="H675" s="67"/>
      <c r="I675" s="67"/>
      <c r="J675" s="67"/>
      <c r="K675" s="68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</row>
    <row r="676" ht="15.75" customHeight="1">
      <c r="A676" s="32"/>
      <c r="B676" s="65"/>
      <c r="C676" s="65"/>
      <c r="D676" s="32"/>
      <c r="E676" s="32"/>
      <c r="F676" s="32"/>
      <c r="G676" s="66"/>
      <c r="H676" s="67"/>
      <c r="I676" s="67"/>
      <c r="J676" s="67"/>
      <c r="K676" s="68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</row>
    <row r="677" ht="15.75" customHeight="1">
      <c r="A677" s="32"/>
      <c r="B677" s="65"/>
      <c r="C677" s="65"/>
      <c r="D677" s="32"/>
      <c r="E677" s="32"/>
      <c r="F677" s="32"/>
      <c r="G677" s="66"/>
      <c r="H677" s="67"/>
      <c r="I677" s="67"/>
      <c r="J677" s="67"/>
      <c r="K677" s="68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</row>
    <row r="678" ht="15.75" customHeight="1">
      <c r="A678" s="32"/>
      <c r="B678" s="65"/>
      <c r="C678" s="65"/>
      <c r="D678" s="32"/>
      <c r="E678" s="32"/>
      <c r="F678" s="32"/>
      <c r="G678" s="66"/>
      <c r="H678" s="67"/>
      <c r="I678" s="67"/>
      <c r="J678" s="67"/>
      <c r="K678" s="68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</row>
    <row r="679" ht="15.75" customHeight="1">
      <c r="A679" s="32"/>
      <c r="B679" s="65"/>
      <c r="C679" s="65"/>
      <c r="D679" s="32"/>
      <c r="E679" s="32"/>
      <c r="F679" s="32"/>
      <c r="G679" s="66"/>
      <c r="H679" s="67"/>
      <c r="I679" s="67"/>
      <c r="J679" s="67"/>
      <c r="K679" s="68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</row>
    <row r="680" ht="15.75" customHeight="1">
      <c r="A680" s="32"/>
      <c r="B680" s="65"/>
      <c r="C680" s="65"/>
      <c r="D680" s="32"/>
      <c r="E680" s="32"/>
      <c r="F680" s="32"/>
      <c r="G680" s="66"/>
      <c r="H680" s="67"/>
      <c r="I680" s="67"/>
      <c r="J680" s="67"/>
      <c r="K680" s="68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</row>
    <row r="681" ht="15.75" customHeight="1">
      <c r="A681" s="32"/>
      <c r="B681" s="65"/>
      <c r="C681" s="65"/>
      <c r="D681" s="32"/>
      <c r="E681" s="32"/>
      <c r="F681" s="32"/>
      <c r="G681" s="66"/>
      <c r="H681" s="67"/>
      <c r="I681" s="67"/>
      <c r="J681" s="67"/>
      <c r="K681" s="68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</row>
    <row r="682" ht="15.75" customHeight="1">
      <c r="A682" s="32"/>
      <c r="B682" s="65"/>
      <c r="C682" s="65"/>
      <c r="D682" s="32"/>
      <c r="E682" s="32"/>
      <c r="F682" s="32"/>
      <c r="G682" s="66"/>
      <c r="H682" s="67"/>
      <c r="I682" s="67"/>
      <c r="J682" s="67"/>
      <c r="K682" s="68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</row>
    <row r="683" ht="15.75" customHeight="1">
      <c r="A683" s="32"/>
      <c r="B683" s="65"/>
      <c r="C683" s="65"/>
      <c r="D683" s="32"/>
      <c r="E683" s="32"/>
      <c r="F683" s="32"/>
      <c r="G683" s="66"/>
      <c r="H683" s="67"/>
      <c r="I683" s="67"/>
      <c r="J683" s="67"/>
      <c r="K683" s="68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</row>
    <row r="684" ht="15.75" customHeight="1">
      <c r="A684" s="32"/>
      <c r="B684" s="65"/>
      <c r="C684" s="65"/>
      <c r="D684" s="32"/>
      <c r="E684" s="32"/>
      <c r="F684" s="32"/>
      <c r="G684" s="66"/>
      <c r="H684" s="67"/>
      <c r="I684" s="67"/>
      <c r="J684" s="67"/>
      <c r="K684" s="68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</row>
    <row r="685" ht="15.75" customHeight="1">
      <c r="A685" s="32"/>
      <c r="B685" s="65"/>
      <c r="C685" s="65"/>
      <c r="D685" s="32"/>
      <c r="E685" s="32"/>
      <c r="F685" s="32"/>
      <c r="G685" s="66"/>
      <c r="H685" s="67"/>
      <c r="I685" s="67"/>
      <c r="J685" s="67"/>
      <c r="K685" s="68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</row>
    <row r="686" ht="15.75" customHeight="1">
      <c r="A686" s="32"/>
      <c r="B686" s="65"/>
      <c r="C686" s="65"/>
      <c r="D686" s="32"/>
      <c r="E686" s="32"/>
      <c r="F686" s="32"/>
      <c r="G686" s="66"/>
      <c r="H686" s="67"/>
      <c r="I686" s="67"/>
      <c r="J686" s="67"/>
      <c r="K686" s="68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</row>
    <row r="687" ht="15.75" customHeight="1">
      <c r="A687" s="32"/>
      <c r="B687" s="65"/>
      <c r="C687" s="65"/>
      <c r="D687" s="32"/>
      <c r="E687" s="32"/>
      <c r="F687" s="32"/>
      <c r="G687" s="66"/>
      <c r="H687" s="67"/>
      <c r="I687" s="67"/>
      <c r="J687" s="67"/>
      <c r="K687" s="68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</row>
    <row r="688" ht="15.75" customHeight="1">
      <c r="A688" s="32"/>
      <c r="B688" s="65"/>
      <c r="C688" s="65"/>
      <c r="D688" s="32"/>
      <c r="E688" s="32"/>
      <c r="F688" s="32"/>
      <c r="G688" s="66"/>
      <c r="H688" s="67"/>
      <c r="I688" s="67"/>
      <c r="J688" s="67"/>
      <c r="K688" s="68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</row>
    <row r="689" ht="15.75" customHeight="1">
      <c r="A689" s="32"/>
      <c r="B689" s="65"/>
      <c r="C689" s="65"/>
      <c r="D689" s="32"/>
      <c r="E689" s="32"/>
      <c r="F689" s="32"/>
      <c r="G689" s="66"/>
      <c r="H689" s="67"/>
      <c r="I689" s="67"/>
      <c r="J689" s="67"/>
      <c r="K689" s="68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</row>
    <row r="690" ht="15.75" customHeight="1">
      <c r="A690" s="32"/>
      <c r="B690" s="65"/>
      <c r="C690" s="65"/>
      <c r="D690" s="32"/>
      <c r="E690" s="32"/>
      <c r="F690" s="32"/>
      <c r="G690" s="66"/>
      <c r="H690" s="67"/>
      <c r="I690" s="67"/>
      <c r="J690" s="67"/>
      <c r="K690" s="68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</row>
    <row r="691" ht="15.75" customHeight="1">
      <c r="A691" s="32"/>
      <c r="B691" s="65"/>
      <c r="C691" s="65"/>
      <c r="D691" s="32"/>
      <c r="E691" s="32"/>
      <c r="F691" s="32"/>
      <c r="G691" s="66"/>
      <c r="H691" s="67"/>
      <c r="I691" s="67"/>
      <c r="J691" s="67"/>
      <c r="K691" s="68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</row>
    <row r="692" ht="15.75" customHeight="1">
      <c r="A692" s="32"/>
      <c r="B692" s="65"/>
      <c r="C692" s="65"/>
      <c r="D692" s="32"/>
      <c r="E692" s="32"/>
      <c r="F692" s="32"/>
      <c r="G692" s="66"/>
      <c r="H692" s="67"/>
      <c r="I692" s="67"/>
      <c r="J692" s="67"/>
      <c r="K692" s="68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</row>
    <row r="693" ht="15.75" customHeight="1">
      <c r="A693" s="32"/>
      <c r="B693" s="65"/>
      <c r="C693" s="65"/>
      <c r="D693" s="32"/>
      <c r="E693" s="32"/>
      <c r="F693" s="32"/>
      <c r="G693" s="66"/>
      <c r="H693" s="67"/>
      <c r="I693" s="67"/>
      <c r="J693" s="67"/>
      <c r="K693" s="68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</row>
    <row r="694" ht="15.75" customHeight="1">
      <c r="A694" s="32"/>
      <c r="B694" s="65"/>
      <c r="C694" s="65"/>
      <c r="D694" s="32"/>
      <c r="E694" s="32"/>
      <c r="F694" s="32"/>
      <c r="G694" s="66"/>
      <c r="H694" s="67"/>
      <c r="I694" s="67"/>
      <c r="J694" s="67"/>
      <c r="K694" s="68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</row>
    <row r="695" ht="15.75" customHeight="1">
      <c r="A695" s="32"/>
      <c r="B695" s="65"/>
      <c r="C695" s="65"/>
      <c r="D695" s="32"/>
      <c r="E695" s="32"/>
      <c r="F695" s="32"/>
      <c r="G695" s="66"/>
      <c r="H695" s="67"/>
      <c r="I695" s="67"/>
      <c r="J695" s="67"/>
      <c r="K695" s="68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</row>
    <row r="696" ht="15.75" customHeight="1">
      <c r="A696" s="32"/>
      <c r="B696" s="65"/>
      <c r="C696" s="65"/>
      <c r="D696" s="32"/>
      <c r="E696" s="32"/>
      <c r="F696" s="32"/>
      <c r="G696" s="66"/>
      <c r="H696" s="67"/>
      <c r="I696" s="67"/>
      <c r="J696" s="67"/>
      <c r="K696" s="68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</row>
    <row r="697" ht="15.75" customHeight="1">
      <c r="A697" s="32"/>
      <c r="B697" s="65"/>
      <c r="C697" s="65"/>
      <c r="D697" s="32"/>
      <c r="E697" s="32"/>
      <c r="F697" s="32"/>
      <c r="G697" s="66"/>
      <c r="H697" s="67"/>
      <c r="I697" s="67"/>
      <c r="J697" s="67"/>
      <c r="K697" s="68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</row>
    <row r="698" ht="15.75" customHeight="1">
      <c r="A698" s="32"/>
      <c r="B698" s="65"/>
      <c r="C698" s="65"/>
      <c r="D698" s="32"/>
      <c r="E698" s="32"/>
      <c r="F698" s="32"/>
      <c r="G698" s="66"/>
      <c r="H698" s="67"/>
      <c r="I698" s="67"/>
      <c r="J698" s="67"/>
      <c r="K698" s="68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</row>
    <row r="699" ht="15.75" customHeight="1">
      <c r="A699" s="32"/>
      <c r="B699" s="65"/>
      <c r="C699" s="65"/>
      <c r="D699" s="32"/>
      <c r="E699" s="32"/>
      <c r="F699" s="32"/>
      <c r="G699" s="66"/>
      <c r="H699" s="67"/>
      <c r="I699" s="67"/>
      <c r="J699" s="67"/>
      <c r="K699" s="68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</row>
    <row r="700" ht="15.75" customHeight="1">
      <c r="A700" s="32"/>
      <c r="B700" s="65"/>
      <c r="C700" s="65"/>
      <c r="D700" s="32"/>
      <c r="E700" s="32"/>
      <c r="F700" s="32"/>
      <c r="G700" s="66"/>
      <c r="H700" s="67"/>
      <c r="I700" s="67"/>
      <c r="J700" s="67"/>
      <c r="K700" s="68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</row>
    <row r="701" ht="15.75" customHeight="1">
      <c r="A701" s="32"/>
      <c r="B701" s="65"/>
      <c r="C701" s="65"/>
      <c r="D701" s="32"/>
      <c r="E701" s="32"/>
      <c r="F701" s="32"/>
      <c r="G701" s="66"/>
      <c r="H701" s="67"/>
      <c r="I701" s="67"/>
      <c r="J701" s="67"/>
      <c r="K701" s="68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</row>
    <row r="702" ht="15.75" customHeight="1">
      <c r="A702" s="32"/>
      <c r="B702" s="65"/>
      <c r="C702" s="65"/>
      <c r="D702" s="32"/>
      <c r="E702" s="32"/>
      <c r="F702" s="32"/>
      <c r="G702" s="66"/>
      <c r="H702" s="67"/>
      <c r="I702" s="67"/>
      <c r="J702" s="67"/>
      <c r="K702" s="68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</row>
    <row r="703" ht="15.75" customHeight="1">
      <c r="A703" s="32"/>
      <c r="B703" s="65"/>
      <c r="C703" s="65"/>
      <c r="D703" s="32"/>
      <c r="E703" s="32"/>
      <c r="F703" s="32"/>
      <c r="G703" s="66"/>
      <c r="H703" s="67"/>
      <c r="I703" s="67"/>
      <c r="J703" s="67"/>
      <c r="K703" s="68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</row>
    <row r="704" ht="15.75" customHeight="1">
      <c r="A704" s="32"/>
      <c r="B704" s="65"/>
      <c r="C704" s="65"/>
      <c r="D704" s="32"/>
      <c r="E704" s="32"/>
      <c r="F704" s="32"/>
      <c r="G704" s="66"/>
      <c r="H704" s="67"/>
      <c r="I704" s="67"/>
      <c r="J704" s="67"/>
      <c r="K704" s="68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</row>
    <row r="705" ht="15.75" customHeight="1">
      <c r="A705" s="32"/>
      <c r="B705" s="65"/>
      <c r="C705" s="65"/>
      <c r="D705" s="32"/>
      <c r="E705" s="32"/>
      <c r="F705" s="32"/>
      <c r="G705" s="66"/>
      <c r="H705" s="67"/>
      <c r="I705" s="67"/>
      <c r="J705" s="67"/>
      <c r="K705" s="68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</row>
    <row r="706" ht="15.75" customHeight="1">
      <c r="A706" s="32"/>
      <c r="B706" s="65"/>
      <c r="C706" s="65"/>
      <c r="D706" s="32"/>
      <c r="E706" s="32"/>
      <c r="F706" s="32"/>
      <c r="G706" s="66"/>
      <c r="H706" s="67"/>
      <c r="I706" s="67"/>
      <c r="J706" s="67"/>
      <c r="K706" s="68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</row>
    <row r="707" ht="15.75" customHeight="1">
      <c r="A707" s="32"/>
      <c r="B707" s="65"/>
      <c r="C707" s="65"/>
      <c r="D707" s="32"/>
      <c r="E707" s="32"/>
      <c r="F707" s="32"/>
      <c r="G707" s="66"/>
      <c r="H707" s="67"/>
      <c r="I707" s="67"/>
      <c r="J707" s="67"/>
      <c r="K707" s="68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</row>
    <row r="708" ht="15.75" customHeight="1">
      <c r="A708" s="32"/>
      <c r="B708" s="65"/>
      <c r="C708" s="65"/>
      <c r="D708" s="32"/>
      <c r="E708" s="32"/>
      <c r="F708" s="32"/>
      <c r="G708" s="66"/>
      <c r="H708" s="67"/>
      <c r="I708" s="67"/>
      <c r="J708" s="67"/>
      <c r="K708" s="68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</row>
    <row r="709" ht="15.75" customHeight="1">
      <c r="A709" s="32"/>
      <c r="B709" s="65"/>
      <c r="C709" s="65"/>
      <c r="D709" s="32"/>
      <c r="E709" s="32"/>
      <c r="F709" s="32"/>
      <c r="G709" s="66"/>
      <c r="H709" s="67"/>
      <c r="I709" s="67"/>
      <c r="J709" s="67"/>
      <c r="K709" s="68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</row>
    <row r="710" ht="15.75" customHeight="1">
      <c r="A710" s="32"/>
      <c r="B710" s="65"/>
      <c r="C710" s="65"/>
      <c r="D710" s="32"/>
      <c r="E710" s="32"/>
      <c r="F710" s="32"/>
      <c r="G710" s="66"/>
      <c r="H710" s="67"/>
      <c r="I710" s="67"/>
      <c r="J710" s="67"/>
      <c r="K710" s="68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</row>
    <row r="711" ht="15.75" customHeight="1">
      <c r="A711" s="32"/>
      <c r="B711" s="65"/>
      <c r="C711" s="65"/>
      <c r="D711" s="32"/>
      <c r="E711" s="32"/>
      <c r="F711" s="32"/>
      <c r="G711" s="66"/>
      <c r="H711" s="67"/>
      <c r="I711" s="67"/>
      <c r="J711" s="67"/>
      <c r="K711" s="68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</row>
    <row r="712" ht="15.75" customHeight="1">
      <c r="A712" s="32"/>
      <c r="B712" s="65"/>
      <c r="C712" s="65"/>
      <c r="D712" s="32"/>
      <c r="E712" s="32"/>
      <c r="F712" s="32"/>
      <c r="G712" s="66"/>
      <c r="H712" s="67"/>
      <c r="I712" s="67"/>
      <c r="J712" s="67"/>
      <c r="K712" s="68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</row>
    <row r="713" ht="15.75" customHeight="1">
      <c r="A713" s="32"/>
      <c r="B713" s="65"/>
      <c r="C713" s="65"/>
      <c r="D713" s="32"/>
      <c r="E713" s="32"/>
      <c r="F713" s="32"/>
      <c r="G713" s="66"/>
      <c r="H713" s="67"/>
      <c r="I713" s="67"/>
      <c r="J713" s="67"/>
      <c r="K713" s="68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</row>
    <row r="714" ht="15.75" customHeight="1">
      <c r="A714" s="32"/>
      <c r="B714" s="65"/>
      <c r="C714" s="65"/>
      <c r="D714" s="32"/>
      <c r="E714" s="32"/>
      <c r="F714" s="32"/>
      <c r="G714" s="66"/>
      <c r="H714" s="67"/>
      <c r="I714" s="67"/>
      <c r="J714" s="67"/>
      <c r="K714" s="68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</row>
    <row r="715" ht="15.75" customHeight="1">
      <c r="A715" s="32"/>
      <c r="B715" s="65"/>
      <c r="C715" s="65"/>
      <c r="D715" s="32"/>
      <c r="E715" s="32"/>
      <c r="F715" s="32"/>
      <c r="G715" s="66"/>
      <c r="H715" s="67"/>
      <c r="I715" s="67"/>
      <c r="J715" s="67"/>
      <c r="K715" s="68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</row>
    <row r="716" ht="15.75" customHeight="1">
      <c r="A716" s="32"/>
      <c r="B716" s="65"/>
      <c r="C716" s="65"/>
      <c r="D716" s="32"/>
      <c r="E716" s="32"/>
      <c r="F716" s="32"/>
      <c r="G716" s="66"/>
      <c r="H716" s="67"/>
      <c r="I716" s="67"/>
      <c r="J716" s="67"/>
      <c r="K716" s="68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</row>
    <row r="717" ht="15.75" customHeight="1">
      <c r="A717" s="32"/>
      <c r="B717" s="65"/>
      <c r="C717" s="65"/>
      <c r="D717" s="32"/>
      <c r="E717" s="32"/>
      <c r="F717" s="32"/>
      <c r="G717" s="66"/>
      <c r="H717" s="67"/>
      <c r="I717" s="67"/>
      <c r="J717" s="67"/>
      <c r="K717" s="68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</row>
    <row r="718" ht="15.75" customHeight="1">
      <c r="A718" s="32"/>
      <c r="B718" s="65"/>
      <c r="C718" s="65"/>
      <c r="D718" s="32"/>
      <c r="E718" s="32"/>
      <c r="F718" s="32"/>
      <c r="G718" s="66"/>
      <c r="H718" s="67"/>
      <c r="I718" s="67"/>
      <c r="J718" s="67"/>
      <c r="K718" s="68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</row>
    <row r="719" ht="15.75" customHeight="1">
      <c r="A719" s="32"/>
      <c r="B719" s="65"/>
      <c r="C719" s="65"/>
      <c r="D719" s="32"/>
      <c r="E719" s="32"/>
      <c r="F719" s="32"/>
      <c r="G719" s="66"/>
      <c r="H719" s="67"/>
      <c r="I719" s="67"/>
      <c r="J719" s="67"/>
      <c r="K719" s="68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</row>
    <row r="720" ht="15.75" customHeight="1">
      <c r="A720" s="32"/>
      <c r="B720" s="65"/>
      <c r="C720" s="65"/>
      <c r="D720" s="32"/>
      <c r="E720" s="32"/>
      <c r="F720" s="32"/>
      <c r="G720" s="66"/>
      <c r="H720" s="67"/>
      <c r="I720" s="67"/>
      <c r="J720" s="67"/>
      <c r="K720" s="68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</row>
    <row r="721" ht="15.75" customHeight="1">
      <c r="A721" s="32"/>
      <c r="B721" s="65"/>
      <c r="C721" s="65"/>
      <c r="D721" s="32"/>
      <c r="E721" s="32"/>
      <c r="F721" s="32"/>
      <c r="G721" s="66"/>
      <c r="H721" s="67"/>
      <c r="I721" s="67"/>
      <c r="J721" s="67"/>
      <c r="K721" s="68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</row>
    <row r="722" ht="15.75" customHeight="1">
      <c r="A722" s="32"/>
      <c r="B722" s="65"/>
      <c r="C722" s="65"/>
      <c r="D722" s="32"/>
      <c r="E722" s="32"/>
      <c r="F722" s="32"/>
      <c r="G722" s="66"/>
      <c r="H722" s="67"/>
      <c r="I722" s="67"/>
      <c r="J722" s="67"/>
      <c r="K722" s="68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</row>
    <row r="723" ht="15.75" customHeight="1">
      <c r="A723" s="32"/>
      <c r="B723" s="65"/>
      <c r="C723" s="65"/>
      <c r="D723" s="32"/>
      <c r="E723" s="32"/>
      <c r="F723" s="32"/>
      <c r="G723" s="66"/>
      <c r="H723" s="67"/>
      <c r="I723" s="67"/>
      <c r="J723" s="67"/>
      <c r="K723" s="68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</row>
    <row r="724" ht="15.75" customHeight="1">
      <c r="A724" s="32"/>
      <c r="B724" s="65"/>
      <c r="C724" s="65"/>
      <c r="D724" s="32"/>
      <c r="E724" s="32"/>
      <c r="F724" s="32"/>
      <c r="G724" s="66"/>
      <c r="H724" s="67"/>
      <c r="I724" s="67"/>
      <c r="J724" s="67"/>
      <c r="K724" s="68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</row>
    <row r="725" ht="15.75" customHeight="1">
      <c r="A725" s="32"/>
      <c r="B725" s="65"/>
      <c r="C725" s="65"/>
      <c r="D725" s="32"/>
      <c r="E725" s="32"/>
      <c r="F725" s="32"/>
      <c r="G725" s="66"/>
      <c r="H725" s="67"/>
      <c r="I725" s="67"/>
      <c r="J725" s="67"/>
      <c r="K725" s="68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</row>
    <row r="726" ht="15.75" customHeight="1">
      <c r="A726" s="32"/>
      <c r="B726" s="65"/>
      <c r="C726" s="65"/>
      <c r="D726" s="32"/>
      <c r="E726" s="32"/>
      <c r="F726" s="32"/>
      <c r="G726" s="66"/>
      <c r="H726" s="67"/>
      <c r="I726" s="67"/>
      <c r="J726" s="67"/>
      <c r="K726" s="68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</row>
    <row r="727" ht="15.75" customHeight="1">
      <c r="A727" s="32"/>
      <c r="B727" s="65"/>
      <c r="C727" s="65"/>
      <c r="D727" s="32"/>
      <c r="E727" s="32"/>
      <c r="F727" s="32"/>
      <c r="G727" s="66"/>
      <c r="H727" s="67"/>
      <c r="I727" s="67"/>
      <c r="J727" s="67"/>
      <c r="K727" s="68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</row>
    <row r="728" ht="15.75" customHeight="1">
      <c r="A728" s="32"/>
      <c r="B728" s="65"/>
      <c r="C728" s="65"/>
      <c r="D728" s="32"/>
      <c r="E728" s="32"/>
      <c r="F728" s="32"/>
      <c r="G728" s="66"/>
      <c r="H728" s="67"/>
      <c r="I728" s="67"/>
      <c r="J728" s="67"/>
      <c r="K728" s="68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</row>
    <row r="729" ht="15.75" customHeight="1">
      <c r="A729" s="32"/>
      <c r="B729" s="65"/>
      <c r="C729" s="65"/>
      <c r="D729" s="32"/>
      <c r="E729" s="32"/>
      <c r="F729" s="32"/>
      <c r="G729" s="66"/>
      <c r="H729" s="67"/>
      <c r="I729" s="67"/>
      <c r="J729" s="67"/>
      <c r="K729" s="68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</row>
    <row r="730" ht="15.75" customHeight="1">
      <c r="A730" s="32"/>
      <c r="B730" s="65"/>
      <c r="C730" s="65"/>
      <c r="D730" s="32"/>
      <c r="E730" s="32"/>
      <c r="F730" s="32"/>
      <c r="G730" s="66"/>
      <c r="H730" s="67"/>
      <c r="I730" s="67"/>
      <c r="J730" s="67"/>
      <c r="K730" s="68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</row>
    <row r="731" ht="15.75" customHeight="1">
      <c r="A731" s="32"/>
      <c r="B731" s="65"/>
      <c r="C731" s="65"/>
      <c r="D731" s="32"/>
      <c r="E731" s="32"/>
      <c r="F731" s="32"/>
      <c r="G731" s="66"/>
      <c r="H731" s="67"/>
      <c r="I731" s="67"/>
      <c r="J731" s="67"/>
      <c r="K731" s="68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</row>
    <row r="732" ht="15.75" customHeight="1">
      <c r="A732" s="32"/>
      <c r="B732" s="65"/>
      <c r="C732" s="65"/>
      <c r="D732" s="32"/>
      <c r="E732" s="32"/>
      <c r="F732" s="32"/>
      <c r="G732" s="66"/>
      <c r="H732" s="67"/>
      <c r="I732" s="67"/>
      <c r="J732" s="67"/>
      <c r="K732" s="68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</row>
    <row r="733" ht="15.75" customHeight="1">
      <c r="A733" s="32"/>
      <c r="B733" s="65"/>
      <c r="C733" s="65"/>
      <c r="D733" s="32"/>
      <c r="E733" s="32"/>
      <c r="F733" s="32"/>
      <c r="G733" s="66"/>
      <c r="H733" s="67"/>
      <c r="I733" s="67"/>
      <c r="J733" s="67"/>
      <c r="K733" s="68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</row>
    <row r="734" ht="15.75" customHeight="1">
      <c r="A734" s="32"/>
      <c r="B734" s="65"/>
      <c r="C734" s="65"/>
      <c r="D734" s="32"/>
      <c r="E734" s="32"/>
      <c r="F734" s="32"/>
      <c r="G734" s="66"/>
      <c r="H734" s="67"/>
      <c r="I734" s="67"/>
      <c r="J734" s="67"/>
      <c r="K734" s="68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</row>
    <row r="735" ht="15.75" customHeight="1">
      <c r="A735" s="32"/>
      <c r="B735" s="65"/>
      <c r="C735" s="65"/>
      <c r="D735" s="32"/>
      <c r="E735" s="32"/>
      <c r="F735" s="32"/>
      <c r="G735" s="66"/>
      <c r="H735" s="67"/>
      <c r="I735" s="67"/>
      <c r="J735" s="67"/>
      <c r="K735" s="68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</row>
    <row r="736" ht="15.75" customHeight="1">
      <c r="A736" s="32"/>
      <c r="B736" s="65"/>
      <c r="C736" s="65"/>
      <c r="D736" s="32"/>
      <c r="E736" s="32"/>
      <c r="F736" s="32"/>
      <c r="G736" s="66"/>
      <c r="H736" s="67"/>
      <c r="I736" s="67"/>
      <c r="J736" s="67"/>
      <c r="K736" s="68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</row>
    <row r="737" ht="15.75" customHeight="1">
      <c r="A737" s="32"/>
      <c r="B737" s="65"/>
      <c r="C737" s="65"/>
      <c r="D737" s="32"/>
      <c r="E737" s="32"/>
      <c r="F737" s="32"/>
      <c r="G737" s="66"/>
      <c r="H737" s="67"/>
      <c r="I737" s="67"/>
      <c r="J737" s="67"/>
      <c r="K737" s="68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</row>
    <row r="738" ht="15.75" customHeight="1">
      <c r="A738" s="32"/>
      <c r="B738" s="65"/>
      <c r="C738" s="65"/>
      <c r="D738" s="32"/>
      <c r="E738" s="32"/>
      <c r="F738" s="32"/>
      <c r="G738" s="66"/>
      <c r="H738" s="67"/>
      <c r="I738" s="67"/>
      <c r="J738" s="67"/>
      <c r="K738" s="68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</row>
    <row r="739" ht="15.75" customHeight="1">
      <c r="A739" s="32"/>
      <c r="B739" s="65"/>
      <c r="C739" s="65"/>
      <c r="D739" s="32"/>
      <c r="E739" s="32"/>
      <c r="F739" s="32"/>
      <c r="G739" s="66"/>
      <c r="H739" s="67"/>
      <c r="I739" s="67"/>
      <c r="J739" s="67"/>
      <c r="K739" s="68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</row>
    <row r="740" ht="15.75" customHeight="1">
      <c r="A740" s="32"/>
      <c r="B740" s="65"/>
      <c r="C740" s="65"/>
      <c r="D740" s="32"/>
      <c r="E740" s="32"/>
      <c r="F740" s="32"/>
      <c r="G740" s="66"/>
      <c r="H740" s="67"/>
      <c r="I740" s="67"/>
      <c r="J740" s="67"/>
      <c r="K740" s="68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</row>
    <row r="741" ht="15.75" customHeight="1">
      <c r="A741" s="32"/>
      <c r="B741" s="65"/>
      <c r="C741" s="65"/>
      <c r="D741" s="32"/>
      <c r="E741" s="32"/>
      <c r="F741" s="32"/>
      <c r="G741" s="66"/>
      <c r="H741" s="67"/>
      <c r="I741" s="67"/>
      <c r="J741" s="67"/>
      <c r="K741" s="68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</row>
    <row r="742" ht="15.75" customHeight="1">
      <c r="A742" s="32"/>
      <c r="B742" s="65"/>
      <c r="C742" s="65"/>
      <c r="D742" s="32"/>
      <c r="E742" s="32"/>
      <c r="F742" s="32"/>
      <c r="G742" s="66"/>
      <c r="H742" s="67"/>
      <c r="I742" s="67"/>
      <c r="J742" s="67"/>
      <c r="K742" s="68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</row>
    <row r="743" ht="15.75" customHeight="1">
      <c r="A743" s="32"/>
      <c r="B743" s="65"/>
      <c r="C743" s="65"/>
      <c r="D743" s="32"/>
      <c r="E743" s="32"/>
      <c r="F743" s="32"/>
      <c r="G743" s="66"/>
      <c r="H743" s="67"/>
      <c r="I743" s="67"/>
      <c r="J743" s="67"/>
      <c r="K743" s="68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</row>
    <row r="744" ht="15.75" customHeight="1">
      <c r="A744" s="32"/>
      <c r="B744" s="65"/>
      <c r="C744" s="65"/>
      <c r="D744" s="32"/>
      <c r="E744" s="32"/>
      <c r="F744" s="32"/>
      <c r="G744" s="66"/>
      <c r="H744" s="67"/>
      <c r="I744" s="67"/>
      <c r="J744" s="67"/>
      <c r="K744" s="68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</row>
    <row r="745" ht="15.75" customHeight="1">
      <c r="A745" s="32"/>
      <c r="B745" s="65"/>
      <c r="C745" s="65"/>
      <c r="D745" s="32"/>
      <c r="E745" s="32"/>
      <c r="F745" s="32"/>
      <c r="G745" s="66"/>
      <c r="H745" s="67"/>
      <c r="I745" s="67"/>
      <c r="J745" s="67"/>
      <c r="K745" s="68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</row>
    <row r="746" ht="15.75" customHeight="1">
      <c r="A746" s="32"/>
      <c r="B746" s="65"/>
      <c r="C746" s="65"/>
      <c r="D746" s="32"/>
      <c r="E746" s="32"/>
      <c r="F746" s="32"/>
      <c r="G746" s="66"/>
      <c r="H746" s="67"/>
      <c r="I746" s="67"/>
      <c r="J746" s="67"/>
      <c r="K746" s="68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</row>
    <row r="747" ht="15.75" customHeight="1">
      <c r="A747" s="32"/>
      <c r="B747" s="65"/>
      <c r="C747" s="65"/>
      <c r="D747" s="32"/>
      <c r="E747" s="32"/>
      <c r="F747" s="32"/>
      <c r="G747" s="66"/>
      <c r="H747" s="67"/>
      <c r="I747" s="67"/>
      <c r="J747" s="67"/>
      <c r="K747" s="68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</row>
    <row r="748" ht="15.75" customHeight="1">
      <c r="A748" s="32"/>
      <c r="B748" s="65"/>
      <c r="C748" s="65"/>
      <c r="D748" s="32"/>
      <c r="E748" s="32"/>
      <c r="F748" s="32"/>
      <c r="G748" s="66"/>
      <c r="H748" s="67"/>
      <c r="I748" s="67"/>
      <c r="J748" s="67"/>
      <c r="K748" s="68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</row>
    <row r="749" ht="15.75" customHeight="1">
      <c r="A749" s="32"/>
      <c r="B749" s="65"/>
      <c r="C749" s="65"/>
      <c r="D749" s="32"/>
      <c r="E749" s="32"/>
      <c r="F749" s="32"/>
      <c r="G749" s="66"/>
      <c r="H749" s="67"/>
      <c r="I749" s="67"/>
      <c r="J749" s="67"/>
      <c r="K749" s="68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</row>
    <row r="750" ht="15.75" customHeight="1">
      <c r="A750" s="32"/>
      <c r="B750" s="65"/>
      <c r="C750" s="65"/>
      <c r="D750" s="32"/>
      <c r="E750" s="32"/>
      <c r="F750" s="32"/>
      <c r="G750" s="66"/>
      <c r="H750" s="67"/>
      <c r="I750" s="67"/>
      <c r="J750" s="67"/>
      <c r="K750" s="68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</row>
    <row r="751" ht="15.75" customHeight="1">
      <c r="A751" s="32"/>
      <c r="B751" s="65"/>
      <c r="C751" s="65"/>
      <c r="D751" s="32"/>
      <c r="E751" s="32"/>
      <c r="F751" s="32"/>
      <c r="G751" s="66"/>
      <c r="H751" s="67"/>
      <c r="I751" s="67"/>
      <c r="J751" s="67"/>
      <c r="K751" s="68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</row>
    <row r="752" ht="15.75" customHeight="1">
      <c r="A752" s="32"/>
      <c r="B752" s="65"/>
      <c r="C752" s="65"/>
      <c r="D752" s="32"/>
      <c r="E752" s="32"/>
      <c r="F752" s="32"/>
      <c r="G752" s="66"/>
      <c r="H752" s="67"/>
      <c r="I752" s="67"/>
      <c r="J752" s="67"/>
      <c r="K752" s="68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</row>
    <row r="753" ht="15.75" customHeight="1">
      <c r="A753" s="32"/>
      <c r="B753" s="65"/>
      <c r="C753" s="65"/>
      <c r="D753" s="32"/>
      <c r="E753" s="32"/>
      <c r="F753" s="32"/>
      <c r="G753" s="66"/>
      <c r="H753" s="67"/>
      <c r="I753" s="67"/>
      <c r="J753" s="67"/>
      <c r="K753" s="68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</row>
    <row r="754" ht="15.75" customHeight="1">
      <c r="A754" s="32"/>
      <c r="B754" s="65"/>
      <c r="C754" s="65"/>
      <c r="D754" s="32"/>
      <c r="E754" s="32"/>
      <c r="F754" s="32"/>
      <c r="G754" s="66"/>
      <c r="H754" s="67"/>
      <c r="I754" s="67"/>
      <c r="J754" s="67"/>
      <c r="K754" s="68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</row>
    <row r="755" ht="15.75" customHeight="1">
      <c r="A755" s="32"/>
      <c r="B755" s="65"/>
      <c r="C755" s="65"/>
      <c r="D755" s="32"/>
      <c r="E755" s="32"/>
      <c r="F755" s="32"/>
      <c r="G755" s="66"/>
      <c r="H755" s="67"/>
      <c r="I755" s="67"/>
      <c r="J755" s="67"/>
      <c r="K755" s="68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</row>
    <row r="756" ht="15.75" customHeight="1">
      <c r="A756" s="32"/>
      <c r="B756" s="65"/>
      <c r="C756" s="65"/>
      <c r="D756" s="32"/>
      <c r="E756" s="32"/>
      <c r="F756" s="32"/>
      <c r="G756" s="66"/>
      <c r="H756" s="67"/>
      <c r="I756" s="67"/>
      <c r="J756" s="67"/>
      <c r="K756" s="68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</row>
    <row r="757" ht="15.75" customHeight="1">
      <c r="A757" s="32"/>
      <c r="B757" s="65"/>
      <c r="C757" s="65"/>
      <c r="D757" s="32"/>
      <c r="E757" s="32"/>
      <c r="F757" s="32"/>
      <c r="G757" s="66"/>
      <c r="H757" s="67"/>
      <c r="I757" s="67"/>
      <c r="J757" s="67"/>
      <c r="K757" s="68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</row>
    <row r="758" ht="15.75" customHeight="1">
      <c r="A758" s="32"/>
      <c r="B758" s="65"/>
      <c r="C758" s="65"/>
      <c r="D758" s="32"/>
      <c r="E758" s="32"/>
      <c r="F758" s="32"/>
      <c r="G758" s="66"/>
      <c r="H758" s="67"/>
      <c r="I758" s="67"/>
      <c r="J758" s="67"/>
      <c r="K758" s="68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</row>
    <row r="759" ht="15.75" customHeight="1">
      <c r="A759" s="32"/>
      <c r="B759" s="65"/>
      <c r="C759" s="65"/>
      <c r="D759" s="32"/>
      <c r="E759" s="32"/>
      <c r="F759" s="32"/>
      <c r="G759" s="66"/>
      <c r="H759" s="67"/>
      <c r="I759" s="67"/>
      <c r="J759" s="67"/>
      <c r="K759" s="68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</row>
    <row r="760" ht="15.75" customHeight="1">
      <c r="A760" s="32"/>
      <c r="B760" s="65"/>
      <c r="C760" s="65"/>
      <c r="D760" s="32"/>
      <c r="E760" s="32"/>
      <c r="F760" s="32"/>
      <c r="G760" s="66"/>
      <c r="H760" s="67"/>
      <c r="I760" s="67"/>
      <c r="J760" s="67"/>
      <c r="K760" s="68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</row>
    <row r="761" ht="15.75" customHeight="1">
      <c r="A761" s="32"/>
      <c r="B761" s="65"/>
      <c r="C761" s="65"/>
      <c r="D761" s="32"/>
      <c r="E761" s="32"/>
      <c r="F761" s="32"/>
      <c r="G761" s="66"/>
      <c r="H761" s="67"/>
      <c r="I761" s="67"/>
      <c r="J761" s="67"/>
      <c r="K761" s="68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</row>
    <row r="762" ht="15.75" customHeight="1">
      <c r="A762" s="32"/>
      <c r="B762" s="65"/>
      <c r="C762" s="65"/>
      <c r="D762" s="32"/>
      <c r="E762" s="32"/>
      <c r="F762" s="32"/>
      <c r="G762" s="66"/>
      <c r="H762" s="67"/>
      <c r="I762" s="67"/>
      <c r="J762" s="67"/>
      <c r="K762" s="68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</row>
    <row r="763" ht="15.75" customHeight="1">
      <c r="A763" s="32"/>
      <c r="B763" s="65"/>
      <c r="C763" s="65"/>
      <c r="D763" s="32"/>
      <c r="E763" s="32"/>
      <c r="F763" s="32"/>
      <c r="G763" s="66"/>
      <c r="H763" s="67"/>
      <c r="I763" s="67"/>
      <c r="J763" s="67"/>
      <c r="K763" s="68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</row>
    <row r="764" ht="15.75" customHeight="1">
      <c r="A764" s="32"/>
      <c r="B764" s="65"/>
      <c r="C764" s="65"/>
      <c r="D764" s="32"/>
      <c r="E764" s="32"/>
      <c r="F764" s="32"/>
      <c r="G764" s="66"/>
      <c r="H764" s="67"/>
      <c r="I764" s="67"/>
      <c r="J764" s="67"/>
      <c r="K764" s="68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</row>
    <row r="765" ht="15.75" customHeight="1">
      <c r="A765" s="32"/>
      <c r="B765" s="65"/>
      <c r="C765" s="65"/>
      <c r="D765" s="32"/>
      <c r="E765" s="32"/>
      <c r="F765" s="32"/>
      <c r="G765" s="66"/>
      <c r="H765" s="67"/>
      <c r="I765" s="67"/>
      <c r="J765" s="67"/>
      <c r="K765" s="68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</row>
    <row r="766" ht="15.75" customHeight="1">
      <c r="A766" s="32"/>
      <c r="B766" s="65"/>
      <c r="C766" s="65"/>
      <c r="D766" s="32"/>
      <c r="E766" s="32"/>
      <c r="F766" s="32"/>
      <c r="G766" s="66"/>
      <c r="H766" s="67"/>
      <c r="I766" s="67"/>
      <c r="J766" s="67"/>
      <c r="K766" s="68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</row>
    <row r="767" ht="15.75" customHeight="1">
      <c r="A767" s="32"/>
      <c r="B767" s="65"/>
      <c r="C767" s="65"/>
      <c r="D767" s="32"/>
      <c r="E767" s="32"/>
      <c r="F767" s="32"/>
      <c r="G767" s="66"/>
      <c r="H767" s="67"/>
      <c r="I767" s="67"/>
      <c r="J767" s="67"/>
      <c r="K767" s="68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</row>
    <row r="768" ht="15.75" customHeight="1">
      <c r="A768" s="32"/>
      <c r="B768" s="65"/>
      <c r="C768" s="65"/>
      <c r="D768" s="32"/>
      <c r="E768" s="32"/>
      <c r="F768" s="32"/>
      <c r="G768" s="66"/>
      <c r="H768" s="67"/>
      <c r="I768" s="67"/>
      <c r="J768" s="67"/>
      <c r="K768" s="68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</row>
    <row r="769" ht="15.75" customHeight="1">
      <c r="A769" s="32"/>
      <c r="B769" s="65"/>
      <c r="C769" s="65"/>
      <c r="D769" s="32"/>
      <c r="E769" s="32"/>
      <c r="F769" s="32"/>
      <c r="G769" s="66"/>
      <c r="H769" s="67"/>
      <c r="I769" s="67"/>
      <c r="J769" s="67"/>
      <c r="K769" s="68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</row>
    <row r="770" ht="15.75" customHeight="1">
      <c r="A770" s="32"/>
      <c r="B770" s="65"/>
      <c r="C770" s="65"/>
      <c r="D770" s="32"/>
      <c r="E770" s="32"/>
      <c r="F770" s="32"/>
      <c r="G770" s="66"/>
      <c r="H770" s="67"/>
      <c r="I770" s="67"/>
      <c r="J770" s="67"/>
      <c r="K770" s="68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</row>
    <row r="771" ht="15.75" customHeight="1">
      <c r="A771" s="32"/>
      <c r="B771" s="65"/>
      <c r="C771" s="65"/>
      <c r="D771" s="32"/>
      <c r="E771" s="32"/>
      <c r="F771" s="32"/>
      <c r="G771" s="66"/>
      <c r="H771" s="67"/>
      <c r="I771" s="67"/>
      <c r="J771" s="67"/>
      <c r="K771" s="68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</row>
    <row r="772" ht="15.75" customHeight="1">
      <c r="A772" s="32"/>
      <c r="B772" s="65"/>
      <c r="C772" s="65"/>
      <c r="D772" s="32"/>
      <c r="E772" s="32"/>
      <c r="F772" s="32"/>
      <c r="G772" s="66"/>
      <c r="H772" s="67"/>
      <c r="I772" s="67"/>
      <c r="J772" s="67"/>
      <c r="K772" s="68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</row>
    <row r="773" ht="15.75" customHeight="1">
      <c r="A773" s="32"/>
      <c r="B773" s="65"/>
      <c r="C773" s="65"/>
      <c r="D773" s="32"/>
      <c r="E773" s="32"/>
      <c r="F773" s="32"/>
      <c r="G773" s="66"/>
      <c r="H773" s="67"/>
      <c r="I773" s="67"/>
      <c r="J773" s="67"/>
      <c r="K773" s="68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</row>
    <row r="774" ht="15.75" customHeight="1">
      <c r="A774" s="32"/>
      <c r="B774" s="65"/>
      <c r="C774" s="65"/>
      <c r="D774" s="32"/>
      <c r="E774" s="32"/>
      <c r="F774" s="32"/>
      <c r="G774" s="66"/>
      <c r="H774" s="67"/>
      <c r="I774" s="67"/>
      <c r="J774" s="67"/>
      <c r="K774" s="68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</row>
    <row r="775" ht="15.75" customHeight="1">
      <c r="A775" s="32"/>
      <c r="B775" s="65"/>
      <c r="C775" s="65"/>
      <c r="D775" s="32"/>
      <c r="E775" s="32"/>
      <c r="F775" s="32"/>
      <c r="G775" s="66"/>
      <c r="H775" s="67"/>
      <c r="I775" s="67"/>
      <c r="J775" s="67"/>
      <c r="K775" s="68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</row>
    <row r="776" ht="15.75" customHeight="1">
      <c r="A776" s="32"/>
      <c r="B776" s="65"/>
      <c r="C776" s="65"/>
      <c r="D776" s="32"/>
      <c r="E776" s="32"/>
      <c r="F776" s="32"/>
      <c r="G776" s="66"/>
      <c r="H776" s="67"/>
      <c r="I776" s="67"/>
      <c r="J776" s="67"/>
      <c r="K776" s="68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</row>
    <row r="777" ht="15.75" customHeight="1">
      <c r="A777" s="32"/>
      <c r="B777" s="65"/>
      <c r="C777" s="65"/>
      <c r="D777" s="32"/>
      <c r="E777" s="32"/>
      <c r="F777" s="32"/>
      <c r="G777" s="66"/>
      <c r="H777" s="67"/>
      <c r="I777" s="67"/>
      <c r="J777" s="67"/>
      <c r="K777" s="68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</row>
    <row r="778" ht="15.75" customHeight="1">
      <c r="A778" s="32"/>
      <c r="B778" s="65"/>
      <c r="C778" s="65"/>
      <c r="D778" s="32"/>
      <c r="E778" s="32"/>
      <c r="F778" s="32"/>
      <c r="G778" s="66"/>
      <c r="H778" s="67"/>
      <c r="I778" s="67"/>
      <c r="J778" s="67"/>
      <c r="K778" s="68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</row>
    <row r="779" ht="15.75" customHeight="1">
      <c r="A779" s="32"/>
      <c r="B779" s="65"/>
      <c r="C779" s="65"/>
      <c r="D779" s="32"/>
      <c r="E779" s="32"/>
      <c r="F779" s="32"/>
      <c r="G779" s="66"/>
      <c r="H779" s="67"/>
      <c r="I779" s="67"/>
      <c r="J779" s="67"/>
      <c r="K779" s="68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</row>
    <row r="780" ht="15.75" customHeight="1">
      <c r="A780" s="32"/>
      <c r="B780" s="65"/>
      <c r="C780" s="65"/>
      <c r="D780" s="32"/>
      <c r="E780" s="32"/>
      <c r="F780" s="32"/>
      <c r="G780" s="66"/>
      <c r="H780" s="67"/>
      <c r="I780" s="67"/>
      <c r="J780" s="67"/>
      <c r="K780" s="68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</row>
    <row r="781" ht="15.75" customHeight="1">
      <c r="A781" s="32"/>
      <c r="B781" s="65"/>
      <c r="C781" s="65"/>
      <c r="D781" s="32"/>
      <c r="E781" s="32"/>
      <c r="F781" s="32"/>
      <c r="G781" s="66"/>
      <c r="H781" s="67"/>
      <c r="I781" s="67"/>
      <c r="J781" s="67"/>
      <c r="K781" s="68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</row>
    <row r="782" ht="15.75" customHeight="1">
      <c r="A782" s="32"/>
      <c r="B782" s="65"/>
      <c r="C782" s="65"/>
      <c r="D782" s="32"/>
      <c r="E782" s="32"/>
      <c r="F782" s="32"/>
      <c r="G782" s="66"/>
      <c r="H782" s="67"/>
      <c r="I782" s="67"/>
      <c r="J782" s="67"/>
      <c r="K782" s="68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</row>
    <row r="783" ht="15.75" customHeight="1">
      <c r="A783" s="32"/>
      <c r="B783" s="65"/>
      <c r="C783" s="65"/>
      <c r="D783" s="32"/>
      <c r="E783" s="32"/>
      <c r="F783" s="32"/>
      <c r="G783" s="66"/>
      <c r="H783" s="67"/>
      <c r="I783" s="67"/>
      <c r="J783" s="67"/>
      <c r="K783" s="68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</row>
    <row r="784" ht="15.75" customHeight="1">
      <c r="A784" s="32"/>
      <c r="B784" s="65"/>
      <c r="C784" s="65"/>
      <c r="D784" s="32"/>
      <c r="E784" s="32"/>
      <c r="F784" s="32"/>
      <c r="G784" s="66"/>
      <c r="H784" s="67"/>
      <c r="I784" s="67"/>
      <c r="J784" s="67"/>
      <c r="K784" s="68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</row>
    <row r="785" ht="15.75" customHeight="1">
      <c r="A785" s="32"/>
      <c r="B785" s="65"/>
      <c r="C785" s="65"/>
      <c r="D785" s="32"/>
      <c r="E785" s="32"/>
      <c r="F785" s="32"/>
      <c r="G785" s="66"/>
      <c r="H785" s="67"/>
      <c r="I785" s="67"/>
      <c r="J785" s="67"/>
      <c r="K785" s="68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</row>
    <row r="786" ht="15.75" customHeight="1">
      <c r="A786" s="32"/>
      <c r="B786" s="65"/>
      <c r="C786" s="65"/>
      <c r="D786" s="32"/>
      <c r="E786" s="32"/>
      <c r="F786" s="32"/>
      <c r="G786" s="66"/>
      <c r="H786" s="67"/>
      <c r="I786" s="67"/>
      <c r="J786" s="67"/>
      <c r="K786" s="68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</row>
    <row r="787" ht="15.75" customHeight="1">
      <c r="A787" s="32"/>
      <c r="B787" s="65"/>
      <c r="C787" s="65"/>
      <c r="D787" s="32"/>
      <c r="E787" s="32"/>
      <c r="F787" s="32"/>
      <c r="G787" s="66"/>
      <c r="H787" s="67"/>
      <c r="I787" s="67"/>
      <c r="J787" s="67"/>
      <c r="K787" s="68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</row>
    <row r="788" ht="15.75" customHeight="1">
      <c r="A788" s="32"/>
      <c r="B788" s="65"/>
      <c r="C788" s="65"/>
      <c r="D788" s="32"/>
      <c r="E788" s="32"/>
      <c r="F788" s="32"/>
      <c r="G788" s="66"/>
      <c r="H788" s="67"/>
      <c r="I788" s="67"/>
      <c r="J788" s="67"/>
      <c r="K788" s="68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</row>
    <row r="789" ht="15.75" customHeight="1">
      <c r="A789" s="32"/>
      <c r="B789" s="65"/>
      <c r="C789" s="65"/>
      <c r="D789" s="32"/>
      <c r="E789" s="32"/>
      <c r="F789" s="32"/>
      <c r="G789" s="66"/>
      <c r="H789" s="67"/>
      <c r="I789" s="67"/>
      <c r="J789" s="67"/>
      <c r="K789" s="68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</row>
    <row r="790" ht="15.75" customHeight="1">
      <c r="A790" s="32"/>
      <c r="B790" s="65"/>
      <c r="C790" s="65"/>
      <c r="D790" s="32"/>
      <c r="E790" s="32"/>
      <c r="F790" s="32"/>
      <c r="G790" s="66"/>
      <c r="H790" s="67"/>
      <c r="I790" s="67"/>
      <c r="J790" s="67"/>
      <c r="K790" s="68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</row>
    <row r="791" ht="15.75" customHeight="1">
      <c r="A791" s="32"/>
      <c r="B791" s="65"/>
      <c r="C791" s="65"/>
      <c r="D791" s="32"/>
      <c r="E791" s="32"/>
      <c r="F791" s="32"/>
      <c r="G791" s="66"/>
      <c r="H791" s="67"/>
      <c r="I791" s="67"/>
      <c r="J791" s="67"/>
      <c r="K791" s="68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</row>
    <row r="792" ht="15.75" customHeight="1">
      <c r="A792" s="32"/>
      <c r="B792" s="65"/>
      <c r="C792" s="65"/>
      <c r="D792" s="32"/>
      <c r="E792" s="32"/>
      <c r="F792" s="32"/>
      <c r="G792" s="66"/>
      <c r="H792" s="67"/>
      <c r="I792" s="67"/>
      <c r="J792" s="67"/>
      <c r="K792" s="68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</row>
    <row r="793" ht="15.75" customHeight="1">
      <c r="A793" s="32"/>
      <c r="B793" s="65"/>
      <c r="C793" s="65"/>
      <c r="D793" s="32"/>
      <c r="E793" s="32"/>
      <c r="F793" s="32"/>
      <c r="G793" s="66"/>
      <c r="H793" s="67"/>
      <c r="I793" s="67"/>
      <c r="J793" s="67"/>
      <c r="K793" s="68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</row>
    <row r="794" ht="15.75" customHeight="1">
      <c r="A794" s="32"/>
      <c r="B794" s="65"/>
      <c r="C794" s="65"/>
      <c r="D794" s="32"/>
      <c r="E794" s="32"/>
      <c r="F794" s="32"/>
      <c r="G794" s="66"/>
      <c r="H794" s="67"/>
      <c r="I794" s="67"/>
      <c r="J794" s="67"/>
      <c r="K794" s="68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</row>
    <row r="795" ht="15.75" customHeight="1">
      <c r="A795" s="32"/>
      <c r="B795" s="65"/>
      <c r="C795" s="65"/>
      <c r="D795" s="32"/>
      <c r="E795" s="32"/>
      <c r="F795" s="32"/>
      <c r="G795" s="66"/>
      <c r="H795" s="67"/>
      <c r="I795" s="67"/>
      <c r="J795" s="67"/>
      <c r="K795" s="68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</row>
    <row r="796" ht="15.75" customHeight="1">
      <c r="A796" s="32"/>
      <c r="B796" s="65"/>
      <c r="C796" s="65"/>
      <c r="D796" s="32"/>
      <c r="E796" s="32"/>
      <c r="F796" s="32"/>
      <c r="G796" s="66"/>
      <c r="H796" s="67"/>
      <c r="I796" s="67"/>
      <c r="J796" s="67"/>
      <c r="K796" s="68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</row>
    <row r="797" ht="15.75" customHeight="1">
      <c r="A797" s="32"/>
      <c r="B797" s="65"/>
      <c r="C797" s="65"/>
      <c r="D797" s="32"/>
      <c r="E797" s="32"/>
      <c r="F797" s="32"/>
      <c r="G797" s="66"/>
      <c r="H797" s="67"/>
      <c r="I797" s="67"/>
      <c r="J797" s="67"/>
      <c r="K797" s="68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</row>
    <row r="798" ht="15.75" customHeight="1">
      <c r="A798" s="32"/>
      <c r="B798" s="65"/>
      <c r="C798" s="65"/>
      <c r="D798" s="32"/>
      <c r="E798" s="32"/>
      <c r="F798" s="32"/>
      <c r="G798" s="66"/>
      <c r="H798" s="67"/>
      <c r="I798" s="67"/>
      <c r="J798" s="67"/>
      <c r="K798" s="68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</row>
    <row r="799" ht="15.75" customHeight="1">
      <c r="A799" s="32"/>
      <c r="B799" s="65"/>
      <c r="C799" s="65"/>
      <c r="D799" s="32"/>
      <c r="E799" s="32"/>
      <c r="F799" s="32"/>
      <c r="G799" s="66"/>
      <c r="H799" s="67"/>
      <c r="I799" s="67"/>
      <c r="J799" s="67"/>
      <c r="K799" s="68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</row>
    <row r="800" ht="15.75" customHeight="1">
      <c r="A800" s="32"/>
      <c r="B800" s="65"/>
      <c r="C800" s="65"/>
      <c r="D800" s="32"/>
      <c r="E800" s="32"/>
      <c r="F800" s="32"/>
      <c r="G800" s="66"/>
      <c r="H800" s="67"/>
      <c r="I800" s="67"/>
      <c r="J800" s="67"/>
      <c r="K800" s="68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</row>
    <row r="801" ht="15.75" customHeight="1">
      <c r="A801" s="32"/>
      <c r="B801" s="65"/>
      <c r="C801" s="65"/>
      <c r="D801" s="32"/>
      <c r="E801" s="32"/>
      <c r="F801" s="32"/>
      <c r="G801" s="66"/>
      <c r="H801" s="67"/>
      <c r="I801" s="67"/>
      <c r="J801" s="67"/>
      <c r="K801" s="68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</row>
    <row r="802" ht="15.75" customHeight="1">
      <c r="A802" s="32"/>
      <c r="B802" s="65"/>
      <c r="C802" s="65"/>
      <c r="D802" s="32"/>
      <c r="E802" s="32"/>
      <c r="F802" s="32"/>
      <c r="G802" s="66"/>
      <c r="H802" s="67"/>
      <c r="I802" s="67"/>
      <c r="J802" s="67"/>
      <c r="K802" s="68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</row>
    <row r="803" ht="15.75" customHeight="1">
      <c r="A803" s="32"/>
      <c r="B803" s="65"/>
      <c r="C803" s="65"/>
      <c r="D803" s="32"/>
      <c r="E803" s="32"/>
      <c r="F803" s="32"/>
      <c r="G803" s="66"/>
      <c r="H803" s="67"/>
      <c r="I803" s="67"/>
      <c r="J803" s="67"/>
      <c r="K803" s="68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</row>
    <row r="804" ht="15.75" customHeight="1">
      <c r="A804" s="32"/>
      <c r="B804" s="65"/>
      <c r="C804" s="65"/>
      <c r="D804" s="32"/>
      <c r="E804" s="32"/>
      <c r="F804" s="32"/>
      <c r="G804" s="66"/>
      <c r="H804" s="67"/>
      <c r="I804" s="67"/>
      <c r="J804" s="67"/>
      <c r="K804" s="68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</row>
    <row r="805" ht="15.75" customHeight="1">
      <c r="A805" s="32"/>
      <c r="B805" s="65"/>
      <c r="C805" s="65"/>
      <c r="D805" s="32"/>
      <c r="E805" s="32"/>
      <c r="F805" s="32"/>
      <c r="G805" s="66"/>
      <c r="H805" s="67"/>
      <c r="I805" s="67"/>
      <c r="J805" s="67"/>
      <c r="K805" s="68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</row>
    <row r="806" ht="15.75" customHeight="1">
      <c r="A806" s="32"/>
      <c r="B806" s="65"/>
      <c r="C806" s="65"/>
      <c r="D806" s="32"/>
      <c r="E806" s="32"/>
      <c r="F806" s="32"/>
      <c r="G806" s="66"/>
      <c r="H806" s="67"/>
      <c r="I806" s="67"/>
      <c r="J806" s="67"/>
      <c r="K806" s="68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</row>
    <row r="807" ht="15.75" customHeight="1">
      <c r="A807" s="32"/>
      <c r="B807" s="65"/>
      <c r="C807" s="65"/>
      <c r="D807" s="32"/>
      <c r="E807" s="32"/>
      <c r="F807" s="32"/>
      <c r="G807" s="66"/>
      <c r="H807" s="67"/>
      <c r="I807" s="67"/>
      <c r="J807" s="67"/>
      <c r="K807" s="68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</row>
    <row r="808" ht="15.75" customHeight="1">
      <c r="A808" s="32"/>
      <c r="B808" s="65"/>
      <c r="C808" s="65"/>
      <c r="D808" s="32"/>
      <c r="E808" s="32"/>
      <c r="F808" s="32"/>
      <c r="G808" s="66"/>
      <c r="H808" s="67"/>
      <c r="I808" s="67"/>
      <c r="J808" s="67"/>
      <c r="K808" s="68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</row>
    <row r="809" ht="15.75" customHeight="1">
      <c r="A809" s="32"/>
      <c r="B809" s="65"/>
      <c r="C809" s="65"/>
      <c r="D809" s="32"/>
      <c r="E809" s="32"/>
      <c r="F809" s="32"/>
      <c r="G809" s="66"/>
      <c r="H809" s="67"/>
      <c r="I809" s="67"/>
      <c r="J809" s="67"/>
      <c r="K809" s="68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</row>
    <row r="810" ht="15.75" customHeight="1">
      <c r="A810" s="32"/>
      <c r="B810" s="65"/>
      <c r="C810" s="65"/>
      <c r="D810" s="32"/>
      <c r="E810" s="32"/>
      <c r="F810" s="32"/>
      <c r="G810" s="66"/>
      <c r="H810" s="67"/>
      <c r="I810" s="67"/>
      <c r="J810" s="67"/>
      <c r="K810" s="68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</row>
    <row r="811" ht="15.75" customHeight="1">
      <c r="A811" s="32"/>
      <c r="B811" s="65"/>
      <c r="C811" s="65"/>
      <c r="D811" s="32"/>
      <c r="E811" s="32"/>
      <c r="F811" s="32"/>
      <c r="G811" s="66"/>
      <c r="H811" s="67"/>
      <c r="I811" s="67"/>
      <c r="J811" s="67"/>
      <c r="K811" s="68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</row>
    <row r="812" ht="15.75" customHeight="1">
      <c r="A812" s="32"/>
      <c r="B812" s="65"/>
      <c r="C812" s="65"/>
      <c r="D812" s="32"/>
      <c r="E812" s="32"/>
      <c r="F812" s="32"/>
      <c r="G812" s="66"/>
      <c r="H812" s="67"/>
      <c r="I812" s="67"/>
      <c r="J812" s="67"/>
      <c r="K812" s="68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</row>
    <row r="813" ht="15.75" customHeight="1">
      <c r="A813" s="32"/>
      <c r="B813" s="65"/>
      <c r="C813" s="65"/>
      <c r="D813" s="32"/>
      <c r="E813" s="32"/>
      <c r="F813" s="32"/>
      <c r="G813" s="66"/>
      <c r="H813" s="67"/>
      <c r="I813" s="67"/>
      <c r="J813" s="67"/>
      <c r="K813" s="68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</row>
    <row r="814" ht="15.75" customHeight="1">
      <c r="A814" s="32"/>
      <c r="B814" s="65"/>
      <c r="C814" s="65"/>
      <c r="D814" s="32"/>
      <c r="E814" s="32"/>
      <c r="F814" s="32"/>
      <c r="G814" s="66"/>
      <c r="H814" s="67"/>
      <c r="I814" s="67"/>
      <c r="J814" s="67"/>
      <c r="K814" s="68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</row>
    <row r="815" ht="15.75" customHeight="1">
      <c r="A815" s="32"/>
      <c r="B815" s="65"/>
      <c r="C815" s="65"/>
      <c r="D815" s="32"/>
      <c r="E815" s="32"/>
      <c r="F815" s="32"/>
      <c r="G815" s="66"/>
      <c r="H815" s="67"/>
      <c r="I815" s="67"/>
      <c r="J815" s="67"/>
      <c r="K815" s="68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</row>
    <row r="816" ht="15.75" customHeight="1">
      <c r="A816" s="32"/>
      <c r="B816" s="65"/>
      <c r="C816" s="65"/>
      <c r="D816" s="32"/>
      <c r="E816" s="32"/>
      <c r="F816" s="32"/>
      <c r="G816" s="66"/>
      <c r="H816" s="67"/>
      <c r="I816" s="67"/>
      <c r="J816" s="67"/>
      <c r="K816" s="68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</row>
    <row r="817" ht="15.75" customHeight="1">
      <c r="A817" s="32"/>
      <c r="B817" s="65"/>
      <c r="C817" s="65"/>
      <c r="D817" s="32"/>
      <c r="E817" s="32"/>
      <c r="F817" s="32"/>
      <c r="G817" s="66"/>
      <c r="H817" s="67"/>
      <c r="I817" s="67"/>
      <c r="J817" s="67"/>
      <c r="K817" s="68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</row>
    <row r="818" ht="15.75" customHeight="1">
      <c r="A818" s="32"/>
      <c r="B818" s="65"/>
      <c r="C818" s="65"/>
      <c r="D818" s="32"/>
      <c r="E818" s="32"/>
      <c r="F818" s="32"/>
      <c r="G818" s="66"/>
      <c r="H818" s="67"/>
      <c r="I818" s="67"/>
      <c r="J818" s="67"/>
      <c r="K818" s="68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</row>
    <row r="819" ht="15.75" customHeight="1">
      <c r="A819" s="32"/>
      <c r="B819" s="65"/>
      <c r="C819" s="65"/>
      <c r="D819" s="32"/>
      <c r="E819" s="32"/>
      <c r="F819" s="32"/>
      <c r="G819" s="66"/>
      <c r="H819" s="67"/>
      <c r="I819" s="67"/>
      <c r="J819" s="67"/>
      <c r="K819" s="68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</row>
    <row r="820" ht="15.75" customHeight="1">
      <c r="A820" s="32"/>
      <c r="B820" s="65"/>
      <c r="C820" s="65"/>
      <c r="D820" s="32"/>
      <c r="E820" s="32"/>
      <c r="F820" s="32"/>
      <c r="G820" s="66"/>
      <c r="H820" s="67"/>
      <c r="I820" s="67"/>
      <c r="J820" s="67"/>
      <c r="K820" s="68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</row>
    <row r="821" ht="15.75" customHeight="1">
      <c r="A821" s="32"/>
      <c r="B821" s="65"/>
      <c r="C821" s="65"/>
      <c r="D821" s="32"/>
      <c r="E821" s="32"/>
      <c r="F821" s="32"/>
      <c r="G821" s="66"/>
      <c r="H821" s="67"/>
      <c r="I821" s="67"/>
      <c r="J821" s="67"/>
      <c r="K821" s="68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</row>
    <row r="822" ht="15.75" customHeight="1">
      <c r="A822" s="32"/>
      <c r="B822" s="65"/>
      <c r="C822" s="65"/>
      <c r="D822" s="32"/>
      <c r="E822" s="32"/>
      <c r="F822" s="32"/>
      <c r="G822" s="66"/>
      <c r="H822" s="67"/>
      <c r="I822" s="67"/>
      <c r="J822" s="67"/>
      <c r="K822" s="68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</row>
    <row r="823" ht="15.75" customHeight="1">
      <c r="A823" s="32"/>
      <c r="B823" s="65"/>
      <c r="C823" s="65"/>
      <c r="D823" s="32"/>
      <c r="E823" s="32"/>
      <c r="F823" s="32"/>
      <c r="G823" s="66"/>
      <c r="H823" s="67"/>
      <c r="I823" s="67"/>
      <c r="J823" s="67"/>
      <c r="K823" s="68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</row>
    <row r="824" ht="15.75" customHeight="1">
      <c r="A824" s="32"/>
      <c r="B824" s="65"/>
      <c r="C824" s="65"/>
      <c r="D824" s="32"/>
      <c r="E824" s="32"/>
      <c r="F824" s="32"/>
      <c r="G824" s="66"/>
      <c r="H824" s="67"/>
      <c r="I824" s="67"/>
      <c r="J824" s="67"/>
      <c r="K824" s="68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</row>
    <row r="825" ht="15.75" customHeight="1">
      <c r="A825" s="32"/>
      <c r="B825" s="65"/>
      <c r="C825" s="65"/>
      <c r="D825" s="32"/>
      <c r="E825" s="32"/>
      <c r="F825" s="32"/>
      <c r="G825" s="66"/>
      <c r="H825" s="67"/>
      <c r="I825" s="67"/>
      <c r="J825" s="67"/>
      <c r="K825" s="68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</row>
    <row r="826" ht="15.75" customHeight="1">
      <c r="A826" s="32"/>
      <c r="B826" s="65"/>
      <c r="C826" s="65"/>
      <c r="D826" s="32"/>
      <c r="E826" s="32"/>
      <c r="F826" s="32"/>
      <c r="G826" s="66"/>
      <c r="H826" s="67"/>
      <c r="I826" s="67"/>
      <c r="J826" s="67"/>
      <c r="K826" s="68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</row>
    <row r="827" ht="15.75" customHeight="1">
      <c r="A827" s="32"/>
      <c r="B827" s="65"/>
      <c r="C827" s="65"/>
      <c r="D827" s="32"/>
      <c r="E827" s="32"/>
      <c r="F827" s="32"/>
      <c r="G827" s="66"/>
      <c r="H827" s="67"/>
      <c r="I827" s="67"/>
      <c r="J827" s="67"/>
      <c r="K827" s="68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</row>
    <row r="828" ht="15.75" customHeight="1">
      <c r="A828" s="32"/>
      <c r="B828" s="65"/>
      <c r="C828" s="65"/>
      <c r="D828" s="32"/>
      <c r="E828" s="32"/>
      <c r="F828" s="32"/>
      <c r="G828" s="66"/>
      <c r="H828" s="67"/>
      <c r="I828" s="67"/>
      <c r="J828" s="67"/>
      <c r="K828" s="68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</row>
    <row r="829" ht="15.75" customHeight="1">
      <c r="A829" s="32"/>
      <c r="B829" s="65"/>
      <c r="C829" s="65"/>
      <c r="D829" s="32"/>
      <c r="E829" s="32"/>
      <c r="F829" s="32"/>
      <c r="G829" s="66"/>
      <c r="H829" s="67"/>
      <c r="I829" s="67"/>
      <c r="J829" s="67"/>
      <c r="K829" s="68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</row>
    <row r="830" ht="15.75" customHeight="1">
      <c r="A830" s="32"/>
      <c r="B830" s="65"/>
      <c r="C830" s="65"/>
      <c r="D830" s="32"/>
      <c r="E830" s="32"/>
      <c r="F830" s="32"/>
      <c r="G830" s="66"/>
      <c r="H830" s="67"/>
      <c r="I830" s="67"/>
      <c r="J830" s="67"/>
      <c r="K830" s="68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</row>
    <row r="831" ht="15.75" customHeight="1">
      <c r="A831" s="32"/>
      <c r="B831" s="65"/>
      <c r="C831" s="65"/>
      <c r="D831" s="32"/>
      <c r="E831" s="32"/>
      <c r="F831" s="32"/>
      <c r="G831" s="66"/>
      <c r="H831" s="67"/>
      <c r="I831" s="67"/>
      <c r="J831" s="67"/>
      <c r="K831" s="68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</row>
    <row r="832" ht="15.75" customHeight="1">
      <c r="A832" s="32"/>
      <c r="B832" s="65"/>
      <c r="C832" s="65"/>
      <c r="D832" s="32"/>
      <c r="E832" s="32"/>
      <c r="F832" s="32"/>
      <c r="G832" s="66"/>
      <c r="H832" s="67"/>
      <c r="I832" s="67"/>
      <c r="J832" s="67"/>
      <c r="K832" s="68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</row>
    <row r="833" ht="15.75" customHeight="1">
      <c r="A833" s="32"/>
      <c r="B833" s="65"/>
      <c r="C833" s="65"/>
      <c r="D833" s="32"/>
      <c r="E833" s="32"/>
      <c r="F833" s="32"/>
      <c r="G833" s="66"/>
      <c r="H833" s="67"/>
      <c r="I833" s="67"/>
      <c r="J833" s="67"/>
      <c r="K833" s="68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</row>
    <row r="834" ht="15.75" customHeight="1">
      <c r="A834" s="32"/>
      <c r="B834" s="65"/>
      <c r="C834" s="65"/>
      <c r="D834" s="32"/>
      <c r="E834" s="32"/>
      <c r="F834" s="32"/>
      <c r="G834" s="66"/>
      <c r="H834" s="67"/>
      <c r="I834" s="67"/>
      <c r="J834" s="67"/>
      <c r="K834" s="68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</row>
    <row r="835" ht="15.75" customHeight="1">
      <c r="A835" s="32"/>
      <c r="B835" s="65"/>
      <c r="C835" s="65"/>
      <c r="D835" s="32"/>
      <c r="E835" s="32"/>
      <c r="F835" s="32"/>
      <c r="G835" s="66"/>
      <c r="H835" s="67"/>
      <c r="I835" s="67"/>
      <c r="J835" s="67"/>
      <c r="K835" s="68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</row>
    <row r="836" ht="15.75" customHeight="1">
      <c r="A836" s="32"/>
      <c r="B836" s="65"/>
      <c r="C836" s="65"/>
      <c r="D836" s="32"/>
      <c r="E836" s="32"/>
      <c r="F836" s="32"/>
      <c r="G836" s="66"/>
      <c r="H836" s="67"/>
      <c r="I836" s="67"/>
      <c r="J836" s="67"/>
      <c r="K836" s="68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</row>
    <row r="837" ht="15.75" customHeight="1">
      <c r="A837" s="32"/>
      <c r="B837" s="65"/>
      <c r="C837" s="65"/>
      <c r="D837" s="32"/>
      <c r="E837" s="32"/>
      <c r="F837" s="32"/>
      <c r="G837" s="66"/>
      <c r="H837" s="67"/>
      <c r="I837" s="67"/>
      <c r="J837" s="67"/>
      <c r="K837" s="68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</row>
    <row r="838" ht="15.75" customHeight="1">
      <c r="A838" s="32"/>
      <c r="B838" s="65"/>
      <c r="C838" s="65"/>
      <c r="D838" s="32"/>
      <c r="E838" s="32"/>
      <c r="F838" s="32"/>
      <c r="G838" s="66"/>
      <c r="H838" s="67"/>
      <c r="I838" s="67"/>
      <c r="J838" s="67"/>
      <c r="K838" s="68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</row>
    <row r="839" ht="15.75" customHeight="1">
      <c r="A839" s="32"/>
      <c r="B839" s="65"/>
      <c r="C839" s="65"/>
      <c r="D839" s="32"/>
      <c r="E839" s="32"/>
      <c r="F839" s="32"/>
      <c r="G839" s="66"/>
      <c r="H839" s="67"/>
      <c r="I839" s="67"/>
      <c r="J839" s="67"/>
      <c r="K839" s="68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</row>
    <row r="840" ht="15.75" customHeight="1">
      <c r="A840" s="32"/>
      <c r="B840" s="65"/>
      <c r="C840" s="65"/>
      <c r="D840" s="32"/>
      <c r="E840" s="32"/>
      <c r="F840" s="32"/>
      <c r="G840" s="66"/>
      <c r="H840" s="67"/>
      <c r="I840" s="67"/>
      <c r="J840" s="67"/>
      <c r="K840" s="68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</row>
    <row r="841" ht="15.75" customHeight="1">
      <c r="A841" s="32"/>
      <c r="B841" s="65"/>
      <c r="C841" s="65"/>
      <c r="D841" s="32"/>
      <c r="E841" s="32"/>
      <c r="F841" s="32"/>
      <c r="G841" s="66"/>
      <c r="H841" s="67"/>
      <c r="I841" s="67"/>
      <c r="J841" s="67"/>
      <c r="K841" s="68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</row>
    <row r="842" ht="15.75" customHeight="1">
      <c r="A842" s="32"/>
      <c r="B842" s="65"/>
      <c r="C842" s="65"/>
      <c r="D842" s="32"/>
      <c r="E842" s="32"/>
      <c r="F842" s="32"/>
      <c r="G842" s="66"/>
      <c r="H842" s="67"/>
      <c r="I842" s="67"/>
      <c r="J842" s="67"/>
      <c r="K842" s="68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</row>
    <row r="843" ht="15.75" customHeight="1">
      <c r="A843" s="32"/>
      <c r="B843" s="65"/>
      <c r="C843" s="65"/>
      <c r="D843" s="32"/>
      <c r="E843" s="32"/>
      <c r="F843" s="32"/>
      <c r="G843" s="66"/>
      <c r="H843" s="67"/>
      <c r="I843" s="67"/>
      <c r="J843" s="67"/>
      <c r="K843" s="68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</row>
    <row r="844" ht="15.75" customHeight="1">
      <c r="A844" s="32"/>
      <c r="B844" s="65"/>
      <c r="C844" s="65"/>
      <c r="D844" s="32"/>
      <c r="E844" s="32"/>
      <c r="F844" s="32"/>
      <c r="G844" s="66"/>
      <c r="H844" s="67"/>
      <c r="I844" s="67"/>
      <c r="J844" s="67"/>
      <c r="K844" s="68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</row>
    <row r="845" ht="15.75" customHeight="1">
      <c r="A845" s="32"/>
      <c r="B845" s="65"/>
      <c r="C845" s="65"/>
      <c r="D845" s="32"/>
      <c r="E845" s="32"/>
      <c r="F845" s="32"/>
      <c r="G845" s="66"/>
      <c r="H845" s="67"/>
      <c r="I845" s="67"/>
      <c r="J845" s="67"/>
      <c r="K845" s="68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</row>
    <row r="846" ht="15.75" customHeight="1">
      <c r="A846" s="32"/>
      <c r="B846" s="65"/>
      <c r="C846" s="65"/>
      <c r="D846" s="32"/>
      <c r="E846" s="32"/>
      <c r="F846" s="32"/>
      <c r="G846" s="66"/>
      <c r="H846" s="67"/>
      <c r="I846" s="67"/>
      <c r="J846" s="67"/>
      <c r="K846" s="68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</row>
    <row r="847" ht="15.75" customHeight="1">
      <c r="A847" s="32"/>
      <c r="B847" s="65"/>
      <c r="C847" s="65"/>
      <c r="D847" s="32"/>
      <c r="E847" s="32"/>
      <c r="F847" s="32"/>
      <c r="G847" s="66"/>
      <c r="H847" s="67"/>
      <c r="I847" s="67"/>
      <c r="J847" s="67"/>
      <c r="K847" s="68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</row>
    <row r="848" ht="15.75" customHeight="1">
      <c r="A848" s="32"/>
      <c r="B848" s="65"/>
      <c r="C848" s="65"/>
      <c r="D848" s="32"/>
      <c r="E848" s="32"/>
      <c r="F848" s="32"/>
      <c r="G848" s="66"/>
      <c r="H848" s="67"/>
      <c r="I848" s="67"/>
      <c r="J848" s="67"/>
      <c r="K848" s="68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</row>
    <row r="849" ht="15.75" customHeight="1">
      <c r="A849" s="32"/>
      <c r="B849" s="65"/>
      <c r="C849" s="65"/>
      <c r="D849" s="32"/>
      <c r="E849" s="32"/>
      <c r="F849" s="32"/>
      <c r="G849" s="66"/>
      <c r="H849" s="67"/>
      <c r="I849" s="67"/>
      <c r="J849" s="67"/>
      <c r="K849" s="68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</row>
    <row r="850" ht="15.75" customHeight="1">
      <c r="A850" s="32"/>
      <c r="B850" s="65"/>
      <c r="C850" s="65"/>
      <c r="D850" s="32"/>
      <c r="E850" s="32"/>
      <c r="F850" s="32"/>
      <c r="G850" s="66"/>
      <c r="H850" s="67"/>
      <c r="I850" s="67"/>
      <c r="J850" s="67"/>
      <c r="K850" s="68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</row>
    <row r="851" ht="15.75" customHeight="1">
      <c r="A851" s="32"/>
      <c r="B851" s="65"/>
      <c r="C851" s="65"/>
      <c r="D851" s="32"/>
      <c r="E851" s="32"/>
      <c r="F851" s="32"/>
      <c r="G851" s="66"/>
      <c r="H851" s="67"/>
      <c r="I851" s="67"/>
      <c r="J851" s="67"/>
      <c r="K851" s="68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</row>
    <row r="852" ht="15.75" customHeight="1">
      <c r="A852" s="32"/>
      <c r="B852" s="65"/>
      <c r="C852" s="65"/>
      <c r="D852" s="32"/>
      <c r="E852" s="32"/>
      <c r="F852" s="32"/>
      <c r="G852" s="66"/>
      <c r="H852" s="67"/>
      <c r="I852" s="67"/>
      <c r="J852" s="67"/>
      <c r="K852" s="68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</row>
    <row r="853" ht="15.75" customHeight="1">
      <c r="A853" s="32"/>
      <c r="B853" s="65"/>
      <c r="C853" s="65"/>
      <c r="D853" s="32"/>
      <c r="E853" s="32"/>
      <c r="F853" s="32"/>
      <c r="G853" s="66"/>
      <c r="H853" s="67"/>
      <c r="I853" s="67"/>
      <c r="J853" s="67"/>
      <c r="K853" s="68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</row>
    <row r="854" ht="15.75" customHeight="1">
      <c r="A854" s="32"/>
      <c r="B854" s="65"/>
      <c r="C854" s="65"/>
      <c r="D854" s="32"/>
      <c r="E854" s="32"/>
      <c r="F854" s="32"/>
      <c r="G854" s="66"/>
      <c r="H854" s="67"/>
      <c r="I854" s="67"/>
      <c r="J854" s="67"/>
      <c r="K854" s="68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</row>
    <row r="855" ht="15.75" customHeight="1">
      <c r="A855" s="32"/>
      <c r="B855" s="65"/>
      <c r="C855" s="65"/>
      <c r="D855" s="32"/>
      <c r="E855" s="32"/>
      <c r="F855" s="32"/>
      <c r="G855" s="66"/>
      <c r="H855" s="67"/>
      <c r="I855" s="67"/>
      <c r="J855" s="67"/>
      <c r="K855" s="68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</row>
    <row r="856" ht="15.75" customHeight="1">
      <c r="A856" s="32"/>
      <c r="B856" s="65"/>
      <c r="C856" s="65"/>
      <c r="D856" s="32"/>
      <c r="E856" s="32"/>
      <c r="F856" s="32"/>
      <c r="G856" s="66"/>
      <c r="H856" s="67"/>
      <c r="I856" s="67"/>
      <c r="J856" s="67"/>
      <c r="K856" s="68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</row>
    <row r="857" ht="15.75" customHeight="1">
      <c r="A857" s="32"/>
      <c r="B857" s="65"/>
      <c r="C857" s="65"/>
      <c r="D857" s="32"/>
      <c r="E857" s="32"/>
      <c r="F857" s="32"/>
      <c r="G857" s="66"/>
      <c r="H857" s="67"/>
      <c r="I857" s="67"/>
      <c r="J857" s="67"/>
      <c r="K857" s="68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</row>
    <row r="858" ht="15.75" customHeight="1">
      <c r="A858" s="32"/>
      <c r="B858" s="65"/>
      <c r="C858" s="65"/>
      <c r="D858" s="32"/>
      <c r="E858" s="32"/>
      <c r="F858" s="32"/>
      <c r="G858" s="66"/>
      <c r="H858" s="67"/>
      <c r="I858" s="67"/>
      <c r="J858" s="67"/>
      <c r="K858" s="68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</row>
    <row r="859" ht="15.75" customHeight="1">
      <c r="A859" s="32"/>
      <c r="B859" s="65"/>
      <c r="C859" s="65"/>
      <c r="D859" s="32"/>
      <c r="E859" s="32"/>
      <c r="F859" s="32"/>
      <c r="G859" s="66"/>
      <c r="H859" s="67"/>
      <c r="I859" s="67"/>
      <c r="J859" s="67"/>
      <c r="K859" s="68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</row>
    <row r="860" ht="15.75" customHeight="1">
      <c r="A860" s="32"/>
      <c r="B860" s="65"/>
      <c r="C860" s="65"/>
      <c r="D860" s="32"/>
      <c r="E860" s="32"/>
      <c r="F860" s="32"/>
      <c r="G860" s="66"/>
      <c r="H860" s="67"/>
      <c r="I860" s="67"/>
      <c r="J860" s="67"/>
      <c r="K860" s="68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</row>
    <row r="861" ht="15.75" customHeight="1">
      <c r="A861" s="32"/>
      <c r="B861" s="65"/>
      <c r="C861" s="65"/>
      <c r="D861" s="32"/>
      <c r="E861" s="32"/>
      <c r="F861" s="32"/>
      <c r="G861" s="66"/>
      <c r="H861" s="67"/>
      <c r="I861" s="67"/>
      <c r="J861" s="67"/>
      <c r="K861" s="68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</row>
    <row r="862" ht="15.75" customHeight="1">
      <c r="A862" s="32"/>
      <c r="B862" s="65"/>
      <c r="C862" s="65"/>
      <c r="D862" s="32"/>
      <c r="E862" s="32"/>
      <c r="F862" s="32"/>
      <c r="G862" s="66"/>
      <c r="H862" s="67"/>
      <c r="I862" s="67"/>
      <c r="J862" s="67"/>
      <c r="K862" s="68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</row>
    <row r="863" ht="15.75" customHeight="1">
      <c r="A863" s="32"/>
      <c r="B863" s="65"/>
      <c r="C863" s="65"/>
      <c r="D863" s="32"/>
      <c r="E863" s="32"/>
      <c r="F863" s="32"/>
      <c r="G863" s="66"/>
      <c r="H863" s="67"/>
      <c r="I863" s="67"/>
      <c r="J863" s="67"/>
      <c r="K863" s="68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</row>
    <row r="864" ht="15.75" customHeight="1">
      <c r="A864" s="32"/>
      <c r="B864" s="65"/>
      <c r="C864" s="65"/>
      <c r="D864" s="32"/>
      <c r="E864" s="32"/>
      <c r="F864" s="32"/>
      <c r="G864" s="66"/>
      <c r="H864" s="67"/>
      <c r="I864" s="67"/>
      <c r="J864" s="67"/>
      <c r="K864" s="68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</row>
    <row r="865" ht="15.75" customHeight="1">
      <c r="A865" s="32"/>
      <c r="B865" s="65"/>
      <c r="C865" s="65"/>
      <c r="D865" s="32"/>
      <c r="E865" s="32"/>
      <c r="F865" s="32"/>
      <c r="G865" s="66"/>
      <c r="H865" s="67"/>
      <c r="I865" s="67"/>
      <c r="J865" s="67"/>
      <c r="K865" s="68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</row>
    <row r="866" ht="15.75" customHeight="1">
      <c r="A866" s="32"/>
      <c r="B866" s="65"/>
      <c r="C866" s="65"/>
      <c r="D866" s="32"/>
      <c r="E866" s="32"/>
      <c r="F866" s="32"/>
      <c r="G866" s="66"/>
      <c r="H866" s="67"/>
      <c r="I866" s="67"/>
      <c r="J866" s="67"/>
      <c r="K866" s="68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</row>
    <row r="867" ht="15.75" customHeight="1">
      <c r="A867" s="32"/>
      <c r="B867" s="65"/>
      <c r="C867" s="65"/>
      <c r="D867" s="32"/>
      <c r="E867" s="32"/>
      <c r="F867" s="32"/>
      <c r="G867" s="66"/>
      <c r="H867" s="67"/>
      <c r="I867" s="67"/>
      <c r="J867" s="67"/>
      <c r="K867" s="68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</row>
    <row r="868" ht="15.75" customHeight="1">
      <c r="A868" s="32"/>
      <c r="B868" s="65"/>
      <c r="C868" s="65"/>
      <c r="D868" s="32"/>
      <c r="E868" s="32"/>
      <c r="F868" s="32"/>
      <c r="G868" s="66"/>
      <c r="H868" s="67"/>
      <c r="I868" s="67"/>
      <c r="J868" s="67"/>
      <c r="K868" s="68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</row>
    <row r="869" ht="15.75" customHeight="1">
      <c r="A869" s="32"/>
      <c r="B869" s="65"/>
      <c r="C869" s="65"/>
      <c r="D869" s="32"/>
      <c r="E869" s="32"/>
      <c r="F869" s="32"/>
      <c r="G869" s="66"/>
      <c r="H869" s="67"/>
      <c r="I869" s="67"/>
      <c r="J869" s="67"/>
      <c r="K869" s="68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</row>
    <row r="870" ht="15.75" customHeight="1">
      <c r="A870" s="32"/>
      <c r="B870" s="65"/>
      <c r="C870" s="65"/>
      <c r="D870" s="32"/>
      <c r="E870" s="32"/>
      <c r="F870" s="32"/>
      <c r="G870" s="66"/>
      <c r="H870" s="67"/>
      <c r="I870" s="67"/>
      <c r="J870" s="67"/>
      <c r="K870" s="68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</row>
    <row r="871" ht="15.75" customHeight="1">
      <c r="A871" s="32"/>
      <c r="B871" s="65"/>
      <c r="C871" s="65"/>
      <c r="D871" s="32"/>
      <c r="E871" s="32"/>
      <c r="F871" s="32"/>
      <c r="G871" s="66"/>
      <c r="H871" s="67"/>
      <c r="I871" s="67"/>
      <c r="J871" s="67"/>
      <c r="K871" s="68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</row>
    <row r="872" ht="15.75" customHeight="1">
      <c r="A872" s="32"/>
      <c r="B872" s="65"/>
      <c r="C872" s="65"/>
      <c r="D872" s="32"/>
      <c r="E872" s="32"/>
      <c r="F872" s="32"/>
      <c r="G872" s="66"/>
      <c r="H872" s="67"/>
      <c r="I872" s="67"/>
      <c r="J872" s="67"/>
      <c r="K872" s="68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</row>
    <row r="873" ht="15.75" customHeight="1">
      <c r="A873" s="32"/>
      <c r="B873" s="65"/>
      <c r="C873" s="65"/>
      <c r="D873" s="32"/>
      <c r="E873" s="32"/>
      <c r="F873" s="32"/>
      <c r="G873" s="66"/>
      <c r="H873" s="67"/>
      <c r="I873" s="67"/>
      <c r="J873" s="67"/>
      <c r="K873" s="68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</row>
    <row r="874" ht="15.75" customHeight="1">
      <c r="A874" s="32"/>
      <c r="B874" s="65"/>
      <c r="C874" s="65"/>
      <c r="D874" s="32"/>
      <c r="E874" s="32"/>
      <c r="F874" s="32"/>
      <c r="G874" s="66"/>
      <c r="H874" s="67"/>
      <c r="I874" s="67"/>
      <c r="J874" s="67"/>
      <c r="K874" s="68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</row>
    <row r="875" ht="15.75" customHeight="1">
      <c r="A875" s="32"/>
      <c r="B875" s="65"/>
      <c r="C875" s="65"/>
      <c r="D875" s="32"/>
      <c r="E875" s="32"/>
      <c r="F875" s="32"/>
      <c r="G875" s="66"/>
      <c r="H875" s="67"/>
      <c r="I875" s="67"/>
      <c r="J875" s="67"/>
      <c r="K875" s="68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</row>
    <row r="876" ht="15.75" customHeight="1">
      <c r="A876" s="32"/>
      <c r="B876" s="65"/>
      <c r="C876" s="65"/>
      <c r="D876" s="32"/>
      <c r="E876" s="32"/>
      <c r="F876" s="32"/>
      <c r="G876" s="66"/>
      <c r="H876" s="67"/>
      <c r="I876" s="67"/>
      <c r="J876" s="67"/>
      <c r="K876" s="68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</row>
    <row r="877" ht="15.75" customHeight="1">
      <c r="A877" s="32"/>
      <c r="B877" s="65"/>
      <c r="C877" s="65"/>
      <c r="D877" s="32"/>
      <c r="E877" s="32"/>
      <c r="F877" s="32"/>
      <c r="G877" s="66"/>
      <c r="H877" s="67"/>
      <c r="I877" s="67"/>
      <c r="J877" s="67"/>
      <c r="K877" s="68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</row>
    <row r="878" ht="15.75" customHeight="1">
      <c r="A878" s="32"/>
      <c r="B878" s="65"/>
      <c r="C878" s="65"/>
      <c r="D878" s="32"/>
      <c r="E878" s="32"/>
      <c r="F878" s="32"/>
      <c r="G878" s="66"/>
      <c r="H878" s="67"/>
      <c r="I878" s="67"/>
      <c r="J878" s="67"/>
      <c r="K878" s="68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</row>
    <row r="879" ht="15.75" customHeight="1">
      <c r="A879" s="32"/>
      <c r="B879" s="65"/>
      <c r="C879" s="65"/>
      <c r="D879" s="32"/>
      <c r="E879" s="32"/>
      <c r="F879" s="32"/>
      <c r="G879" s="66"/>
      <c r="H879" s="67"/>
      <c r="I879" s="67"/>
      <c r="J879" s="67"/>
      <c r="K879" s="68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</row>
    <row r="880" ht="15.75" customHeight="1">
      <c r="A880" s="32"/>
      <c r="B880" s="65"/>
      <c r="C880" s="65"/>
      <c r="D880" s="32"/>
      <c r="E880" s="32"/>
      <c r="F880" s="32"/>
      <c r="G880" s="66"/>
      <c r="H880" s="67"/>
      <c r="I880" s="67"/>
      <c r="J880" s="67"/>
      <c r="K880" s="68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</row>
    <row r="881" ht="15.75" customHeight="1">
      <c r="A881" s="32"/>
      <c r="B881" s="65"/>
      <c r="C881" s="65"/>
      <c r="D881" s="32"/>
      <c r="E881" s="32"/>
      <c r="F881" s="32"/>
      <c r="G881" s="66"/>
      <c r="H881" s="67"/>
      <c r="I881" s="67"/>
      <c r="J881" s="67"/>
      <c r="K881" s="68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</row>
    <row r="882" ht="15.75" customHeight="1">
      <c r="A882" s="32"/>
      <c r="B882" s="65"/>
      <c r="C882" s="65"/>
      <c r="D882" s="32"/>
      <c r="E882" s="32"/>
      <c r="F882" s="32"/>
      <c r="G882" s="66"/>
      <c r="H882" s="67"/>
      <c r="I882" s="67"/>
      <c r="J882" s="67"/>
      <c r="K882" s="68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</row>
    <row r="883" ht="15.75" customHeight="1">
      <c r="A883" s="32"/>
      <c r="B883" s="65"/>
      <c r="C883" s="65"/>
      <c r="D883" s="32"/>
      <c r="E883" s="32"/>
      <c r="F883" s="32"/>
      <c r="G883" s="66"/>
      <c r="H883" s="67"/>
      <c r="I883" s="67"/>
      <c r="J883" s="67"/>
      <c r="K883" s="68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</row>
    <row r="884" ht="15.75" customHeight="1">
      <c r="A884" s="32"/>
      <c r="B884" s="65"/>
      <c r="C884" s="65"/>
      <c r="D884" s="32"/>
      <c r="E884" s="32"/>
      <c r="F884" s="32"/>
      <c r="G884" s="66"/>
      <c r="H884" s="67"/>
      <c r="I884" s="67"/>
      <c r="J884" s="67"/>
      <c r="K884" s="68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</row>
    <row r="885" ht="15.75" customHeight="1">
      <c r="A885" s="32"/>
      <c r="B885" s="65"/>
      <c r="C885" s="65"/>
      <c r="D885" s="32"/>
      <c r="E885" s="32"/>
      <c r="F885" s="32"/>
      <c r="G885" s="66"/>
      <c r="H885" s="67"/>
      <c r="I885" s="67"/>
      <c r="J885" s="67"/>
      <c r="K885" s="68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</row>
    <row r="886" ht="15.75" customHeight="1">
      <c r="A886" s="32"/>
      <c r="B886" s="65"/>
      <c r="C886" s="65"/>
      <c r="D886" s="32"/>
      <c r="E886" s="32"/>
      <c r="F886" s="32"/>
      <c r="G886" s="66"/>
      <c r="H886" s="67"/>
      <c r="I886" s="67"/>
      <c r="J886" s="67"/>
      <c r="K886" s="68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</row>
    <row r="887" ht="15.75" customHeight="1">
      <c r="A887" s="32"/>
      <c r="B887" s="65"/>
      <c r="C887" s="65"/>
      <c r="D887" s="32"/>
      <c r="E887" s="32"/>
      <c r="F887" s="32"/>
      <c r="G887" s="66"/>
      <c r="H887" s="67"/>
      <c r="I887" s="67"/>
      <c r="J887" s="67"/>
      <c r="K887" s="68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</row>
    <row r="888" ht="15.75" customHeight="1">
      <c r="A888" s="32"/>
      <c r="B888" s="65"/>
      <c r="C888" s="65"/>
      <c r="D888" s="32"/>
      <c r="E888" s="32"/>
      <c r="F888" s="32"/>
      <c r="G888" s="66"/>
      <c r="H888" s="67"/>
      <c r="I888" s="67"/>
      <c r="J888" s="67"/>
      <c r="K888" s="68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</row>
    <row r="889" ht="15.75" customHeight="1">
      <c r="A889" s="32"/>
      <c r="B889" s="65"/>
      <c r="C889" s="65"/>
      <c r="D889" s="32"/>
      <c r="E889" s="32"/>
      <c r="F889" s="32"/>
      <c r="G889" s="66"/>
      <c r="H889" s="67"/>
      <c r="I889" s="67"/>
      <c r="J889" s="67"/>
      <c r="K889" s="68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</row>
    <row r="890" ht="15.75" customHeight="1">
      <c r="A890" s="32"/>
      <c r="B890" s="65"/>
      <c r="C890" s="65"/>
      <c r="D890" s="32"/>
      <c r="E890" s="32"/>
      <c r="F890" s="32"/>
      <c r="G890" s="66"/>
      <c r="H890" s="67"/>
      <c r="I890" s="67"/>
      <c r="J890" s="67"/>
      <c r="K890" s="68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</row>
    <row r="891" ht="15.75" customHeight="1">
      <c r="A891" s="32"/>
      <c r="B891" s="65"/>
      <c r="C891" s="65"/>
      <c r="D891" s="32"/>
      <c r="E891" s="32"/>
      <c r="F891" s="32"/>
      <c r="G891" s="66"/>
      <c r="H891" s="67"/>
      <c r="I891" s="67"/>
      <c r="J891" s="67"/>
      <c r="K891" s="68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</row>
    <row r="892" ht="15.75" customHeight="1">
      <c r="A892" s="32"/>
      <c r="B892" s="65"/>
      <c r="C892" s="65"/>
      <c r="D892" s="32"/>
      <c r="E892" s="32"/>
      <c r="F892" s="32"/>
      <c r="G892" s="66"/>
      <c r="H892" s="67"/>
      <c r="I892" s="67"/>
      <c r="J892" s="67"/>
      <c r="K892" s="68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</row>
    <row r="893" ht="15.75" customHeight="1">
      <c r="A893" s="32"/>
      <c r="B893" s="65"/>
      <c r="C893" s="65"/>
      <c r="D893" s="32"/>
      <c r="E893" s="32"/>
      <c r="F893" s="32"/>
      <c r="G893" s="66"/>
      <c r="H893" s="67"/>
      <c r="I893" s="67"/>
      <c r="J893" s="67"/>
      <c r="K893" s="68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</row>
    <row r="894" ht="15.75" customHeight="1">
      <c r="A894" s="32"/>
      <c r="B894" s="65"/>
      <c r="C894" s="65"/>
      <c r="D894" s="32"/>
      <c r="E894" s="32"/>
      <c r="F894" s="32"/>
      <c r="G894" s="66"/>
      <c r="H894" s="67"/>
      <c r="I894" s="67"/>
      <c r="J894" s="67"/>
      <c r="K894" s="68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</row>
    <row r="895" ht="15.75" customHeight="1">
      <c r="A895" s="32"/>
      <c r="B895" s="65"/>
      <c r="C895" s="65"/>
      <c r="D895" s="32"/>
      <c r="E895" s="32"/>
      <c r="F895" s="32"/>
      <c r="G895" s="66"/>
      <c r="H895" s="67"/>
      <c r="I895" s="67"/>
      <c r="J895" s="67"/>
      <c r="K895" s="68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</row>
    <row r="896" ht="15.75" customHeight="1">
      <c r="A896" s="32"/>
      <c r="B896" s="65"/>
      <c r="C896" s="65"/>
      <c r="D896" s="32"/>
      <c r="E896" s="32"/>
      <c r="F896" s="32"/>
      <c r="G896" s="66"/>
      <c r="H896" s="67"/>
      <c r="I896" s="67"/>
      <c r="J896" s="67"/>
      <c r="K896" s="68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</row>
    <row r="897" ht="15.75" customHeight="1">
      <c r="A897" s="32"/>
      <c r="B897" s="65"/>
      <c r="C897" s="65"/>
      <c r="D897" s="32"/>
      <c r="E897" s="32"/>
      <c r="F897" s="32"/>
      <c r="G897" s="66"/>
      <c r="H897" s="67"/>
      <c r="I897" s="67"/>
      <c r="J897" s="67"/>
      <c r="K897" s="68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</row>
    <row r="898" ht="15.75" customHeight="1">
      <c r="A898" s="32"/>
      <c r="B898" s="65"/>
      <c r="C898" s="65"/>
      <c r="D898" s="32"/>
      <c r="E898" s="32"/>
      <c r="F898" s="32"/>
      <c r="G898" s="66"/>
      <c r="H898" s="67"/>
      <c r="I898" s="67"/>
      <c r="J898" s="67"/>
      <c r="K898" s="68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</row>
    <row r="899" ht="15.75" customHeight="1">
      <c r="A899" s="32"/>
      <c r="B899" s="65"/>
      <c r="C899" s="65"/>
      <c r="D899" s="32"/>
      <c r="E899" s="32"/>
      <c r="F899" s="32"/>
      <c r="G899" s="66"/>
      <c r="H899" s="67"/>
      <c r="I899" s="67"/>
      <c r="J899" s="67"/>
      <c r="K899" s="68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</row>
    <row r="900" ht="15.75" customHeight="1">
      <c r="A900" s="32"/>
      <c r="B900" s="65"/>
      <c r="C900" s="65"/>
      <c r="D900" s="32"/>
      <c r="E900" s="32"/>
      <c r="F900" s="32"/>
      <c r="G900" s="66"/>
      <c r="H900" s="67"/>
      <c r="I900" s="67"/>
      <c r="J900" s="67"/>
      <c r="K900" s="68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</row>
    <row r="901" ht="15.75" customHeight="1">
      <c r="A901" s="32"/>
      <c r="B901" s="65"/>
      <c r="C901" s="65"/>
      <c r="D901" s="32"/>
      <c r="E901" s="32"/>
      <c r="F901" s="32"/>
      <c r="G901" s="66"/>
      <c r="H901" s="67"/>
      <c r="I901" s="67"/>
      <c r="J901" s="67"/>
      <c r="K901" s="68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</row>
    <row r="902" ht="15.75" customHeight="1">
      <c r="A902" s="32"/>
      <c r="B902" s="65"/>
      <c r="C902" s="65"/>
      <c r="D902" s="32"/>
      <c r="E902" s="32"/>
      <c r="F902" s="32"/>
      <c r="G902" s="66"/>
      <c r="H902" s="67"/>
      <c r="I902" s="67"/>
      <c r="J902" s="67"/>
      <c r="K902" s="68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</row>
    <row r="903" ht="15.75" customHeight="1">
      <c r="A903" s="32"/>
      <c r="B903" s="65"/>
      <c r="C903" s="65"/>
      <c r="D903" s="32"/>
      <c r="E903" s="32"/>
      <c r="F903" s="32"/>
      <c r="G903" s="66"/>
      <c r="H903" s="67"/>
      <c r="I903" s="67"/>
      <c r="J903" s="67"/>
      <c r="K903" s="68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</row>
    <row r="904" ht="15.75" customHeight="1">
      <c r="A904" s="32"/>
      <c r="B904" s="65"/>
      <c r="C904" s="65"/>
      <c r="D904" s="32"/>
      <c r="E904" s="32"/>
      <c r="F904" s="32"/>
      <c r="G904" s="66"/>
      <c r="H904" s="67"/>
      <c r="I904" s="67"/>
      <c r="J904" s="67"/>
      <c r="K904" s="68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</row>
    <row r="905" ht="15.75" customHeight="1">
      <c r="A905" s="32"/>
      <c r="B905" s="65"/>
      <c r="C905" s="65"/>
      <c r="D905" s="32"/>
      <c r="E905" s="32"/>
      <c r="F905" s="32"/>
      <c r="G905" s="66"/>
      <c r="H905" s="67"/>
      <c r="I905" s="67"/>
      <c r="J905" s="67"/>
      <c r="K905" s="68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</row>
    <row r="906" ht="15.75" customHeight="1">
      <c r="A906" s="32"/>
      <c r="B906" s="65"/>
      <c r="C906" s="65"/>
      <c r="D906" s="32"/>
      <c r="E906" s="32"/>
      <c r="F906" s="32"/>
      <c r="G906" s="66"/>
      <c r="H906" s="67"/>
      <c r="I906" s="67"/>
      <c r="J906" s="67"/>
      <c r="K906" s="68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</row>
    <row r="907" ht="15.75" customHeight="1">
      <c r="A907" s="32"/>
      <c r="B907" s="65"/>
      <c r="C907" s="65"/>
      <c r="D907" s="32"/>
      <c r="E907" s="32"/>
      <c r="F907" s="32"/>
      <c r="G907" s="66"/>
      <c r="H907" s="67"/>
      <c r="I907" s="67"/>
      <c r="J907" s="67"/>
      <c r="K907" s="68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</row>
    <row r="908" ht="15.75" customHeight="1">
      <c r="A908" s="32"/>
      <c r="B908" s="65"/>
      <c r="C908" s="65"/>
      <c r="D908" s="32"/>
      <c r="E908" s="32"/>
      <c r="F908" s="32"/>
      <c r="G908" s="66"/>
      <c r="H908" s="67"/>
      <c r="I908" s="67"/>
      <c r="J908" s="67"/>
      <c r="K908" s="68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</row>
    <row r="909" ht="15.75" customHeight="1">
      <c r="A909" s="32"/>
      <c r="B909" s="65"/>
      <c r="C909" s="65"/>
      <c r="D909" s="32"/>
      <c r="E909" s="32"/>
      <c r="F909" s="32"/>
      <c r="G909" s="66"/>
      <c r="H909" s="67"/>
      <c r="I909" s="67"/>
      <c r="J909" s="67"/>
      <c r="K909" s="68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</row>
    <row r="910" ht="15.75" customHeight="1">
      <c r="A910" s="32"/>
      <c r="B910" s="65"/>
      <c r="C910" s="65"/>
      <c r="D910" s="32"/>
      <c r="E910" s="32"/>
      <c r="F910" s="32"/>
      <c r="G910" s="66"/>
      <c r="H910" s="67"/>
      <c r="I910" s="67"/>
      <c r="J910" s="67"/>
      <c r="K910" s="68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</row>
    <row r="911" ht="15.75" customHeight="1">
      <c r="A911" s="32"/>
      <c r="B911" s="65"/>
      <c r="C911" s="65"/>
      <c r="D911" s="32"/>
      <c r="E911" s="32"/>
      <c r="F911" s="32"/>
      <c r="G911" s="66"/>
      <c r="H911" s="67"/>
      <c r="I911" s="67"/>
      <c r="J911" s="67"/>
      <c r="K911" s="68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</row>
    <row r="912" ht="15.75" customHeight="1">
      <c r="A912" s="32"/>
      <c r="B912" s="65"/>
      <c r="C912" s="65"/>
      <c r="D912" s="32"/>
      <c r="E912" s="32"/>
      <c r="F912" s="32"/>
      <c r="G912" s="66"/>
      <c r="H912" s="67"/>
      <c r="I912" s="67"/>
      <c r="J912" s="67"/>
      <c r="K912" s="68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</row>
    <row r="913" ht="15.75" customHeight="1">
      <c r="A913" s="32"/>
      <c r="B913" s="65"/>
      <c r="C913" s="65"/>
      <c r="D913" s="32"/>
      <c r="E913" s="32"/>
      <c r="F913" s="32"/>
      <c r="G913" s="66"/>
      <c r="H913" s="67"/>
      <c r="I913" s="67"/>
      <c r="J913" s="67"/>
      <c r="K913" s="68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</row>
    <row r="914" ht="15.75" customHeight="1">
      <c r="A914" s="32"/>
      <c r="B914" s="65"/>
      <c r="C914" s="65"/>
      <c r="D914" s="32"/>
      <c r="E914" s="32"/>
      <c r="F914" s="32"/>
      <c r="G914" s="66"/>
      <c r="H914" s="67"/>
      <c r="I914" s="67"/>
      <c r="J914" s="67"/>
      <c r="K914" s="68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</row>
    <row r="915" ht="15.75" customHeight="1">
      <c r="A915" s="32"/>
      <c r="B915" s="65"/>
      <c r="C915" s="65"/>
      <c r="D915" s="32"/>
      <c r="E915" s="32"/>
      <c r="F915" s="32"/>
      <c r="G915" s="66"/>
      <c r="H915" s="67"/>
      <c r="I915" s="67"/>
      <c r="J915" s="67"/>
      <c r="K915" s="68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</row>
    <row r="916" ht="15.75" customHeight="1">
      <c r="A916" s="32"/>
      <c r="B916" s="65"/>
      <c r="C916" s="65"/>
      <c r="D916" s="32"/>
      <c r="E916" s="32"/>
      <c r="F916" s="32"/>
      <c r="G916" s="66"/>
      <c r="H916" s="67"/>
      <c r="I916" s="67"/>
      <c r="J916" s="67"/>
      <c r="K916" s="68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</row>
    <row r="917" ht="15.75" customHeight="1">
      <c r="A917" s="32"/>
      <c r="B917" s="65"/>
      <c r="C917" s="65"/>
      <c r="D917" s="32"/>
      <c r="E917" s="32"/>
      <c r="F917" s="32"/>
      <c r="G917" s="66"/>
      <c r="H917" s="67"/>
      <c r="I917" s="67"/>
      <c r="J917" s="67"/>
      <c r="K917" s="68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</row>
    <row r="918" ht="15.75" customHeight="1">
      <c r="A918" s="32"/>
      <c r="B918" s="65"/>
      <c r="C918" s="65"/>
      <c r="D918" s="32"/>
      <c r="E918" s="32"/>
      <c r="F918" s="32"/>
      <c r="G918" s="66"/>
      <c r="H918" s="67"/>
      <c r="I918" s="67"/>
      <c r="J918" s="67"/>
      <c r="K918" s="68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</row>
    <row r="919" ht="15.75" customHeight="1">
      <c r="A919" s="32"/>
      <c r="B919" s="65"/>
      <c r="C919" s="65"/>
      <c r="D919" s="32"/>
      <c r="E919" s="32"/>
      <c r="F919" s="32"/>
      <c r="G919" s="66"/>
      <c r="H919" s="67"/>
      <c r="I919" s="67"/>
      <c r="J919" s="67"/>
      <c r="K919" s="68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</row>
    <row r="920" ht="15.75" customHeight="1">
      <c r="A920" s="32"/>
      <c r="B920" s="65"/>
      <c r="C920" s="65"/>
      <c r="D920" s="32"/>
      <c r="E920" s="32"/>
      <c r="F920" s="32"/>
      <c r="G920" s="66"/>
      <c r="H920" s="67"/>
      <c r="I920" s="67"/>
      <c r="J920" s="67"/>
      <c r="K920" s="68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</row>
    <row r="921" ht="15.75" customHeight="1">
      <c r="A921" s="32"/>
      <c r="B921" s="65"/>
      <c r="C921" s="65"/>
      <c r="D921" s="32"/>
      <c r="E921" s="32"/>
      <c r="F921" s="32"/>
      <c r="G921" s="66"/>
      <c r="H921" s="67"/>
      <c r="I921" s="67"/>
      <c r="J921" s="67"/>
      <c r="K921" s="68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</row>
    <row r="922" ht="15.75" customHeight="1">
      <c r="A922" s="32"/>
      <c r="B922" s="65"/>
      <c r="C922" s="65"/>
      <c r="D922" s="32"/>
      <c r="E922" s="32"/>
      <c r="F922" s="32"/>
      <c r="G922" s="66"/>
      <c r="H922" s="67"/>
      <c r="I922" s="67"/>
      <c r="J922" s="67"/>
      <c r="K922" s="68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</row>
    <row r="923" ht="15.75" customHeight="1">
      <c r="A923" s="32"/>
      <c r="B923" s="65"/>
      <c r="C923" s="65"/>
      <c r="D923" s="32"/>
      <c r="E923" s="32"/>
      <c r="F923" s="32"/>
      <c r="G923" s="66"/>
      <c r="H923" s="67"/>
      <c r="I923" s="67"/>
      <c r="J923" s="67"/>
      <c r="K923" s="68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</row>
    <row r="924" ht="15.75" customHeight="1">
      <c r="A924" s="32"/>
      <c r="B924" s="65"/>
      <c r="C924" s="65"/>
      <c r="D924" s="32"/>
      <c r="E924" s="32"/>
      <c r="F924" s="32"/>
      <c r="G924" s="66"/>
      <c r="H924" s="67"/>
      <c r="I924" s="67"/>
      <c r="J924" s="67"/>
      <c r="K924" s="68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</row>
    <row r="925" ht="15.75" customHeight="1">
      <c r="A925" s="32"/>
      <c r="B925" s="65"/>
      <c r="C925" s="65"/>
      <c r="D925" s="32"/>
      <c r="E925" s="32"/>
      <c r="F925" s="32"/>
      <c r="G925" s="66"/>
      <c r="H925" s="67"/>
      <c r="I925" s="67"/>
      <c r="J925" s="67"/>
      <c r="K925" s="68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</row>
    <row r="926" ht="15.75" customHeight="1">
      <c r="A926" s="32"/>
      <c r="B926" s="65"/>
      <c r="C926" s="65"/>
      <c r="D926" s="32"/>
      <c r="E926" s="32"/>
      <c r="F926" s="32"/>
      <c r="G926" s="66"/>
      <c r="H926" s="67"/>
      <c r="I926" s="67"/>
      <c r="J926" s="67"/>
      <c r="K926" s="68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</row>
    <row r="927" ht="15.75" customHeight="1">
      <c r="A927" s="32"/>
      <c r="B927" s="65"/>
      <c r="C927" s="65"/>
      <c r="D927" s="32"/>
      <c r="E927" s="32"/>
      <c r="F927" s="32"/>
      <c r="G927" s="66"/>
      <c r="H927" s="67"/>
      <c r="I927" s="67"/>
      <c r="J927" s="67"/>
      <c r="K927" s="68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</row>
    <row r="928" ht="15.75" customHeight="1">
      <c r="A928" s="32"/>
      <c r="B928" s="65"/>
      <c r="C928" s="65"/>
      <c r="D928" s="32"/>
      <c r="E928" s="32"/>
      <c r="F928" s="32"/>
      <c r="G928" s="66"/>
      <c r="H928" s="67"/>
      <c r="I928" s="67"/>
      <c r="J928" s="67"/>
      <c r="K928" s="68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</row>
    <row r="929" ht="15.75" customHeight="1">
      <c r="A929" s="32"/>
      <c r="B929" s="65"/>
      <c r="C929" s="65"/>
      <c r="D929" s="32"/>
      <c r="E929" s="32"/>
      <c r="F929" s="32"/>
      <c r="G929" s="66"/>
      <c r="H929" s="67"/>
      <c r="I929" s="67"/>
      <c r="J929" s="67"/>
      <c r="K929" s="68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</row>
    <row r="930" ht="15.75" customHeight="1">
      <c r="A930" s="32"/>
      <c r="B930" s="65"/>
      <c r="C930" s="65"/>
      <c r="D930" s="32"/>
      <c r="E930" s="32"/>
      <c r="F930" s="32"/>
      <c r="G930" s="66"/>
      <c r="H930" s="67"/>
      <c r="I930" s="67"/>
      <c r="J930" s="67"/>
      <c r="K930" s="68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</row>
    <row r="931" ht="15.75" customHeight="1">
      <c r="A931" s="32"/>
      <c r="B931" s="65"/>
      <c r="C931" s="65"/>
      <c r="D931" s="32"/>
      <c r="E931" s="32"/>
      <c r="F931" s="32"/>
      <c r="G931" s="66"/>
      <c r="H931" s="67"/>
      <c r="I931" s="67"/>
      <c r="J931" s="67"/>
      <c r="K931" s="68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</row>
    <row r="932" ht="15.75" customHeight="1">
      <c r="A932" s="32"/>
      <c r="B932" s="65"/>
      <c r="C932" s="65"/>
      <c r="D932" s="32"/>
      <c r="E932" s="32"/>
      <c r="F932" s="32"/>
      <c r="G932" s="66"/>
      <c r="H932" s="67"/>
      <c r="I932" s="67"/>
      <c r="J932" s="67"/>
      <c r="K932" s="68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</row>
    <row r="933" ht="15.75" customHeight="1">
      <c r="A933" s="32"/>
      <c r="B933" s="65"/>
      <c r="C933" s="65"/>
      <c r="D933" s="32"/>
      <c r="E933" s="32"/>
      <c r="F933" s="32"/>
      <c r="G933" s="66"/>
      <c r="H933" s="67"/>
      <c r="I933" s="67"/>
      <c r="J933" s="67"/>
      <c r="K933" s="68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</row>
    <row r="934" ht="15.75" customHeight="1">
      <c r="A934" s="32"/>
      <c r="B934" s="65"/>
      <c r="C934" s="65"/>
      <c r="D934" s="32"/>
      <c r="E934" s="32"/>
      <c r="F934" s="32"/>
      <c r="G934" s="66"/>
      <c r="H934" s="67"/>
      <c r="I934" s="67"/>
      <c r="J934" s="67"/>
      <c r="K934" s="68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</row>
    <row r="935" ht="15.75" customHeight="1">
      <c r="A935" s="32"/>
      <c r="B935" s="65"/>
      <c r="C935" s="65"/>
      <c r="D935" s="32"/>
      <c r="E935" s="32"/>
      <c r="F935" s="32"/>
      <c r="G935" s="66"/>
      <c r="H935" s="67"/>
      <c r="I935" s="67"/>
      <c r="J935" s="67"/>
      <c r="K935" s="68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</row>
    <row r="936" ht="15.75" customHeight="1">
      <c r="A936" s="32"/>
      <c r="B936" s="65"/>
      <c r="C936" s="65"/>
      <c r="D936" s="32"/>
      <c r="E936" s="32"/>
      <c r="F936" s="32"/>
      <c r="G936" s="66"/>
      <c r="H936" s="67"/>
      <c r="I936" s="67"/>
      <c r="J936" s="67"/>
      <c r="K936" s="68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</row>
    <row r="937" ht="15.75" customHeight="1">
      <c r="A937" s="32"/>
      <c r="B937" s="65"/>
      <c r="C937" s="65"/>
      <c r="D937" s="32"/>
      <c r="E937" s="32"/>
      <c r="F937" s="32"/>
      <c r="G937" s="66"/>
      <c r="H937" s="67"/>
      <c r="I937" s="67"/>
      <c r="J937" s="67"/>
      <c r="K937" s="68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</row>
    <row r="938" ht="15.75" customHeight="1">
      <c r="A938" s="32"/>
      <c r="B938" s="65"/>
      <c r="C938" s="65"/>
      <c r="D938" s="32"/>
      <c r="E938" s="32"/>
      <c r="F938" s="32"/>
      <c r="G938" s="66"/>
      <c r="H938" s="67"/>
      <c r="I938" s="67"/>
      <c r="J938" s="67"/>
      <c r="K938" s="68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</row>
    <row r="939" ht="15.75" customHeight="1">
      <c r="A939" s="32"/>
      <c r="B939" s="65"/>
      <c r="C939" s="65"/>
      <c r="D939" s="32"/>
      <c r="E939" s="32"/>
      <c r="F939" s="32"/>
      <c r="G939" s="66"/>
      <c r="H939" s="67"/>
      <c r="I939" s="67"/>
      <c r="J939" s="67"/>
      <c r="K939" s="68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</row>
    <row r="940" ht="15.75" customHeight="1">
      <c r="A940" s="32"/>
      <c r="B940" s="65"/>
      <c r="C940" s="65"/>
      <c r="D940" s="32"/>
      <c r="E940" s="32"/>
      <c r="F940" s="32"/>
      <c r="G940" s="66"/>
      <c r="H940" s="67"/>
      <c r="I940" s="67"/>
      <c r="J940" s="67"/>
      <c r="K940" s="68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</row>
    <row r="941" ht="15.75" customHeight="1">
      <c r="A941" s="32"/>
      <c r="B941" s="65"/>
      <c r="C941" s="65"/>
      <c r="D941" s="32"/>
      <c r="E941" s="32"/>
      <c r="F941" s="32"/>
      <c r="G941" s="66"/>
      <c r="H941" s="67"/>
      <c r="I941" s="67"/>
      <c r="J941" s="67"/>
      <c r="K941" s="68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</row>
    <row r="942" ht="15.75" customHeight="1">
      <c r="A942" s="32"/>
      <c r="B942" s="65"/>
      <c r="C942" s="65"/>
      <c r="D942" s="32"/>
      <c r="E942" s="32"/>
      <c r="F942" s="32"/>
      <c r="G942" s="66"/>
      <c r="H942" s="67"/>
      <c r="I942" s="67"/>
      <c r="J942" s="67"/>
      <c r="K942" s="68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</row>
    <row r="943" ht="15.75" customHeight="1">
      <c r="A943" s="32"/>
      <c r="B943" s="65"/>
      <c r="C943" s="65"/>
      <c r="D943" s="32"/>
      <c r="E943" s="32"/>
      <c r="F943" s="32"/>
      <c r="G943" s="66"/>
      <c r="H943" s="67"/>
      <c r="I943" s="67"/>
      <c r="J943" s="67"/>
      <c r="K943" s="68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</row>
    <row r="944" ht="15.75" customHeight="1">
      <c r="A944" s="32"/>
      <c r="B944" s="65"/>
      <c r="C944" s="65"/>
      <c r="D944" s="32"/>
      <c r="E944" s="32"/>
      <c r="F944" s="32"/>
      <c r="G944" s="66"/>
      <c r="H944" s="67"/>
      <c r="I944" s="67"/>
      <c r="J944" s="67"/>
      <c r="K944" s="68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</row>
    <row r="945" ht="15.75" customHeight="1">
      <c r="A945" s="32"/>
      <c r="B945" s="65"/>
      <c r="C945" s="65"/>
      <c r="D945" s="32"/>
      <c r="E945" s="32"/>
      <c r="F945" s="32"/>
      <c r="G945" s="66"/>
      <c r="H945" s="67"/>
      <c r="I945" s="67"/>
      <c r="J945" s="67"/>
      <c r="K945" s="68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</row>
    <row r="946" ht="15.75" customHeight="1">
      <c r="A946" s="32"/>
      <c r="B946" s="65"/>
      <c r="C946" s="65"/>
      <c r="D946" s="32"/>
      <c r="E946" s="32"/>
      <c r="F946" s="32"/>
      <c r="G946" s="66"/>
      <c r="H946" s="67"/>
      <c r="I946" s="67"/>
      <c r="J946" s="67"/>
      <c r="K946" s="68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</row>
    <row r="947" ht="15.75" customHeight="1">
      <c r="A947" s="32"/>
      <c r="B947" s="65"/>
      <c r="C947" s="65"/>
      <c r="D947" s="32"/>
      <c r="E947" s="32"/>
      <c r="F947" s="32"/>
      <c r="G947" s="66"/>
      <c r="H947" s="67"/>
      <c r="I947" s="67"/>
      <c r="J947" s="67"/>
      <c r="K947" s="68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</row>
    <row r="948" ht="15.75" customHeight="1">
      <c r="A948" s="32"/>
      <c r="B948" s="65"/>
      <c r="C948" s="65"/>
      <c r="D948" s="32"/>
      <c r="E948" s="32"/>
      <c r="F948" s="32"/>
      <c r="G948" s="66"/>
      <c r="H948" s="67"/>
      <c r="I948" s="67"/>
      <c r="J948" s="67"/>
      <c r="K948" s="68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</row>
    <row r="949" ht="15.75" customHeight="1">
      <c r="A949" s="32"/>
      <c r="B949" s="65"/>
      <c r="C949" s="65"/>
      <c r="D949" s="32"/>
      <c r="E949" s="32"/>
      <c r="F949" s="32"/>
      <c r="G949" s="66"/>
      <c r="H949" s="67"/>
      <c r="I949" s="67"/>
      <c r="J949" s="67"/>
      <c r="K949" s="68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</row>
    <row r="950" ht="15.75" customHeight="1">
      <c r="A950" s="32"/>
      <c r="B950" s="65"/>
      <c r="C950" s="65"/>
      <c r="D950" s="32"/>
      <c r="E950" s="32"/>
      <c r="F950" s="32"/>
      <c r="G950" s="66"/>
      <c r="H950" s="67"/>
      <c r="I950" s="67"/>
      <c r="J950" s="67"/>
      <c r="K950" s="68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</row>
    <row r="951" ht="15.75" customHeight="1">
      <c r="A951" s="32"/>
      <c r="B951" s="65"/>
      <c r="C951" s="65"/>
      <c r="D951" s="32"/>
      <c r="E951" s="32"/>
      <c r="F951" s="32"/>
      <c r="G951" s="66"/>
      <c r="H951" s="67"/>
      <c r="I951" s="67"/>
      <c r="J951" s="67"/>
      <c r="K951" s="68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</row>
    <row r="952" ht="15.75" customHeight="1">
      <c r="A952" s="32"/>
      <c r="B952" s="65"/>
      <c r="C952" s="65"/>
      <c r="D952" s="32"/>
      <c r="E952" s="32"/>
      <c r="F952" s="32"/>
      <c r="G952" s="66"/>
      <c r="H952" s="67"/>
      <c r="I952" s="67"/>
      <c r="J952" s="67"/>
      <c r="K952" s="68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</row>
    <row r="953" ht="15.75" customHeight="1">
      <c r="A953" s="32"/>
      <c r="B953" s="65"/>
      <c r="C953" s="65"/>
      <c r="D953" s="32"/>
      <c r="E953" s="32"/>
      <c r="F953" s="32"/>
      <c r="G953" s="66"/>
      <c r="H953" s="67"/>
      <c r="I953" s="67"/>
      <c r="J953" s="67"/>
      <c r="K953" s="68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</row>
    <row r="954" ht="15.75" customHeight="1">
      <c r="A954" s="32"/>
      <c r="B954" s="65"/>
      <c r="C954" s="65"/>
      <c r="D954" s="32"/>
      <c r="E954" s="32"/>
      <c r="F954" s="32"/>
      <c r="G954" s="66"/>
      <c r="H954" s="67"/>
      <c r="I954" s="67"/>
      <c r="J954" s="67"/>
      <c r="K954" s="68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</row>
    <row r="955" ht="15.75" customHeight="1">
      <c r="A955" s="32"/>
      <c r="B955" s="65"/>
      <c r="C955" s="65"/>
      <c r="D955" s="32"/>
      <c r="E955" s="32"/>
      <c r="F955" s="32"/>
      <c r="G955" s="66"/>
      <c r="H955" s="67"/>
      <c r="I955" s="67"/>
      <c r="J955" s="67"/>
      <c r="K955" s="68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</row>
    <row r="956" ht="15.75" customHeight="1">
      <c r="A956" s="32"/>
      <c r="B956" s="65"/>
      <c r="C956" s="65"/>
      <c r="D956" s="32"/>
      <c r="E956" s="32"/>
      <c r="F956" s="32"/>
      <c r="G956" s="66"/>
      <c r="H956" s="67"/>
      <c r="I956" s="67"/>
      <c r="J956" s="67"/>
      <c r="K956" s="68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</row>
    <row r="957" ht="15.75" customHeight="1">
      <c r="A957" s="32"/>
      <c r="B957" s="65"/>
      <c r="C957" s="65"/>
      <c r="D957" s="32"/>
      <c r="E957" s="32"/>
      <c r="F957" s="32"/>
      <c r="G957" s="66"/>
      <c r="H957" s="67"/>
      <c r="I957" s="67"/>
      <c r="J957" s="67"/>
      <c r="K957" s="68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</row>
    <row r="958" ht="15.75" customHeight="1">
      <c r="A958" s="32"/>
      <c r="B958" s="65"/>
      <c r="C958" s="65"/>
      <c r="D958" s="32"/>
      <c r="E958" s="32"/>
      <c r="F958" s="32"/>
      <c r="G958" s="66"/>
      <c r="H958" s="67"/>
      <c r="I958" s="67"/>
      <c r="J958" s="67"/>
      <c r="K958" s="68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</row>
    <row r="959" ht="15.75" customHeight="1">
      <c r="A959" s="32"/>
      <c r="B959" s="65"/>
      <c r="C959" s="65"/>
      <c r="D959" s="32"/>
      <c r="E959" s="32"/>
      <c r="F959" s="32"/>
      <c r="G959" s="66"/>
      <c r="H959" s="67"/>
      <c r="I959" s="67"/>
      <c r="J959" s="67"/>
      <c r="K959" s="68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</row>
    <row r="960" ht="15.75" customHeight="1">
      <c r="A960" s="32"/>
      <c r="B960" s="65"/>
      <c r="C960" s="65"/>
      <c r="D960" s="32"/>
      <c r="E960" s="32"/>
      <c r="F960" s="32"/>
      <c r="G960" s="66"/>
      <c r="H960" s="67"/>
      <c r="I960" s="67"/>
      <c r="J960" s="67"/>
      <c r="K960" s="68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</row>
    <row r="961" ht="15.75" customHeight="1">
      <c r="A961" s="32"/>
      <c r="B961" s="65"/>
      <c r="C961" s="65"/>
      <c r="D961" s="32"/>
      <c r="E961" s="32"/>
      <c r="F961" s="32"/>
      <c r="G961" s="66"/>
      <c r="H961" s="67"/>
      <c r="I961" s="67"/>
      <c r="J961" s="67"/>
      <c r="K961" s="68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</row>
    <row r="962" ht="15.75" customHeight="1">
      <c r="A962" s="32"/>
      <c r="B962" s="65"/>
      <c r="C962" s="65"/>
      <c r="D962" s="32"/>
      <c r="E962" s="32"/>
      <c r="F962" s="32"/>
      <c r="G962" s="66"/>
      <c r="H962" s="67"/>
      <c r="I962" s="67"/>
      <c r="J962" s="67"/>
      <c r="K962" s="68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</row>
    <row r="963" ht="15.75" customHeight="1">
      <c r="A963" s="32"/>
      <c r="B963" s="65"/>
      <c r="C963" s="65"/>
      <c r="D963" s="32"/>
      <c r="E963" s="32"/>
      <c r="F963" s="32"/>
      <c r="G963" s="66"/>
      <c r="H963" s="67"/>
      <c r="I963" s="67"/>
      <c r="J963" s="67"/>
      <c r="K963" s="68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</row>
    <row r="964" ht="15.75" customHeight="1">
      <c r="A964" s="32"/>
      <c r="B964" s="65"/>
      <c r="C964" s="65"/>
      <c r="D964" s="32"/>
      <c r="E964" s="32"/>
      <c r="F964" s="32"/>
      <c r="G964" s="66"/>
      <c r="H964" s="67"/>
      <c r="I964" s="67"/>
      <c r="J964" s="67"/>
      <c r="K964" s="68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</row>
    <row r="965" ht="15.75" customHeight="1">
      <c r="A965" s="32"/>
      <c r="B965" s="65"/>
      <c r="C965" s="65"/>
      <c r="D965" s="32"/>
      <c r="E965" s="32"/>
      <c r="F965" s="32"/>
      <c r="G965" s="66"/>
      <c r="H965" s="67"/>
      <c r="I965" s="67"/>
      <c r="J965" s="67"/>
      <c r="K965" s="68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</row>
    <row r="966" ht="15.75" customHeight="1">
      <c r="A966" s="32"/>
      <c r="B966" s="65"/>
      <c r="C966" s="65"/>
      <c r="D966" s="32"/>
      <c r="E966" s="32"/>
      <c r="F966" s="32"/>
      <c r="G966" s="66"/>
      <c r="H966" s="67"/>
      <c r="I966" s="67"/>
      <c r="J966" s="67"/>
      <c r="K966" s="68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</row>
    <row r="967" ht="15.75" customHeight="1">
      <c r="A967" s="32"/>
      <c r="B967" s="65"/>
      <c r="C967" s="65"/>
      <c r="D967" s="32"/>
      <c r="E967" s="32"/>
      <c r="F967" s="32"/>
      <c r="G967" s="66"/>
      <c r="H967" s="67"/>
      <c r="I967" s="67"/>
      <c r="J967" s="67"/>
      <c r="K967" s="68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</row>
    <row r="968" ht="15.75" customHeight="1">
      <c r="A968" s="32"/>
      <c r="B968" s="65"/>
      <c r="C968" s="65"/>
      <c r="D968" s="32"/>
      <c r="E968" s="32"/>
      <c r="F968" s="32"/>
      <c r="G968" s="66"/>
      <c r="H968" s="67"/>
      <c r="I968" s="67"/>
      <c r="J968" s="67"/>
      <c r="K968" s="68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</row>
    <row r="969" ht="15.75" customHeight="1">
      <c r="A969" s="32"/>
      <c r="B969" s="65"/>
      <c r="C969" s="65"/>
      <c r="D969" s="32"/>
      <c r="E969" s="32"/>
      <c r="F969" s="32"/>
      <c r="G969" s="66"/>
      <c r="H969" s="67"/>
      <c r="I969" s="67"/>
      <c r="J969" s="67"/>
      <c r="K969" s="68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</row>
    <row r="970" ht="15.75" customHeight="1">
      <c r="A970" s="32"/>
      <c r="B970" s="65"/>
      <c r="C970" s="65"/>
      <c r="D970" s="32"/>
      <c r="E970" s="32"/>
      <c r="F970" s="32"/>
      <c r="G970" s="66"/>
      <c r="H970" s="67"/>
      <c r="I970" s="67"/>
      <c r="J970" s="67"/>
      <c r="K970" s="68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</row>
    <row r="971" ht="15.75" customHeight="1">
      <c r="A971" s="32"/>
      <c r="B971" s="65"/>
      <c r="C971" s="65"/>
      <c r="D971" s="32"/>
      <c r="E971" s="32"/>
      <c r="F971" s="32"/>
      <c r="G971" s="66"/>
      <c r="H971" s="67"/>
      <c r="I971" s="67"/>
      <c r="J971" s="67"/>
      <c r="K971" s="68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</row>
    <row r="972" ht="15.75" customHeight="1">
      <c r="A972" s="32"/>
      <c r="B972" s="65"/>
      <c r="C972" s="65"/>
      <c r="D972" s="32"/>
      <c r="E972" s="32"/>
      <c r="F972" s="32"/>
      <c r="G972" s="66"/>
      <c r="H972" s="67"/>
      <c r="I972" s="67"/>
      <c r="J972" s="67"/>
      <c r="K972" s="68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</row>
    <row r="973" ht="15.75" customHeight="1">
      <c r="A973" s="32"/>
      <c r="B973" s="65"/>
      <c r="C973" s="65"/>
      <c r="D973" s="32"/>
      <c r="E973" s="32"/>
      <c r="F973" s="32"/>
      <c r="G973" s="66"/>
      <c r="H973" s="67"/>
      <c r="I973" s="67"/>
      <c r="J973" s="67"/>
      <c r="K973" s="68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</row>
    <row r="974" ht="15.75" customHeight="1">
      <c r="A974" s="32"/>
      <c r="B974" s="65"/>
      <c r="C974" s="65"/>
      <c r="D974" s="32"/>
      <c r="E974" s="32"/>
      <c r="F974" s="32"/>
      <c r="G974" s="66"/>
      <c r="H974" s="67"/>
      <c r="I974" s="67"/>
      <c r="J974" s="67"/>
      <c r="K974" s="68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</row>
    <row r="975" ht="15.75" customHeight="1">
      <c r="A975" s="32"/>
      <c r="B975" s="65"/>
      <c r="C975" s="65"/>
      <c r="D975" s="32"/>
      <c r="E975" s="32"/>
      <c r="F975" s="32"/>
      <c r="G975" s="66"/>
      <c r="H975" s="67"/>
      <c r="I975" s="67"/>
      <c r="J975" s="67"/>
      <c r="K975" s="68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</row>
    <row r="976" ht="15.75" customHeight="1">
      <c r="A976" s="32"/>
      <c r="B976" s="65"/>
      <c r="C976" s="65"/>
      <c r="D976" s="32"/>
      <c r="E976" s="32"/>
      <c r="F976" s="32"/>
      <c r="G976" s="66"/>
      <c r="H976" s="67"/>
      <c r="I976" s="67"/>
      <c r="J976" s="67"/>
      <c r="K976" s="68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</row>
    <row r="977" ht="15.75" customHeight="1">
      <c r="A977" s="32"/>
      <c r="B977" s="65"/>
      <c r="C977" s="65"/>
      <c r="D977" s="32"/>
      <c r="E977" s="32"/>
      <c r="F977" s="32"/>
      <c r="G977" s="66"/>
      <c r="H977" s="67"/>
      <c r="I977" s="67"/>
      <c r="J977" s="67"/>
      <c r="K977" s="68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</row>
    <row r="978" ht="15.75" customHeight="1">
      <c r="A978" s="32"/>
      <c r="B978" s="65"/>
      <c r="C978" s="65"/>
      <c r="D978" s="32"/>
      <c r="E978" s="32"/>
      <c r="F978" s="32"/>
      <c r="G978" s="66"/>
      <c r="H978" s="67"/>
      <c r="I978" s="67"/>
      <c r="J978" s="67"/>
      <c r="K978" s="68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</row>
    <row r="979" ht="15.75" customHeight="1">
      <c r="A979" s="32"/>
      <c r="B979" s="65"/>
      <c r="C979" s="65"/>
      <c r="D979" s="32"/>
      <c r="E979" s="32"/>
      <c r="F979" s="32"/>
      <c r="G979" s="66"/>
      <c r="H979" s="67"/>
      <c r="I979" s="67"/>
      <c r="J979" s="67"/>
      <c r="K979" s="68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</row>
    <row r="980" ht="15.75" customHeight="1">
      <c r="A980" s="32"/>
      <c r="B980" s="65"/>
      <c r="C980" s="65"/>
      <c r="D980" s="32"/>
      <c r="E980" s="32"/>
      <c r="F980" s="32"/>
      <c r="G980" s="66"/>
      <c r="H980" s="67"/>
      <c r="I980" s="67"/>
      <c r="J980" s="67"/>
      <c r="K980" s="68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</row>
    <row r="981" ht="15.75" customHeight="1">
      <c r="A981" s="32"/>
      <c r="B981" s="65"/>
      <c r="C981" s="65"/>
      <c r="D981" s="32"/>
      <c r="E981" s="32"/>
      <c r="F981" s="32"/>
      <c r="G981" s="66"/>
      <c r="H981" s="67"/>
      <c r="I981" s="67"/>
      <c r="J981" s="67"/>
      <c r="K981" s="68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</row>
    <row r="982" ht="15.75" customHeight="1">
      <c r="A982" s="32"/>
      <c r="B982" s="65"/>
      <c r="C982" s="65"/>
      <c r="D982" s="32"/>
      <c r="E982" s="32"/>
      <c r="F982" s="32"/>
      <c r="G982" s="66"/>
      <c r="H982" s="67"/>
      <c r="I982" s="67"/>
      <c r="J982" s="67"/>
      <c r="K982" s="68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</row>
    <row r="983" ht="15.75" customHeight="1">
      <c r="A983" s="32"/>
      <c r="B983" s="65"/>
      <c r="C983" s="65"/>
      <c r="D983" s="32"/>
      <c r="E983" s="32"/>
      <c r="F983" s="32"/>
      <c r="G983" s="66"/>
      <c r="H983" s="67"/>
      <c r="I983" s="67"/>
      <c r="J983" s="67"/>
      <c r="K983" s="68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</row>
    <row r="984" ht="15.75" customHeight="1">
      <c r="A984" s="32"/>
      <c r="B984" s="65"/>
      <c r="C984" s="65"/>
      <c r="D984" s="32"/>
      <c r="E984" s="32"/>
      <c r="F984" s="32"/>
      <c r="G984" s="66"/>
      <c r="H984" s="67"/>
      <c r="I984" s="67"/>
      <c r="J984" s="67"/>
      <c r="K984" s="68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</row>
    <row r="985" ht="15.75" customHeight="1">
      <c r="A985" s="32"/>
      <c r="B985" s="65"/>
      <c r="C985" s="65"/>
      <c r="D985" s="32"/>
      <c r="E985" s="32"/>
      <c r="F985" s="32"/>
      <c r="G985" s="66"/>
      <c r="H985" s="67"/>
      <c r="I985" s="67"/>
      <c r="J985" s="67"/>
      <c r="K985" s="68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</row>
    <row r="986" ht="15.75" customHeight="1">
      <c r="A986" s="32"/>
      <c r="B986" s="65"/>
      <c r="C986" s="65"/>
      <c r="D986" s="32"/>
      <c r="E986" s="32"/>
      <c r="F986" s="32"/>
      <c r="G986" s="66"/>
      <c r="H986" s="67"/>
      <c r="I986" s="67"/>
      <c r="J986" s="67"/>
      <c r="K986" s="68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</row>
    <row r="987" ht="15.75" customHeight="1">
      <c r="A987" s="32"/>
      <c r="B987" s="65"/>
      <c r="C987" s="65"/>
      <c r="D987" s="32"/>
      <c r="E987" s="32"/>
      <c r="F987" s="32"/>
      <c r="G987" s="66"/>
      <c r="H987" s="67"/>
      <c r="I987" s="67"/>
      <c r="J987" s="67"/>
      <c r="K987" s="68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</row>
    <row r="988" ht="15.75" customHeight="1">
      <c r="A988" s="32"/>
      <c r="B988" s="65"/>
      <c r="C988" s="65"/>
      <c r="D988" s="32"/>
      <c r="E988" s="32"/>
      <c r="F988" s="32"/>
      <c r="G988" s="66"/>
      <c r="H988" s="67"/>
      <c r="I988" s="67"/>
      <c r="J988" s="67"/>
      <c r="K988" s="68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</row>
    <row r="989" ht="15.75" customHeight="1">
      <c r="A989" s="32"/>
      <c r="B989" s="65"/>
      <c r="C989" s="65"/>
      <c r="D989" s="32"/>
      <c r="E989" s="32"/>
      <c r="F989" s="32"/>
      <c r="G989" s="66"/>
      <c r="H989" s="67"/>
      <c r="I989" s="67"/>
      <c r="J989" s="67"/>
      <c r="K989" s="68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</row>
  </sheetData>
  <autoFilter ref="$B$1:$L$12"/>
  <mergeCells count="4">
    <mergeCell ref="B3:D3"/>
    <mergeCell ref="B15:F15"/>
    <mergeCell ref="D16:F16"/>
    <mergeCell ref="D17:F17"/>
  </mergeCells>
  <hyperlinks>
    <hyperlink r:id="rId1" ref="K5"/>
    <hyperlink r:id="rId2" ref="K6"/>
    <hyperlink r:id="rId3" ref="K7"/>
    <hyperlink r:id="rId4" ref="K8"/>
    <hyperlink r:id="rId5" ref="K9"/>
    <hyperlink r:id="rId6" ref="K10"/>
    <hyperlink r:id="rId7" ref="K11"/>
    <hyperlink r:id="rId8" ref="K12"/>
  </hyperlinks>
  <printOptions/>
  <pageMargins bottom="1.0" footer="0.0" header="0.0" left="0.75" right="0.75" top="1.0"/>
  <pageSetup orientation="landscape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6.75"/>
    <col customWidth="1" min="3" max="3" width="12.63"/>
    <col customWidth="1" hidden="1" min="4" max="4" width="21.38"/>
    <col customWidth="1" hidden="1" min="5" max="5" width="28.13"/>
    <col customWidth="1" min="6" max="6" width="31.88"/>
    <col customWidth="1" min="7" max="8" width="8.38"/>
    <col customWidth="1" min="9" max="9" width="15.88"/>
    <col customWidth="1" min="10" max="10" width="12.88"/>
    <col customWidth="1" min="11" max="11" width="27.25"/>
    <col customWidth="1" min="12" max="12" width="36.75"/>
    <col customWidth="1" min="13" max="13" width="21.88"/>
    <col customWidth="1" min="14" max="31" width="7.63"/>
  </cols>
  <sheetData>
    <row r="1">
      <c r="A1" s="4"/>
      <c r="B1" s="25"/>
      <c r="C1" s="25"/>
      <c r="D1" s="4"/>
      <c r="E1" s="4"/>
      <c r="F1" s="4"/>
      <c r="G1" s="25"/>
      <c r="H1" s="4"/>
      <c r="I1" s="72"/>
      <c r="J1" s="73"/>
      <c r="K1" s="4"/>
      <c r="L1" s="7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"/>
      <c r="B2" s="75" t="s">
        <v>84</v>
      </c>
      <c r="E2" s="4"/>
      <c r="F2" s="4"/>
      <c r="G2" s="25"/>
      <c r="H2" s="4"/>
      <c r="I2" s="72"/>
      <c r="J2" s="73"/>
      <c r="K2" s="4"/>
      <c r="L2" s="7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76"/>
      <c r="B3" s="77" t="s">
        <v>20</v>
      </c>
      <c r="C3" s="78" t="s">
        <v>22</v>
      </c>
      <c r="D3" s="77" t="s">
        <v>24</v>
      </c>
      <c r="E3" s="77" t="s">
        <v>26</v>
      </c>
      <c r="F3" s="79" t="s">
        <v>28</v>
      </c>
      <c r="G3" s="79" t="s">
        <v>85</v>
      </c>
      <c r="H3" s="77" t="s">
        <v>30</v>
      </c>
      <c r="I3" s="80" t="s">
        <v>33</v>
      </c>
      <c r="J3" s="80" t="s">
        <v>36</v>
      </c>
      <c r="K3" s="79" t="s">
        <v>38</v>
      </c>
      <c r="L3" s="81" t="s">
        <v>41</v>
      </c>
      <c r="M3" s="77" t="s">
        <v>16</v>
      </c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</row>
    <row r="4">
      <c r="A4" s="4"/>
      <c r="B4" s="82">
        <v>1.0</v>
      </c>
      <c r="C4" s="82" t="str">
        <f t="shared" ref="C4:C6" si="1">IF(ISNUMBER(B4), "P02" &amp; TEXT(B4, "00"), "")</f>
        <v>P0201</v>
      </c>
      <c r="D4" s="83" t="s">
        <v>86</v>
      </c>
      <c r="E4" s="83" t="s">
        <v>87</v>
      </c>
      <c r="F4" s="84" t="str">
        <f t="shared" ref="F4:F15" si="2">CONCATENATE(E4," - ",D4)</f>
        <v>Peach Orange &amp; Lemongrass Tea - Trà Đào Cam Sả</v>
      </c>
      <c r="G4" s="85" t="s">
        <v>88</v>
      </c>
      <c r="H4" s="86" t="s">
        <v>89</v>
      </c>
      <c r="I4" s="87">
        <v>9.9</v>
      </c>
      <c r="J4" s="88">
        <f t="shared" ref="J4:J19" si="3">LET(v,I4*1.15,
i,INT(v),
d,v-i,
IF(d&lt;=0.2,
i-0.1,
IF(d&lt;=0.7,
i+0.5,
i+0.9)))
</f>
        <v>11.5</v>
      </c>
      <c r="K4" s="89" t="s">
        <v>90</v>
      </c>
      <c r="L4" s="90" t="s">
        <v>91</v>
      </c>
      <c r="M4" s="8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4"/>
      <c r="B5" s="82">
        <v>2.0</v>
      </c>
      <c r="C5" s="82" t="str">
        <f t="shared" si="1"/>
        <v>P0202</v>
      </c>
      <c r="D5" s="83" t="s">
        <v>92</v>
      </c>
      <c r="E5" s="83" t="s">
        <v>93</v>
      </c>
      <c r="F5" s="84" t="str">
        <f t="shared" si="2"/>
        <v>Soursop Tea - Trà Mãng Cầu</v>
      </c>
      <c r="G5" s="85" t="s">
        <v>88</v>
      </c>
      <c r="H5" s="86" t="s">
        <v>89</v>
      </c>
      <c r="I5" s="87">
        <v>9.9</v>
      </c>
      <c r="J5" s="88">
        <f t="shared" si="3"/>
        <v>11.5</v>
      </c>
      <c r="K5" s="89" t="s">
        <v>94</v>
      </c>
      <c r="L5" s="90" t="s">
        <v>95</v>
      </c>
      <c r="M5" s="8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4"/>
      <c r="B6" s="91">
        <v>3.0</v>
      </c>
      <c r="C6" s="91" t="str">
        <f t="shared" si="1"/>
        <v>P0203</v>
      </c>
      <c r="D6" s="83" t="s">
        <v>96</v>
      </c>
      <c r="E6" s="83" t="s">
        <v>97</v>
      </c>
      <c r="F6" s="84" t="str">
        <f t="shared" si="2"/>
        <v>Salted Calamansi - Tắc Muối</v>
      </c>
      <c r="G6" s="85" t="s">
        <v>88</v>
      </c>
      <c r="H6" s="86" t="s">
        <v>89</v>
      </c>
      <c r="I6" s="87">
        <v>8.9</v>
      </c>
      <c r="J6" s="88">
        <f t="shared" si="3"/>
        <v>10.5</v>
      </c>
      <c r="K6" s="89" t="s">
        <v>98</v>
      </c>
      <c r="L6" s="92" t="s">
        <v>99</v>
      </c>
      <c r="M6" s="8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4"/>
      <c r="B7" s="93"/>
      <c r="C7" s="93"/>
      <c r="D7" s="83" t="s">
        <v>96</v>
      </c>
      <c r="E7" s="83" t="s">
        <v>97</v>
      </c>
      <c r="F7" s="84" t="str">
        <f t="shared" si="2"/>
        <v>Salted Calamansi - Tắc Muối</v>
      </c>
      <c r="G7" s="94" t="s">
        <v>100</v>
      </c>
      <c r="H7" s="86" t="s">
        <v>89</v>
      </c>
      <c r="I7" s="88">
        <v>6.5</v>
      </c>
      <c r="J7" s="88">
        <f t="shared" si="3"/>
        <v>7.5</v>
      </c>
      <c r="K7" s="89" t="s">
        <v>98</v>
      </c>
      <c r="L7" s="93"/>
      <c r="M7" s="8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4"/>
      <c r="B8" s="91">
        <v>4.0</v>
      </c>
      <c r="C8" s="91" t="str">
        <f>IF(ISNUMBER(B8), "P02" &amp; TEXT(B8, "00"), "")</f>
        <v>P0204</v>
      </c>
      <c r="D8" s="95" t="s">
        <v>101</v>
      </c>
      <c r="E8" s="95" t="s">
        <v>102</v>
      </c>
      <c r="F8" s="84" t="str">
        <f t="shared" si="2"/>
        <v>Fresh Lemonade - Đá Chanh</v>
      </c>
      <c r="G8" s="85" t="s">
        <v>88</v>
      </c>
      <c r="H8" s="86" t="s">
        <v>89</v>
      </c>
      <c r="I8" s="87">
        <v>8.9</v>
      </c>
      <c r="J8" s="88">
        <f t="shared" si="3"/>
        <v>10.5</v>
      </c>
      <c r="K8" s="89" t="s">
        <v>103</v>
      </c>
      <c r="L8" s="92" t="s">
        <v>104</v>
      </c>
      <c r="M8" s="8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t="39.0" customHeight="1">
      <c r="A9" s="4"/>
      <c r="B9" s="93"/>
      <c r="C9" s="93"/>
      <c r="D9" s="95" t="s">
        <v>105</v>
      </c>
      <c r="E9" s="95" t="s">
        <v>106</v>
      </c>
      <c r="F9" s="84" t="str">
        <f t="shared" si="2"/>
        <v>Hot Fresh Lemonade - Chanh Nóng</v>
      </c>
      <c r="G9" s="94" t="s">
        <v>100</v>
      </c>
      <c r="H9" s="86" t="s">
        <v>89</v>
      </c>
      <c r="I9" s="87">
        <v>6.5</v>
      </c>
      <c r="J9" s="88">
        <f t="shared" si="3"/>
        <v>7.5</v>
      </c>
      <c r="K9" s="89" t="s">
        <v>107</v>
      </c>
      <c r="L9" s="93"/>
      <c r="M9" s="8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4"/>
      <c r="B10" s="82">
        <v>5.0</v>
      </c>
      <c r="C10" s="82" t="str">
        <f t="shared" ref="C10:C19" si="4">IF(ISNUMBER(B10), "P02" &amp; TEXT(B10, "00"), "")</f>
        <v>P0205</v>
      </c>
      <c r="D10" s="83" t="s">
        <v>108</v>
      </c>
      <c r="E10" s="83" t="s">
        <v>109</v>
      </c>
      <c r="F10" s="84" t="str">
        <f t="shared" si="2"/>
        <v>Iced Tamarind - Đá Me</v>
      </c>
      <c r="G10" s="85" t="s">
        <v>88</v>
      </c>
      <c r="H10" s="86" t="s">
        <v>89</v>
      </c>
      <c r="I10" s="87">
        <v>11.5</v>
      </c>
      <c r="J10" s="88">
        <f t="shared" si="3"/>
        <v>13.5</v>
      </c>
      <c r="K10" s="96" t="s">
        <v>110</v>
      </c>
      <c r="L10" s="97" t="s">
        <v>111</v>
      </c>
      <c r="M10" s="8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4"/>
      <c r="B11" s="82">
        <v>6.0</v>
      </c>
      <c r="C11" s="82" t="str">
        <f t="shared" si="4"/>
        <v>P0206</v>
      </c>
      <c r="D11" s="83" t="s">
        <v>112</v>
      </c>
      <c r="E11" s="83" t="s">
        <v>113</v>
      </c>
      <c r="F11" s="84" t="str">
        <f t="shared" si="2"/>
        <v>Butterfly Soda - Soda Hoa Đậu Biếc</v>
      </c>
      <c r="G11" s="85" t="s">
        <v>88</v>
      </c>
      <c r="H11" s="86" t="s">
        <v>89</v>
      </c>
      <c r="I11" s="88">
        <v>9.9</v>
      </c>
      <c r="J11" s="88">
        <f t="shared" si="3"/>
        <v>11.5</v>
      </c>
      <c r="K11" s="96" t="s">
        <v>114</v>
      </c>
      <c r="L11" s="97" t="s">
        <v>115</v>
      </c>
      <c r="M11" s="8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4"/>
      <c r="B12" s="82">
        <v>7.0</v>
      </c>
      <c r="C12" s="82" t="str">
        <f t="shared" si="4"/>
        <v>P0207</v>
      </c>
      <c r="D12" s="83" t="s">
        <v>116</v>
      </c>
      <c r="E12" s="83" t="s">
        <v>117</v>
      </c>
      <c r="F12" s="84" t="str">
        <f t="shared" si="2"/>
        <v>Hibiscus Soda - Soda Hoa Hibiscus Đỏ</v>
      </c>
      <c r="G12" s="85" t="s">
        <v>88</v>
      </c>
      <c r="H12" s="86" t="s">
        <v>89</v>
      </c>
      <c r="I12" s="88">
        <v>9.9</v>
      </c>
      <c r="J12" s="88">
        <f t="shared" si="3"/>
        <v>11.5</v>
      </c>
      <c r="K12" s="96" t="s">
        <v>118</v>
      </c>
      <c r="L12" s="97" t="s">
        <v>119</v>
      </c>
      <c r="M12" s="8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4"/>
      <c r="B13" s="82">
        <v>8.0</v>
      </c>
      <c r="C13" s="82" t="str">
        <f t="shared" si="4"/>
        <v>P0208</v>
      </c>
      <c r="D13" s="83" t="s">
        <v>120</v>
      </c>
      <c r="E13" s="83" t="s">
        <v>121</v>
      </c>
      <c r="F13" s="84" t="str">
        <f t="shared" si="2"/>
        <v>Lychee Soda - Soda Vải</v>
      </c>
      <c r="G13" s="85" t="s">
        <v>88</v>
      </c>
      <c r="H13" s="86" t="s">
        <v>89</v>
      </c>
      <c r="I13" s="88">
        <v>9.9</v>
      </c>
      <c r="J13" s="88">
        <f t="shared" si="3"/>
        <v>11.5</v>
      </c>
      <c r="K13" s="96" t="s">
        <v>122</v>
      </c>
      <c r="L13" s="98" t="s">
        <v>123</v>
      </c>
      <c r="M13" s="8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99"/>
      <c r="B14" s="82">
        <v>9.0</v>
      </c>
      <c r="C14" s="82" t="str">
        <f t="shared" si="4"/>
        <v>P0209</v>
      </c>
      <c r="D14" s="95" t="s">
        <v>124</v>
      </c>
      <c r="E14" s="95" t="s">
        <v>125</v>
      </c>
      <c r="F14" s="84" t="str">
        <f t="shared" si="2"/>
        <v>Lemon Soda - Soda Chanh Đường</v>
      </c>
      <c r="G14" s="85" t="s">
        <v>88</v>
      </c>
      <c r="H14" s="86" t="s">
        <v>89</v>
      </c>
      <c r="I14" s="88">
        <v>9.9</v>
      </c>
      <c r="J14" s="88">
        <f t="shared" si="3"/>
        <v>11.5</v>
      </c>
      <c r="K14" s="100" t="s">
        <v>126</v>
      </c>
      <c r="L14" s="97" t="s">
        <v>127</v>
      </c>
      <c r="M14" s="8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99"/>
      <c r="B15" s="82">
        <v>10.0</v>
      </c>
      <c r="C15" s="82" t="str">
        <f t="shared" si="4"/>
        <v>P0210</v>
      </c>
      <c r="D15" s="95" t="s">
        <v>128</v>
      </c>
      <c r="E15" s="95" t="s">
        <v>129</v>
      </c>
      <c r="F15" s="84" t="str">
        <f t="shared" si="2"/>
        <v>Strawberry Soda - Soda Dau </v>
      </c>
      <c r="G15" s="85" t="s">
        <v>88</v>
      </c>
      <c r="H15" s="86" t="s">
        <v>89</v>
      </c>
      <c r="I15" s="88">
        <v>9.9</v>
      </c>
      <c r="J15" s="88">
        <f t="shared" si="3"/>
        <v>11.5</v>
      </c>
      <c r="K15" s="101" t="s">
        <v>130</v>
      </c>
      <c r="L15" s="98" t="s">
        <v>131</v>
      </c>
      <c r="M15" s="10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99"/>
      <c r="B16" s="82">
        <v>11.0</v>
      </c>
      <c r="C16" s="103" t="str">
        <f t="shared" si="4"/>
        <v>P0211</v>
      </c>
      <c r="D16" s="104" t="s">
        <v>132</v>
      </c>
      <c r="E16" s="104" t="s">
        <v>133</v>
      </c>
      <c r="F16" s="84" t="str">
        <f t="shared" ref="F16:F19" si="5">CONCATENATE(D16," - ",E16)</f>
        <v>Passion &amp; Salted Calamansi tea - Trà Chanh Dây Tắc Muối</v>
      </c>
      <c r="G16" s="85" t="s">
        <v>88</v>
      </c>
      <c r="H16" s="86" t="s">
        <v>89</v>
      </c>
      <c r="I16" s="105">
        <v>9.9</v>
      </c>
      <c r="J16" s="88">
        <f t="shared" si="3"/>
        <v>11.5</v>
      </c>
      <c r="K16" s="106" t="s">
        <v>134</v>
      </c>
      <c r="L16" s="97" t="s">
        <v>135</v>
      </c>
      <c r="M16" s="107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99"/>
      <c r="B17" s="82">
        <v>12.0</v>
      </c>
      <c r="C17" s="103" t="str">
        <f t="shared" si="4"/>
        <v>P0212</v>
      </c>
      <c r="D17" s="104" t="s">
        <v>136</v>
      </c>
      <c r="E17" s="104" t="s">
        <v>137</v>
      </c>
      <c r="F17" s="102" t="str">
        <f t="shared" si="5"/>
        <v>Passionfruit tea - Trà Chanh Dây</v>
      </c>
      <c r="G17" s="108" t="s">
        <v>88</v>
      </c>
      <c r="H17" s="109" t="s">
        <v>89</v>
      </c>
      <c r="I17" s="105">
        <v>8.9</v>
      </c>
      <c r="J17" s="88">
        <f t="shared" si="3"/>
        <v>10.5</v>
      </c>
      <c r="K17" s="110" t="s">
        <v>138</v>
      </c>
      <c r="L17" s="98" t="s">
        <v>139</v>
      </c>
      <c r="M17" s="107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99"/>
      <c r="B18" s="82">
        <v>13.0</v>
      </c>
      <c r="C18" s="103" t="str">
        <f t="shared" si="4"/>
        <v>P0213</v>
      </c>
      <c r="D18" s="104" t="s">
        <v>140</v>
      </c>
      <c r="E18" s="104" t="s">
        <v>141</v>
      </c>
      <c r="F18" s="107" t="str">
        <f t="shared" si="5"/>
        <v>Strawberry tea - Trà Dâu &amp; Mango Popping Pearls</v>
      </c>
      <c r="G18" s="111" t="s">
        <v>88</v>
      </c>
      <c r="H18" s="112" t="s">
        <v>89</v>
      </c>
      <c r="I18" s="113">
        <v>9.9</v>
      </c>
      <c r="J18" s="88">
        <f t="shared" si="3"/>
        <v>11.5</v>
      </c>
      <c r="K18" s="110" t="s">
        <v>142</v>
      </c>
      <c r="L18" s="97" t="s">
        <v>143</v>
      </c>
      <c r="M18" s="107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99"/>
      <c r="B19" s="82">
        <v>14.0</v>
      </c>
      <c r="C19" s="103" t="str">
        <f t="shared" si="4"/>
        <v>P0214</v>
      </c>
      <c r="D19" s="104" t="s">
        <v>144</v>
      </c>
      <c r="E19" s="104" t="s">
        <v>145</v>
      </c>
      <c r="F19" s="107" t="str">
        <f t="shared" si="5"/>
        <v>Peach tea - Trà Đào</v>
      </c>
      <c r="G19" s="111" t="s">
        <v>88</v>
      </c>
      <c r="H19" s="112" t="s">
        <v>89</v>
      </c>
      <c r="I19" s="113">
        <v>8.9</v>
      </c>
      <c r="J19" s="88">
        <f t="shared" si="3"/>
        <v>10.5</v>
      </c>
      <c r="K19" s="110" t="s">
        <v>146</v>
      </c>
      <c r="L19" s="97" t="s">
        <v>147</v>
      </c>
      <c r="M19" s="107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25"/>
      <c r="C20" s="25"/>
      <c r="D20" s="4"/>
      <c r="E20" s="4"/>
      <c r="F20" s="4"/>
      <c r="G20" s="25"/>
      <c r="H20" s="4"/>
      <c r="I20" s="72"/>
      <c r="J20" s="73"/>
      <c r="K20" s="4"/>
      <c r="L20" s="7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25"/>
      <c r="C21" s="25"/>
      <c r="D21" s="4"/>
      <c r="E21" s="4"/>
      <c r="F21" s="4"/>
      <c r="G21" s="25"/>
      <c r="H21" s="4"/>
      <c r="I21" s="72"/>
      <c r="J21" s="73"/>
      <c r="K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25"/>
      <c r="C22" s="25"/>
      <c r="D22" s="4"/>
      <c r="E22" s="4"/>
      <c r="F22" s="4"/>
      <c r="G22" s="25"/>
      <c r="H22" s="4"/>
      <c r="I22" s="72"/>
      <c r="J22" s="73"/>
      <c r="K22" s="4"/>
      <c r="L22" s="7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25"/>
      <c r="C23" s="25"/>
      <c r="D23" s="4"/>
      <c r="E23" s="4"/>
      <c r="F23" s="4"/>
      <c r="G23" s="25"/>
      <c r="H23" s="4"/>
      <c r="I23" s="72"/>
      <c r="J23" s="73"/>
      <c r="K23" s="4"/>
      <c r="L23" s="7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114"/>
      <c r="G24" s="25"/>
      <c r="H24" s="4"/>
      <c r="I24" s="72"/>
      <c r="J24" s="73"/>
      <c r="K24" s="4"/>
      <c r="L24" s="7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115"/>
      <c r="C25" s="115"/>
      <c r="D25" s="116"/>
      <c r="G25" s="25"/>
      <c r="H25" s="4"/>
      <c r="I25" s="72"/>
      <c r="J25" s="73"/>
      <c r="K25" s="4"/>
      <c r="L25" s="7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115"/>
      <c r="C26" s="115"/>
      <c r="D26" s="116"/>
      <c r="G26" s="25"/>
      <c r="H26" s="4"/>
      <c r="I26" s="72"/>
      <c r="J26" s="73"/>
      <c r="K26" s="4"/>
      <c r="L26" s="7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25"/>
      <c r="C27" s="25"/>
      <c r="D27" s="117"/>
      <c r="G27" s="25"/>
      <c r="H27" s="4"/>
      <c r="I27" s="72"/>
      <c r="J27" s="73"/>
      <c r="K27" s="4"/>
      <c r="L27" s="7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25"/>
      <c r="C28" s="25"/>
      <c r="D28" s="4"/>
      <c r="E28" s="4"/>
      <c r="F28" s="4"/>
      <c r="G28" s="25"/>
      <c r="H28" s="4"/>
      <c r="I28" s="72"/>
      <c r="J28" s="73"/>
      <c r="K28" s="4"/>
      <c r="L28" s="7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25"/>
      <c r="C29" s="25"/>
      <c r="D29" s="4"/>
      <c r="E29" s="4"/>
      <c r="F29" s="4"/>
      <c r="G29" s="25"/>
      <c r="H29" s="4"/>
      <c r="I29" s="72"/>
      <c r="J29" s="73"/>
      <c r="K29" s="4"/>
      <c r="L29" s="7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25"/>
      <c r="C30" s="25"/>
      <c r="D30" s="4"/>
      <c r="E30" s="4"/>
      <c r="F30" s="4"/>
      <c r="G30" s="25"/>
      <c r="H30" s="4"/>
      <c r="I30" s="72"/>
      <c r="J30" s="73"/>
      <c r="K30" s="4"/>
      <c r="L30" s="7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25"/>
      <c r="C31" s="25"/>
      <c r="D31" s="4"/>
      <c r="E31" s="4"/>
      <c r="F31" s="4"/>
      <c r="G31" s="25"/>
      <c r="H31" s="4"/>
      <c r="I31" s="72"/>
      <c r="J31" s="73"/>
      <c r="K31" s="4"/>
      <c r="L31" s="7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25"/>
      <c r="C32" s="25"/>
      <c r="D32" s="4"/>
      <c r="E32" s="4"/>
      <c r="F32" s="4"/>
      <c r="G32" s="25"/>
      <c r="H32" s="4"/>
      <c r="I32" s="72"/>
      <c r="J32" s="73"/>
      <c r="K32" s="4"/>
      <c r="L32" s="7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25"/>
      <c r="C33" s="25"/>
      <c r="D33" s="4"/>
      <c r="E33" s="4"/>
      <c r="F33" s="4"/>
      <c r="G33" s="25"/>
      <c r="H33" s="4"/>
      <c r="I33" s="72"/>
      <c r="J33" s="73"/>
      <c r="K33" s="4"/>
      <c r="L33" s="7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25"/>
      <c r="C34" s="25"/>
      <c r="D34" s="4"/>
      <c r="E34" s="4"/>
      <c r="F34" s="4"/>
      <c r="G34" s="25"/>
      <c r="H34" s="4"/>
      <c r="I34" s="72"/>
      <c r="J34" s="73"/>
      <c r="K34" s="4"/>
      <c r="L34" s="7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25"/>
      <c r="C35" s="25"/>
      <c r="D35" s="4"/>
      <c r="E35" s="4"/>
      <c r="F35" s="4"/>
      <c r="G35" s="25"/>
      <c r="H35" s="4"/>
      <c r="I35" s="72"/>
      <c r="J35" s="73"/>
      <c r="K35" s="4"/>
      <c r="L35" s="7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25"/>
      <c r="C36" s="25"/>
      <c r="D36" s="4"/>
      <c r="E36" s="4"/>
      <c r="F36" s="4"/>
      <c r="G36" s="25"/>
      <c r="H36" s="4"/>
      <c r="I36" s="72"/>
      <c r="J36" s="73"/>
      <c r="K36" s="4"/>
      <c r="L36" s="7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25"/>
      <c r="C37" s="25"/>
      <c r="D37" s="4"/>
      <c r="E37" s="4"/>
      <c r="F37" s="4"/>
      <c r="G37" s="25"/>
      <c r="H37" s="4"/>
      <c r="I37" s="72"/>
      <c r="J37" s="73"/>
      <c r="K37" s="4"/>
      <c r="L37" s="7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25"/>
      <c r="C38" s="25"/>
      <c r="D38" s="4"/>
      <c r="E38" s="4"/>
      <c r="F38" s="4"/>
      <c r="G38" s="25"/>
      <c r="H38" s="4"/>
      <c r="I38" s="72"/>
      <c r="J38" s="73"/>
      <c r="K38" s="4"/>
      <c r="L38" s="7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25"/>
      <c r="C39" s="25"/>
      <c r="D39" s="4"/>
      <c r="E39" s="4"/>
      <c r="F39" s="4"/>
      <c r="G39" s="25"/>
      <c r="H39" s="4"/>
      <c r="I39" s="72"/>
      <c r="J39" s="73"/>
      <c r="K39" s="4"/>
      <c r="L39" s="7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25"/>
      <c r="C40" s="25"/>
      <c r="D40" s="4"/>
      <c r="E40" s="4"/>
      <c r="F40" s="4"/>
      <c r="G40" s="25"/>
      <c r="H40" s="4"/>
      <c r="I40" s="72"/>
      <c r="J40" s="73"/>
      <c r="K40" s="4"/>
      <c r="L40" s="7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25"/>
      <c r="C41" s="25"/>
      <c r="D41" s="4"/>
      <c r="E41" s="4"/>
      <c r="F41" s="4"/>
      <c r="G41" s="25"/>
      <c r="H41" s="4"/>
      <c r="I41" s="72"/>
      <c r="J41" s="73"/>
      <c r="K41" s="4"/>
      <c r="L41" s="7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25"/>
      <c r="C42" s="25"/>
      <c r="D42" s="4"/>
      <c r="E42" s="4"/>
      <c r="F42" s="4"/>
      <c r="G42" s="25"/>
      <c r="H42" s="4"/>
      <c r="I42" s="72"/>
      <c r="J42" s="73"/>
      <c r="K42" s="4"/>
      <c r="L42" s="7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25"/>
      <c r="C43" s="25"/>
      <c r="D43" s="4"/>
      <c r="E43" s="4"/>
      <c r="F43" s="4"/>
      <c r="G43" s="25"/>
      <c r="H43" s="4"/>
      <c r="I43" s="72"/>
      <c r="J43" s="73"/>
      <c r="K43" s="4"/>
      <c r="L43" s="7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25"/>
      <c r="C44" s="25"/>
      <c r="D44" s="4"/>
      <c r="E44" s="4"/>
      <c r="F44" s="4"/>
      <c r="G44" s="25"/>
      <c r="H44" s="4"/>
      <c r="I44" s="72"/>
      <c r="J44" s="73"/>
      <c r="K44" s="4"/>
      <c r="L44" s="7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25"/>
      <c r="C45" s="25"/>
      <c r="D45" s="4"/>
      <c r="E45" s="4"/>
      <c r="F45" s="4"/>
      <c r="G45" s="25"/>
      <c r="H45" s="4"/>
      <c r="I45" s="72"/>
      <c r="J45" s="73"/>
      <c r="K45" s="4"/>
      <c r="L45" s="7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25"/>
      <c r="C46" s="25"/>
      <c r="D46" s="4"/>
      <c r="E46" s="4"/>
      <c r="F46" s="4"/>
      <c r="G46" s="25"/>
      <c r="H46" s="4"/>
      <c r="I46" s="72"/>
      <c r="J46" s="73"/>
      <c r="K46" s="4"/>
      <c r="L46" s="7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25"/>
      <c r="C47" s="25"/>
      <c r="D47" s="4"/>
      <c r="E47" s="4"/>
      <c r="F47" s="4"/>
      <c r="G47" s="25"/>
      <c r="H47" s="4"/>
      <c r="I47" s="72"/>
      <c r="J47" s="73"/>
      <c r="K47" s="4"/>
      <c r="L47" s="7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25"/>
      <c r="C48" s="25"/>
      <c r="D48" s="4"/>
      <c r="E48" s="4"/>
      <c r="F48" s="4"/>
      <c r="G48" s="25"/>
      <c r="H48" s="4"/>
      <c r="I48" s="72"/>
      <c r="J48" s="73"/>
      <c r="K48" s="4"/>
      <c r="L48" s="7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25"/>
      <c r="C49" s="25"/>
      <c r="D49" s="4"/>
      <c r="E49" s="4"/>
      <c r="F49" s="4"/>
      <c r="G49" s="25"/>
      <c r="H49" s="4"/>
      <c r="I49" s="72"/>
      <c r="J49" s="73"/>
      <c r="K49" s="4"/>
      <c r="L49" s="7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25"/>
      <c r="C50" s="25"/>
      <c r="D50" s="4"/>
      <c r="E50" s="4"/>
      <c r="F50" s="4"/>
      <c r="G50" s="25"/>
      <c r="H50" s="4"/>
      <c r="I50" s="72"/>
      <c r="J50" s="73"/>
      <c r="K50" s="4"/>
      <c r="L50" s="7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25"/>
      <c r="C51" s="25"/>
      <c r="D51" s="4"/>
      <c r="E51" s="4"/>
      <c r="F51" s="4"/>
      <c r="G51" s="25"/>
      <c r="H51" s="4"/>
      <c r="I51" s="72"/>
      <c r="J51" s="73"/>
      <c r="K51" s="4"/>
      <c r="L51" s="7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25"/>
      <c r="C52" s="25"/>
      <c r="D52" s="4"/>
      <c r="E52" s="4"/>
      <c r="F52" s="4"/>
      <c r="G52" s="25"/>
      <c r="H52" s="4"/>
      <c r="I52" s="72"/>
      <c r="J52" s="73"/>
      <c r="K52" s="4"/>
      <c r="L52" s="7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25"/>
      <c r="C53" s="25"/>
      <c r="D53" s="4"/>
      <c r="E53" s="4"/>
      <c r="F53" s="4"/>
      <c r="G53" s="25"/>
      <c r="H53" s="4"/>
      <c r="I53" s="72"/>
      <c r="J53" s="73"/>
      <c r="K53" s="4"/>
      <c r="L53" s="7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25"/>
      <c r="C54" s="25"/>
      <c r="D54" s="4"/>
      <c r="E54" s="4"/>
      <c r="F54" s="4"/>
      <c r="G54" s="25"/>
      <c r="H54" s="4"/>
      <c r="I54" s="72"/>
      <c r="J54" s="73"/>
      <c r="K54" s="4"/>
      <c r="L54" s="7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25"/>
      <c r="C55" s="25"/>
      <c r="D55" s="4"/>
      <c r="E55" s="4"/>
      <c r="F55" s="4"/>
      <c r="G55" s="25"/>
      <c r="H55" s="4"/>
      <c r="I55" s="72"/>
      <c r="J55" s="73"/>
      <c r="K55" s="4"/>
      <c r="L55" s="7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25"/>
      <c r="C56" s="25"/>
      <c r="D56" s="4"/>
      <c r="E56" s="4"/>
      <c r="F56" s="4"/>
      <c r="G56" s="25"/>
      <c r="H56" s="4"/>
      <c r="I56" s="72"/>
      <c r="J56" s="73"/>
      <c r="K56" s="4"/>
      <c r="L56" s="7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25"/>
      <c r="C57" s="25"/>
      <c r="D57" s="4"/>
      <c r="E57" s="4"/>
      <c r="F57" s="4"/>
      <c r="G57" s="25"/>
      <c r="H57" s="4"/>
      <c r="I57" s="72"/>
      <c r="J57" s="73"/>
      <c r="K57" s="4"/>
      <c r="L57" s="7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25"/>
      <c r="C58" s="25"/>
      <c r="D58" s="4"/>
      <c r="E58" s="4"/>
      <c r="F58" s="4"/>
      <c r="G58" s="25"/>
      <c r="H58" s="4"/>
      <c r="I58" s="72"/>
      <c r="J58" s="73"/>
      <c r="K58" s="4"/>
      <c r="L58" s="7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25"/>
      <c r="C59" s="25"/>
      <c r="D59" s="4"/>
      <c r="E59" s="4"/>
      <c r="F59" s="4"/>
      <c r="G59" s="25"/>
      <c r="H59" s="4"/>
      <c r="I59" s="72"/>
      <c r="J59" s="73"/>
      <c r="K59" s="4"/>
      <c r="L59" s="7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25"/>
      <c r="C60" s="25"/>
      <c r="D60" s="4"/>
      <c r="E60" s="4"/>
      <c r="F60" s="4"/>
      <c r="G60" s="25"/>
      <c r="H60" s="4"/>
      <c r="I60" s="72"/>
      <c r="J60" s="73"/>
      <c r="K60" s="4"/>
      <c r="L60" s="7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25"/>
      <c r="C61" s="25"/>
      <c r="D61" s="4"/>
      <c r="E61" s="4"/>
      <c r="F61" s="4"/>
      <c r="G61" s="25"/>
      <c r="H61" s="4"/>
      <c r="I61" s="72"/>
      <c r="J61" s="73"/>
      <c r="K61" s="4"/>
      <c r="L61" s="7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25"/>
      <c r="C62" s="25"/>
      <c r="D62" s="4"/>
      <c r="E62" s="4"/>
      <c r="F62" s="4"/>
      <c r="G62" s="25"/>
      <c r="H62" s="4"/>
      <c r="I62" s="72"/>
      <c r="J62" s="73"/>
      <c r="K62" s="4"/>
      <c r="L62" s="7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25"/>
      <c r="C63" s="25"/>
      <c r="D63" s="4"/>
      <c r="E63" s="4"/>
      <c r="F63" s="4"/>
      <c r="G63" s="25"/>
      <c r="H63" s="4"/>
      <c r="I63" s="72"/>
      <c r="J63" s="73"/>
      <c r="K63" s="4"/>
      <c r="L63" s="7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25"/>
      <c r="C64" s="25"/>
      <c r="D64" s="4"/>
      <c r="E64" s="4"/>
      <c r="F64" s="4"/>
      <c r="G64" s="25"/>
      <c r="H64" s="4"/>
      <c r="I64" s="72"/>
      <c r="J64" s="73"/>
      <c r="K64" s="4"/>
      <c r="L64" s="7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25"/>
      <c r="C65" s="25"/>
      <c r="D65" s="4"/>
      <c r="E65" s="4"/>
      <c r="F65" s="4"/>
      <c r="G65" s="25"/>
      <c r="H65" s="4"/>
      <c r="I65" s="72"/>
      <c r="J65" s="73"/>
      <c r="K65" s="4"/>
      <c r="L65" s="7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25"/>
      <c r="C66" s="25"/>
      <c r="D66" s="4"/>
      <c r="E66" s="4"/>
      <c r="F66" s="4"/>
      <c r="G66" s="25"/>
      <c r="H66" s="4"/>
      <c r="I66" s="72"/>
      <c r="J66" s="73"/>
      <c r="K66" s="4"/>
      <c r="L66" s="7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25"/>
      <c r="C67" s="25"/>
      <c r="D67" s="4"/>
      <c r="E67" s="4"/>
      <c r="F67" s="4"/>
      <c r="G67" s="25"/>
      <c r="H67" s="4"/>
      <c r="I67" s="72"/>
      <c r="J67" s="73"/>
      <c r="K67" s="4"/>
      <c r="L67" s="7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25"/>
      <c r="C68" s="25"/>
      <c r="D68" s="4"/>
      <c r="E68" s="4"/>
      <c r="F68" s="4"/>
      <c r="G68" s="25"/>
      <c r="H68" s="4"/>
      <c r="I68" s="72"/>
      <c r="J68" s="73"/>
      <c r="K68" s="4"/>
      <c r="L68" s="7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25"/>
      <c r="C69" s="25"/>
      <c r="D69" s="4"/>
      <c r="E69" s="4"/>
      <c r="F69" s="4"/>
      <c r="G69" s="25"/>
      <c r="H69" s="4"/>
      <c r="I69" s="72"/>
      <c r="J69" s="73"/>
      <c r="K69" s="4"/>
      <c r="L69" s="7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25"/>
      <c r="C70" s="25"/>
      <c r="D70" s="4"/>
      <c r="E70" s="4"/>
      <c r="F70" s="4"/>
      <c r="G70" s="25"/>
      <c r="H70" s="4"/>
      <c r="I70" s="72"/>
      <c r="J70" s="73"/>
      <c r="K70" s="4"/>
      <c r="L70" s="7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25"/>
      <c r="C71" s="25"/>
      <c r="D71" s="4"/>
      <c r="E71" s="4"/>
      <c r="F71" s="4"/>
      <c r="G71" s="25"/>
      <c r="H71" s="4"/>
      <c r="I71" s="72"/>
      <c r="J71" s="73"/>
      <c r="K71" s="4"/>
      <c r="L71" s="7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25"/>
      <c r="C72" s="25"/>
      <c r="D72" s="4"/>
      <c r="E72" s="4"/>
      <c r="F72" s="4"/>
      <c r="G72" s="25"/>
      <c r="H72" s="4"/>
      <c r="I72" s="72"/>
      <c r="J72" s="73"/>
      <c r="K72" s="4"/>
      <c r="L72" s="7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25"/>
      <c r="C73" s="25"/>
      <c r="D73" s="4"/>
      <c r="E73" s="4"/>
      <c r="F73" s="4"/>
      <c r="G73" s="25"/>
      <c r="H73" s="4"/>
      <c r="I73" s="72"/>
      <c r="J73" s="73"/>
      <c r="K73" s="4"/>
      <c r="L73" s="7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25"/>
      <c r="C74" s="25"/>
      <c r="D74" s="4"/>
      <c r="E74" s="4"/>
      <c r="F74" s="4"/>
      <c r="G74" s="25"/>
      <c r="H74" s="4"/>
      <c r="I74" s="72"/>
      <c r="J74" s="73"/>
      <c r="K74" s="4"/>
      <c r="L74" s="7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25"/>
      <c r="C75" s="25"/>
      <c r="D75" s="4"/>
      <c r="E75" s="4"/>
      <c r="F75" s="4"/>
      <c r="G75" s="25"/>
      <c r="H75" s="4"/>
      <c r="I75" s="72"/>
      <c r="J75" s="73"/>
      <c r="K75" s="4"/>
      <c r="L75" s="7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25"/>
      <c r="C76" s="25"/>
      <c r="D76" s="4"/>
      <c r="E76" s="4"/>
      <c r="F76" s="4"/>
      <c r="G76" s="25"/>
      <c r="H76" s="4"/>
      <c r="I76" s="72"/>
      <c r="J76" s="73"/>
      <c r="K76" s="4"/>
      <c r="L76" s="7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25"/>
      <c r="C77" s="25"/>
      <c r="D77" s="4"/>
      <c r="E77" s="4"/>
      <c r="F77" s="4"/>
      <c r="G77" s="25"/>
      <c r="H77" s="4"/>
      <c r="I77" s="72"/>
      <c r="J77" s="73"/>
      <c r="K77" s="4"/>
      <c r="L77" s="7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25"/>
      <c r="C78" s="25"/>
      <c r="D78" s="4"/>
      <c r="E78" s="4"/>
      <c r="F78" s="4"/>
      <c r="G78" s="25"/>
      <c r="H78" s="4"/>
      <c r="I78" s="72"/>
      <c r="J78" s="73"/>
      <c r="K78" s="4"/>
      <c r="L78" s="7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25"/>
      <c r="C79" s="25"/>
      <c r="D79" s="4"/>
      <c r="E79" s="4"/>
      <c r="F79" s="4"/>
      <c r="G79" s="25"/>
      <c r="H79" s="4"/>
      <c r="I79" s="72"/>
      <c r="J79" s="73"/>
      <c r="K79" s="4"/>
      <c r="L79" s="7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25"/>
      <c r="C80" s="25"/>
      <c r="D80" s="4"/>
      <c r="E80" s="4"/>
      <c r="F80" s="4"/>
      <c r="G80" s="25"/>
      <c r="H80" s="4"/>
      <c r="I80" s="72"/>
      <c r="J80" s="73"/>
      <c r="K80" s="4"/>
      <c r="L80" s="7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25"/>
      <c r="C81" s="25"/>
      <c r="D81" s="4"/>
      <c r="E81" s="4"/>
      <c r="F81" s="4"/>
      <c r="G81" s="25"/>
      <c r="H81" s="4"/>
      <c r="I81" s="72"/>
      <c r="J81" s="73"/>
      <c r="K81" s="4"/>
      <c r="L81" s="7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25"/>
      <c r="C82" s="25"/>
      <c r="D82" s="4"/>
      <c r="E82" s="4"/>
      <c r="F82" s="4"/>
      <c r="G82" s="25"/>
      <c r="H82" s="4"/>
      <c r="I82" s="72"/>
      <c r="J82" s="73"/>
      <c r="K82" s="4"/>
      <c r="L82" s="7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25"/>
      <c r="C83" s="25"/>
      <c r="D83" s="4"/>
      <c r="E83" s="4"/>
      <c r="F83" s="4"/>
      <c r="G83" s="25"/>
      <c r="H83" s="4"/>
      <c r="I83" s="72"/>
      <c r="J83" s="73"/>
      <c r="K83" s="4"/>
      <c r="L83" s="7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25"/>
      <c r="C84" s="25"/>
      <c r="D84" s="4"/>
      <c r="E84" s="4"/>
      <c r="F84" s="4"/>
      <c r="G84" s="25"/>
      <c r="H84" s="4"/>
      <c r="I84" s="72"/>
      <c r="J84" s="73"/>
      <c r="K84" s="4"/>
      <c r="L84" s="7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25"/>
      <c r="C85" s="25"/>
      <c r="D85" s="4"/>
      <c r="E85" s="4"/>
      <c r="F85" s="4"/>
      <c r="G85" s="25"/>
      <c r="H85" s="4"/>
      <c r="I85" s="72"/>
      <c r="J85" s="73"/>
      <c r="K85" s="4"/>
      <c r="L85" s="7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25"/>
      <c r="C86" s="25"/>
      <c r="D86" s="4"/>
      <c r="E86" s="4"/>
      <c r="F86" s="4"/>
      <c r="G86" s="25"/>
      <c r="H86" s="4"/>
      <c r="I86" s="72"/>
      <c r="J86" s="73"/>
      <c r="K86" s="4"/>
      <c r="L86" s="7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25"/>
      <c r="C87" s="25"/>
      <c r="D87" s="4"/>
      <c r="E87" s="4"/>
      <c r="F87" s="4"/>
      <c r="G87" s="25"/>
      <c r="H87" s="4"/>
      <c r="I87" s="72"/>
      <c r="J87" s="73"/>
      <c r="K87" s="4"/>
      <c r="L87" s="7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25"/>
      <c r="C88" s="25"/>
      <c r="D88" s="4"/>
      <c r="E88" s="4"/>
      <c r="F88" s="4"/>
      <c r="G88" s="25"/>
      <c r="H88" s="4"/>
      <c r="I88" s="72"/>
      <c r="J88" s="73"/>
      <c r="K88" s="4"/>
      <c r="L88" s="7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25"/>
      <c r="C89" s="25"/>
      <c r="D89" s="4"/>
      <c r="E89" s="4"/>
      <c r="F89" s="4"/>
      <c r="G89" s="25"/>
      <c r="H89" s="4"/>
      <c r="I89" s="72"/>
      <c r="J89" s="73"/>
      <c r="K89" s="4"/>
      <c r="L89" s="7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25"/>
      <c r="C90" s="25"/>
      <c r="D90" s="4"/>
      <c r="E90" s="4"/>
      <c r="F90" s="4"/>
      <c r="G90" s="25"/>
      <c r="H90" s="4"/>
      <c r="I90" s="72"/>
      <c r="J90" s="73"/>
      <c r="K90" s="4"/>
      <c r="L90" s="7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25"/>
      <c r="C91" s="25"/>
      <c r="D91" s="4"/>
      <c r="E91" s="4"/>
      <c r="F91" s="4"/>
      <c r="G91" s="25"/>
      <c r="H91" s="4"/>
      <c r="I91" s="72"/>
      <c r="J91" s="73"/>
      <c r="K91" s="4"/>
      <c r="L91" s="7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25"/>
      <c r="C92" s="25"/>
      <c r="D92" s="4"/>
      <c r="E92" s="4"/>
      <c r="F92" s="4"/>
      <c r="G92" s="25"/>
      <c r="H92" s="4"/>
      <c r="I92" s="72"/>
      <c r="J92" s="73"/>
      <c r="K92" s="4"/>
      <c r="L92" s="7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25"/>
      <c r="C93" s="25"/>
      <c r="D93" s="4"/>
      <c r="E93" s="4"/>
      <c r="F93" s="4"/>
      <c r="G93" s="25"/>
      <c r="H93" s="4"/>
      <c r="I93" s="72"/>
      <c r="J93" s="73"/>
      <c r="K93" s="4"/>
      <c r="L93" s="7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25"/>
      <c r="C94" s="25"/>
      <c r="D94" s="4"/>
      <c r="E94" s="4"/>
      <c r="F94" s="4"/>
      <c r="G94" s="25"/>
      <c r="H94" s="4"/>
      <c r="I94" s="72"/>
      <c r="J94" s="73"/>
      <c r="K94" s="4"/>
      <c r="L94" s="7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25"/>
      <c r="C95" s="25"/>
      <c r="D95" s="4"/>
      <c r="E95" s="4"/>
      <c r="F95" s="4"/>
      <c r="G95" s="25"/>
      <c r="H95" s="4"/>
      <c r="I95" s="72"/>
      <c r="J95" s="73"/>
      <c r="K95" s="4"/>
      <c r="L95" s="7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25"/>
      <c r="C96" s="25"/>
      <c r="D96" s="4"/>
      <c r="E96" s="4"/>
      <c r="F96" s="4"/>
      <c r="G96" s="25"/>
      <c r="H96" s="4"/>
      <c r="I96" s="72"/>
      <c r="J96" s="73"/>
      <c r="K96" s="4"/>
      <c r="L96" s="7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25"/>
      <c r="C97" s="25"/>
      <c r="D97" s="4"/>
      <c r="E97" s="4"/>
      <c r="F97" s="4"/>
      <c r="G97" s="25"/>
      <c r="H97" s="4"/>
      <c r="I97" s="72"/>
      <c r="J97" s="73"/>
      <c r="K97" s="4"/>
      <c r="L97" s="7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25"/>
      <c r="C98" s="25"/>
      <c r="D98" s="4"/>
      <c r="E98" s="4"/>
      <c r="F98" s="4"/>
      <c r="G98" s="25"/>
      <c r="H98" s="4"/>
      <c r="I98" s="72"/>
      <c r="J98" s="73"/>
      <c r="K98" s="4"/>
      <c r="L98" s="7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25"/>
      <c r="C99" s="25"/>
      <c r="D99" s="4"/>
      <c r="E99" s="4"/>
      <c r="F99" s="4"/>
      <c r="G99" s="25"/>
      <c r="H99" s="4"/>
      <c r="I99" s="72"/>
      <c r="J99" s="73"/>
      <c r="K99" s="4"/>
      <c r="L99" s="7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25"/>
      <c r="C100" s="25"/>
      <c r="D100" s="4"/>
      <c r="E100" s="4"/>
      <c r="F100" s="4"/>
      <c r="G100" s="25"/>
      <c r="H100" s="4"/>
      <c r="I100" s="72"/>
      <c r="J100" s="73"/>
      <c r="K100" s="4"/>
      <c r="L100" s="7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25"/>
      <c r="C101" s="25"/>
      <c r="D101" s="4"/>
      <c r="E101" s="4"/>
      <c r="F101" s="4"/>
      <c r="G101" s="25"/>
      <c r="H101" s="4"/>
      <c r="I101" s="72"/>
      <c r="J101" s="73"/>
      <c r="K101" s="4"/>
      <c r="L101" s="7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25"/>
      <c r="C102" s="25"/>
      <c r="D102" s="4"/>
      <c r="E102" s="4"/>
      <c r="F102" s="4"/>
      <c r="G102" s="25"/>
      <c r="H102" s="4"/>
      <c r="I102" s="72"/>
      <c r="J102" s="73"/>
      <c r="K102" s="4"/>
      <c r="L102" s="7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25"/>
      <c r="C103" s="25"/>
      <c r="D103" s="4"/>
      <c r="E103" s="4"/>
      <c r="F103" s="4"/>
      <c r="G103" s="25"/>
      <c r="H103" s="4"/>
      <c r="I103" s="72"/>
      <c r="J103" s="73"/>
      <c r="K103" s="4"/>
      <c r="L103" s="7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25"/>
      <c r="C104" s="25"/>
      <c r="D104" s="4"/>
      <c r="E104" s="4"/>
      <c r="F104" s="4"/>
      <c r="G104" s="25"/>
      <c r="H104" s="4"/>
      <c r="I104" s="72"/>
      <c r="J104" s="73"/>
      <c r="K104" s="4"/>
      <c r="L104" s="7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25"/>
      <c r="C105" s="25"/>
      <c r="D105" s="4"/>
      <c r="E105" s="4"/>
      <c r="F105" s="4"/>
      <c r="G105" s="25"/>
      <c r="H105" s="4"/>
      <c r="I105" s="72"/>
      <c r="J105" s="73"/>
      <c r="K105" s="4"/>
      <c r="L105" s="7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25"/>
      <c r="C106" s="25"/>
      <c r="D106" s="4"/>
      <c r="E106" s="4"/>
      <c r="F106" s="4"/>
      <c r="G106" s="25"/>
      <c r="H106" s="4"/>
      <c r="I106" s="72"/>
      <c r="J106" s="73"/>
      <c r="K106" s="4"/>
      <c r="L106" s="7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25"/>
      <c r="C107" s="25"/>
      <c r="D107" s="4"/>
      <c r="E107" s="4"/>
      <c r="F107" s="4"/>
      <c r="G107" s="25"/>
      <c r="H107" s="4"/>
      <c r="I107" s="72"/>
      <c r="J107" s="73"/>
      <c r="K107" s="4"/>
      <c r="L107" s="7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25"/>
      <c r="C108" s="25"/>
      <c r="D108" s="4"/>
      <c r="E108" s="4"/>
      <c r="F108" s="4"/>
      <c r="G108" s="25"/>
      <c r="H108" s="4"/>
      <c r="I108" s="72"/>
      <c r="J108" s="73"/>
      <c r="K108" s="4"/>
      <c r="L108" s="7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25"/>
      <c r="C109" s="25"/>
      <c r="D109" s="4"/>
      <c r="E109" s="4"/>
      <c r="F109" s="4"/>
      <c r="G109" s="25"/>
      <c r="H109" s="4"/>
      <c r="I109" s="72"/>
      <c r="J109" s="73"/>
      <c r="K109" s="4"/>
      <c r="L109" s="7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25"/>
      <c r="C110" s="25"/>
      <c r="D110" s="4"/>
      <c r="E110" s="4"/>
      <c r="F110" s="4"/>
      <c r="G110" s="25"/>
      <c r="H110" s="4"/>
      <c r="I110" s="72"/>
      <c r="J110" s="73"/>
      <c r="K110" s="4"/>
      <c r="L110" s="7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25"/>
      <c r="C111" s="25"/>
      <c r="D111" s="4"/>
      <c r="E111" s="4"/>
      <c r="F111" s="4"/>
      <c r="G111" s="25"/>
      <c r="H111" s="4"/>
      <c r="I111" s="72"/>
      <c r="J111" s="73"/>
      <c r="K111" s="4"/>
      <c r="L111" s="7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25"/>
      <c r="C112" s="25"/>
      <c r="D112" s="4"/>
      <c r="E112" s="4"/>
      <c r="F112" s="4"/>
      <c r="G112" s="25"/>
      <c r="H112" s="4"/>
      <c r="I112" s="72"/>
      <c r="J112" s="73"/>
      <c r="K112" s="4"/>
      <c r="L112" s="7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25"/>
      <c r="C113" s="25"/>
      <c r="D113" s="4"/>
      <c r="E113" s="4"/>
      <c r="F113" s="4"/>
      <c r="G113" s="25"/>
      <c r="H113" s="4"/>
      <c r="I113" s="72"/>
      <c r="J113" s="73"/>
      <c r="K113" s="4"/>
      <c r="L113" s="7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25"/>
      <c r="C114" s="25"/>
      <c r="D114" s="4"/>
      <c r="E114" s="4"/>
      <c r="F114" s="4"/>
      <c r="G114" s="25"/>
      <c r="H114" s="4"/>
      <c r="I114" s="72"/>
      <c r="J114" s="73"/>
      <c r="K114" s="4"/>
      <c r="L114" s="7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25"/>
      <c r="C115" s="25"/>
      <c r="D115" s="4"/>
      <c r="E115" s="4"/>
      <c r="F115" s="4"/>
      <c r="G115" s="25"/>
      <c r="H115" s="4"/>
      <c r="I115" s="72"/>
      <c r="J115" s="73"/>
      <c r="K115" s="4"/>
      <c r="L115" s="7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25"/>
      <c r="C116" s="25"/>
      <c r="D116" s="4"/>
      <c r="E116" s="4"/>
      <c r="F116" s="4"/>
      <c r="G116" s="25"/>
      <c r="H116" s="4"/>
      <c r="I116" s="72"/>
      <c r="J116" s="73"/>
      <c r="K116" s="4"/>
      <c r="L116" s="7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25"/>
      <c r="C117" s="25"/>
      <c r="D117" s="4"/>
      <c r="E117" s="4"/>
      <c r="F117" s="4"/>
      <c r="G117" s="25"/>
      <c r="H117" s="4"/>
      <c r="I117" s="72"/>
      <c r="J117" s="73"/>
      <c r="K117" s="4"/>
      <c r="L117" s="7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25"/>
      <c r="C118" s="25"/>
      <c r="D118" s="4"/>
      <c r="E118" s="4"/>
      <c r="F118" s="4"/>
      <c r="G118" s="25"/>
      <c r="H118" s="4"/>
      <c r="I118" s="72"/>
      <c r="J118" s="73"/>
      <c r="K118" s="4"/>
      <c r="L118" s="7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25"/>
      <c r="C119" s="25"/>
      <c r="D119" s="4"/>
      <c r="E119" s="4"/>
      <c r="F119" s="4"/>
      <c r="G119" s="25"/>
      <c r="H119" s="4"/>
      <c r="I119" s="72"/>
      <c r="J119" s="73"/>
      <c r="K119" s="4"/>
      <c r="L119" s="7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25"/>
      <c r="C120" s="25"/>
      <c r="D120" s="4"/>
      <c r="E120" s="4"/>
      <c r="F120" s="4"/>
      <c r="G120" s="25"/>
      <c r="H120" s="4"/>
      <c r="I120" s="72"/>
      <c r="J120" s="73"/>
      <c r="K120" s="4"/>
      <c r="L120" s="7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25"/>
      <c r="C121" s="25"/>
      <c r="D121" s="4"/>
      <c r="E121" s="4"/>
      <c r="F121" s="4"/>
      <c r="G121" s="25"/>
      <c r="H121" s="4"/>
      <c r="I121" s="72"/>
      <c r="J121" s="73"/>
      <c r="K121" s="4"/>
      <c r="L121" s="7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25"/>
      <c r="C122" s="25"/>
      <c r="D122" s="4"/>
      <c r="E122" s="4"/>
      <c r="F122" s="4"/>
      <c r="G122" s="25"/>
      <c r="H122" s="4"/>
      <c r="I122" s="72"/>
      <c r="J122" s="73"/>
      <c r="K122" s="4"/>
      <c r="L122" s="7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25"/>
      <c r="C123" s="25"/>
      <c r="D123" s="4"/>
      <c r="E123" s="4"/>
      <c r="F123" s="4"/>
      <c r="G123" s="25"/>
      <c r="H123" s="4"/>
      <c r="I123" s="72"/>
      <c r="J123" s="73"/>
      <c r="K123" s="4"/>
      <c r="L123" s="7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25"/>
      <c r="C124" s="25"/>
      <c r="D124" s="4"/>
      <c r="E124" s="4"/>
      <c r="F124" s="4"/>
      <c r="G124" s="25"/>
      <c r="H124" s="4"/>
      <c r="I124" s="72"/>
      <c r="J124" s="73"/>
      <c r="K124" s="4"/>
      <c r="L124" s="7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25"/>
      <c r="C125" s="25"/>
      <c r="D125" s="4"/>
      <c r="E125" s="4"/>
      <c r="F125" s="4"/>
      <c r="G125" s="25"/>
      <c r="H125" s="4"/>
      <c r="I125" s="72"/>
      <c r="J125" s="73"/>
      <c r="K125" s="4"/>
      <c r="L125" s="7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25"/>
      <c r="C126" s="25"/>
      <c r="D126" s="4"/>
      <c r="E126" s="4"/>
      <c r="F126" s="4"/>
      <c r="G126" s="25"/>
      <c r="H126" s="4"/>
      <c r="I126" s="72"/>
      <c r="J126" s="73"/>
      <c r="K126" s="4"/>
      <c r="L126" s="7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25"/>
      <c r="C127" s="25"/>
      <c r="D127" s="4"/>
      <c r="E127" s="4"/>
      <c r="F127" s="4"/>
      <c r="G127" s="25"/>
      <c r="H127" s="4"/>
      <c r="I127" s="72"/>
      <c r="J127" s="73"/>
      <c r="K127" s="4"/>
      <c r="L127" s="7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25"/>
      <c r="C128" s="25"/>
      <c r="D128" s="4"/>
      <c r="E128" s="4"/>
      <c r="F128" s="4"/>
      <c r="G128" s="25"/>
      <c r="H128" s="4"/>
      <c r="I128" s="72"/>
      <c r="J128" s="73"/>
      <c r="K128" s="4"/>
      <c r="L128" s="7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25"/>
      <c r="C129" s="25"/>
      <c r="D129" s="4"/>
      <c r="E129" s="4"/>
      <c r="F129" s="4"/>
      <c r="G129" s="25"/>
      <c r="H129" s="4"/>
      <c r="I129" s="72"/>
      <c r="J129" s="73"/>
      <c r="K129" s="4"/>
      <c r="L129" s="7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25"/>
      <c r="C130" s="25"/>
      <c r="D130" s="4"/>
      <c r="E130" s="4"/>
      <c r="F130" s="4"/>
      <c r="G130" s="25"/>
      <c r="H130" s="4"/>
      <c r="I130" s="72"/>
      <c r="J130" s="73"/>
      <c r="K130" s="4"/>
      <c r="L130" s="7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25"/>
      <c r="C131" s="25"/>
      <c r="D131" s="4"/>
      <c r="E131" s="4"/>
      <c r="F131" s="4"/>
      <c r="G131" s="25"/>
      <c r="H131" s="4"/>
      <c r="I131" s="72"/>
      <c r="J131" s="73"/>
      <c r="K131" s="4"/>
      <c r="L131" s="7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25"/>
      <c r="C132" s="25"/>
      <c r="D132" s="4"/>
      <c r="E132" s="4"/>
      <c r="F132" s="4"/>
      <c r="G132" s="25"/>
      <c r="H132" s="4"/>
      <c r="I132" s="72"/>
      <c r="J132" s="73"/>
      <c r="K132" s="4"/>
      <c r="L132" s="7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25"/>
      <c r="C133" s="25"/>
      <c r="D133" s="4"/>
      <c r="E133" s="4"/>
      <c r="F133" s="4"/>
      <c r="G133" s="25"/>
      <c r="H133" s="4"/>
      <c r="I133" s="72"/>
      <c r="J133" s="73"/>
      <c r="K133" s="4"/>
      <c r="L133" s="7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25"/>
      <c r="C134" s="25"/>
      <c r="D134" s="4"/>
      <c r="E134" s="4"/>
      <c r="F134" s="4"/>
      <c r="G134" s="25"/>
      <c r="H134" s="4"/>
      <c r="I134" s="72"/>
      <c r="J134" s="73"/>
      <c r="K134" s="4"/>
      <c r="L134" s="7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25"/>
      <c r="C135" s="25"/>
      <c r="D135" s="4"/>
      <c r="E135" s="4"/>
      <c r="F135" s="4"/>
      <c r="G135" s="25"/>
      <c r="H135" s="4"/>
      <c r="I135" s="72"/>
      <c r="J135" s="73"/>
      <c r="K135" s="4"/>
      <c r="L135" s="7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25"/>
      <c r="C136" s="25"/>
      <c r="D136" s="4"/>
      <c r="E136" s="4"/>
      <c r="F136" s="4"/>
      <c r="G136" s="25"/>
      <c r="H136" s="4"/>
      <c r="I136" s="72"/>
      <c r="J136" s="73"/>
      <c r="K136" s="4"/>
      <c r="L136" s="7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25"/>
      <c r="C137" s="25"/>
      <c r="D137" s="4"/>
      <c r="E137" s="4"/>
      <c r="F137" s="4"/>
      <c r="G137" s="25"/>
      <c r="H137" s="4"/>
      <c r="I137" s="72"/>
      <c r="J137" s="73"/>
      <c r="K137" s="4"/>
      <c r="L137" s="7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25"/>
      <c r="C138" s="25"/>
      <c r="D138" s="4"/>
      <c r="E138" s="4"/>
      <c r="F138" s="4"/>
      <c r="G138" s="25"/>
      <c r="H138" s="4"/>
      <c r="I138" s="72"/>
      <c r="J138" s="73"/>
      <c r="K138" s="4"/>
      <c r="L138" s="7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25"/>
      <c r="C139" s="25"/>
      <c r="D139" s="4"/>
      <c r="E139" s="4"/>
      <c r="F139" s="4"/>
      <c r="G139" s="25"/>
      <c r="H139" s="4"/>
      <c r="I139" s="72"/>
      <c r="J139" s="73"/>
      <c r="K139" s="4"/>
      <c r="L139" s="7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25"/>
      <c r="C140" s="25"/>
      <c r="D140" s="4"/>
      <c r="E140" s="4"/>
      <c r="F140" s="4"/>
      <c r="G140" s="25"/>
      <c r="H140" s="4"/>
      <c r="I140" s="72"/>
      <c r="J140" s="73"/>
      <c r="K140" s="4"/>
      <c r="L140" s="7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25"/>
      <c r="C141" s="25"/>
      <c r="D141" s="4"/>
      <c r="E141" s="4"/>
      <c r="F141" s="4"/>
      <c r="G141" s="25"/>
      <c r="H141" s="4"/>
      <c r="I141" s="72"/>
      <c r="J141" s="73"/>
      <c r="K141" s="4"/>
      <c r="L141" s="7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25"/>
      <c r="C142" s="25"/>
      <c r="D142" s="4"/>
      <c r="E142" s="4"/>
      <c r="F142" s="4"/>
      <c r="G142" s="25"/>
      <c r="H142" s="4"/>
      <c r="I142" s="72"/>
      <c r="J142" s="73"/>
      <c r="K142" s="4"/>
      <c r="L142" s="7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25"/>
      <c r="C143" s="25"/>
      <c r="D143" s="4"/>
      <c r="E143" s="4"/>
      <c r="F143" s="4"/>
      <c r="G143" s="25"/>
      <c r="H143" s="4"/>
      <c r="I143" s="72"/>
      <c r="J143" s="73"/>
      <c r="K143" s="4"/>
      <c r="L143" s="7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25"/>
      <c r="C144" s="25"/>
      <c r="D144" s="4"/>
      <c r="E144" s="4"/>
      <c r="F144" s="4"/>
      <c r="G144" s="25"/>
      <c r="H144" s="4"/>
      <c r="I144" s="72"/>
      <c r="J144" s="73"/>
      <c r="K144" s="4"/>
      <c r="L144" s="7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25"/>
      <c r="C145" s="25"/>
      <c r="D145" s="4"/>
      <c r="E145" s="4"/>
      <c r="F145" s="4"/>
      <c r="G145" s="25"/>
      <c r="H145" s="4"/>
      <c r="I145" s="72"/>
      <c r="J145" s="73"/>
      <c r="K145" s="4"/>
      <c r="L145" s="7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25"/>
      <c r="C146" s="25"/>
      <c r="D146" s="4"/>
      <c r="E146" s="4"/>
      <c r="F146" s="4"/>
      <c r="G146" s="25"/>
      <c r="H146" s="4"/>
      <c r="I146" s="72"/>
      <c r="J146" s="73"/>
      <c r="K146" s="4"/>
      <c r="L146" s="7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25"/>
      <c r="C147" s="25"/>
      <c r="D147" s="4"/>
      <c r="E147" s="4"/>
      <c r="F147" s="4"/>
      <c r="G147" s="25"/>
      <c r="H147" s="4"/>
      <c r="I147" s="72"/>
      <c r="J147" s="73"/>
      <c r="K147" s="4"/>
      <c r="L147" s="7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25"/>
      <c r="C148" s="25"/>
      <c r="D148" s="4"/>
      <c r="E148" s="4"/>
      <c r="F148" s="4"/>
      <c r="G148" s="25"/>
      <c r="H148" s="4"/>
      <c r="I148" s="72"/>
      <c r="J148" s="73"/>
      <c r="K148" s="4"/>
      <c r="L148" s="7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25"/>
      <c r="C149" s="25"/>
      <c r="D149" s="4"/>
      <c r="E149" s="4"/>
      <c r="F149" s="4"/>
      <c r="G149" s="25"/>
      <c r="H149" s="4"/>
      <c r="I149" s="72"/>
      <c r="J149" s="73"/>
      <c r="K149" s="4"/>
      <c r="L149" s="7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25"/>
      <c r="C150" s="25"/>
      <c r="D150" s="4"/>
      <c r="E150" s="4"/>
      <c r="F150" s="4"/>
      <c r="G150" s="25"/>
      <c r="H150" s="4"/>
      <c r="I150" s="72"/>
      <c r="J150" s="73"/>
      <c r="K150" s="4"/>
      <c r="L150" s="7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25"/>
      <c r="C151" s="25"/>
      <c r="D151" s="4"/>
      <c r="E151" s="4"/>
      <c r="F151" s="4"/>
      <c r="G151" s="25"/>
      <c r="H151" s="4"/>
      <c r="I151" s="72"/>
      <c r="J151" s="73"/>
      <c r="K151" s="4"/>
      <c r="L151" s="7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25"/>
      <c r="C152" s="25"/>
      <c r="D152" s="4"/>
      <c r="E152" s="4"/>
      <c r="F152" s="4"/>
      <c r="G152" s="25"/>
      <c r="H152" s="4"/>
      <c r="I152" s="72"/>
      <c r="J152" s="73"/>
      <c r="K152" s="4"/>
      <c r="L152" s="7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25"/>
      <c r="C153" s="25"/>
      <c r="D153" s="4"/>
      <c r="E153" s="4"/>
      <c r="F153" s="4"/>
      <c r="G153" s="25"/>
      <c r="H153" s="4"/>
      <c r="I153" s="72"/>
      <c r="J153" s="73"/>
      <c r="K153" s="4"/>
      <c r="L153" s="7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25"/>
      <c r="C154" s="25"/>
      <c r="D154" s="4"/>
      <c r="E154" s="4"/>
      <c r="F154" s="4"/>
      <c r="G154" s="25"/>
      <c r="H154" s="4"/>
      <c r="I154" s="72"/>
      <c r="J154" s="73"/>
      <c r="K154" s="4"/>
      <c r="L154" s="7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25"/>
      <c r="C155" s="25"/>
      <c r="D155" s="4"/>
      <c r="E155" s="4"/>
      <c r="F155" s="4"/>
      <c r="G155" s="25"/>
      <c r="H155" s="4"/>
      <c r="I155" s="72"/>
      <c r="J155" s="73"/>
      <c r="K155" s="4"/>
      <c r="L155" s="7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25"/>
      <c r="C156" s="25"/>
      <c r="D156" s="4"/>
      <c r="E156" s="4"/>
      <c r="F156" s="4"/>
      <c r="G156" s="25"/>
      <c r="H156" s="4"/>
      <c r="I156" s="72"/>
      <c r="J156" s="73"/>
      <c r="K156" s="4"/>
      <c r="L156" s="7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25"/>
      <c r="C157" s="25"/>
      <c r="D157" s="4"/>
      <c r="E157" s="4"/>
      <c r="F157" s="4"/>
      <c r="G157" s="25"/>
      <c r="H157" s="4"/>
      <c r="I157" s="72"/>
      <c r="J157" s="73"/>
      <c r="K157" s="4"/>
      <c r="L157" s="7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25"/>
      <c r="C158" s="25"/>
      <c r="D158" s="4"/>
      <c r="E158" s="4"/>
      <c r="F158" s="4"/>
      <c r="G158" s="25"/>
      <c r="H158" s="4"/>
      <c r="I158" s="72"/>
      <c r="J158" s="73"/>
      <c r="K158" s="4"/>
      <c r="L158" s="7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25"/>
      <c r="C159" s="25"/>
      <c r="D159" s="4"/>
      <c r="E159" s="4"/>
      <c r="F159" s="4"/>
      <c r="G159" s="25"/>
      <c r="H159" s="4"/>
      <c r="I159" s="72"/>
      <c r="J159" s="73"/>
      <c r="K159" s="4"/>
      <c r="L159" s="7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25"/>
      <c r="C160" s="25"/>
      <c r="D160" s="4"/>
      <c r="E160" s="4"/>
      <c r="F160" s="4"/>
      <c r="G160" s="25"/>
      <c r="H160" s="4"/>
      <c r="I160" s="72"/>
      <c r="J160" s="73"/>
      <c r="K160" s="4"/>
      <c r="L160" s="7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25"/>
      <c r="C161" s="25"/>
      <c r="D161" s="4"/>
      <c r="E161" s="4"/>
      <c r="F161" s="4"/>
      <c r="G161" s="25"/>
      <c r="H161" s="4"/>
      <c r="I161" s="72"/>
      <c r="J161" s="73"/>
      <c r="K161" s="4"/>
      <c r="L161" s="7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25"/>
      <c r="C162" s="25"/>
      <c r="D162" s="4"/>
      <c r="E162" s="4"/>
      <c r="F162" s="4"/>
      <c r="G162" s="25"/>
      <c r="H162" s="4"/>
      <c r="I162" s="72"/>
      <c r="J162" s="73"/>
      <c r="K162" s="4"/>
      <c r="L162" s="7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25"/>
      <c r="C163" s="25"/>
      <c r="D163" s="4"/>
      <c r="E163" s="4"/>
      <c r="F163" s="4"/>
      <c r="G163" s="25"/>
      <c r="H163" s="4"/>
      <c r="I163" s="72"/>
      <c r="J163" s="73"/>
      <c r="K163" s="4"/>
      <c r="L163" s="7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25"/>
      <c r="C164" s="25"/>
      <c r="D164" s="4"/>
      <c r="E164" s="4"/>
      <c r="F164" s="4"/>
      <c r="G164" s="25"/>
      <c r="H164" s="4"/>
      <c r="I164" s="72"/>
      <c r="J164" s="73"/>
      <c r="K164" s="4"/>
      <c r="L164" s="7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25"/>
      <c r="C165" s="25"/>
      <c r="D165" s="4"/>
      <c r="E165" s="4"/>
      <c r="F165" s="4"/>
      <c r="G165" s="25"/>
      <c r="H165" s="4"/>
      <c r="I165" s="72"/>
      <c r="J165" s="73"/>
      <c r="K165" s="4"/>
      <c r="L165" s="7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25"/>
      <c r="C166" s="25"/>
      <c r="D166" s="4"/>
      <c r="E166" s="4"/>
      <c r="F166" s="4"/>
      <c r="G166" s="25"/>
      <c r="H166" s="4"/>
      <c r="I166" s="72"/>
      <c r="J166" s="73"/>
      <c r="K166" s="4"/>
      <c r="L166" s="7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25"/>
      <c r="C167" s="25"/>
      <c r="D167" s="4"/>
      <c r="E167" s="4"/>
      <c r="F167" s="4"/>
      <c r="G167" s="25"/>
      <c r="H167" s="4"/>
      <c r="I167" s="72"/>
      <c r="J167" s="73"/>
      <c r="K167" s="4"/>
      <c r="L167" s="7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25"/>
      <c r="C168" s="25"/>
      <c r="D168" s="4"/>
      <c r="E168" s="4"/>
      <c r="F168" s="4"/>
      <c r="G168" s="25"/>
      <c r="H168" s="4"/>
      <c r="I168" s="72"/>
      <c r="J168" s="73"/>
      <c r="K168" s="4"/>
      <c r="L168" s="7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25"/>
      <c r="C169" s="25"/>
      <c r="D169" s="4"/>
      <c r="E169" s="4"/>
      <c r="F169" s="4"/>
      <c r="G169" s="25"/>
      <c r="H169" s="4"/>
      <c r="I169" s="72"/>
      <c r="J169" s="73"/>
      <c r="K169" s="4"/>
      <c r="L169" s="7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25"/>
      <c r="C170" s="25"/>
      <c r="D170" s="4"/>
      <c r="E170" s="4"/>
      <c r="F170" s="4"/>
      <c r="G170" s="25"/>
      <c r="H170" s="4"/>
      <c r="I170" s="72"/>
      <c r="J170" s="73"/>
      <c r="K170" s="4"/>
      <c r="L170" s="7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25"/>
      <c r="C171" s="25"/>
      <c r="D171" s="4"/>
      <c r="E171" s="4"/>
      <c r="F171" s="4"/>
      <c r="G171" s="25"/>
      <c r="H171" s="4"/>
      <c r="I171" s="72"/>
      <c r="J171" s="73"/>
      <c r="K171" s="4"/>
      <c r="L171" s="7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25"/>
      <c r="C172" s="25"/>
      <c r="D172" s="4"/>
      <c r="E172" s="4"/>
      <c r="F172" s="4"/>
      <c r="G172" s="25"/>
      <c r="H172" s="4"/>
      <c r="I172" s="72"/>
      <c r="J172" s="73"/>
      <c r="K172" s="4"/>
      <c r="L172" s="7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25"/>
      <c r="C173" s="25"/>
      <c r="D173" s="4"/>
      <c r="E173" s="4"/>
      <c r="F173" s="4"/>
      <c r="G173" s="25"/>
      <c r="H173" s="4"/>
      <c r="I173" s="72"/>
      <c r="J173" s="73"/>
      <c r="K173" s="4"/>
      <c r="L173" s="7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25"/>
      <c r="C174" s="25"/>
      <c r="D174" s="4"/>
      <c r="E174" s="4"/>
      <c r="F174" s="4"/>
      <c r="G174" s="25"/>
      <c r="H174" s="4"/>
      <c r="I174" s="72"/>
      <c r="J174" s="73"/>
      <c r="K174" s="4"/>
      <c r="L174" s="7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25"/>
      <c r="C175" s="25"/>
      <c r="D175" s="4"/>
      <c r="E175" s="4"/>
      <c r="F175" s="4"/>
      <c r="G175" s="25"/>
      <c r="H175" s="4"/>
      <c r="I175" s="72"/>
      <c r="J175" s="73"/>
      <c r="K175" s="4"/>
      <c r="L175" s="7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25"/>
      <c r="C176" s="25"/>
      <c r="D176" s="4"/>
      <c r="E176" s="4"/>
      <c r="F176" s="4"/>
      <c r="G176" s="25"/>
      <c r="H176" s="4"/>
      <c r="I176" s="72"/>
      <c r="J176" s="73"/>
      <c r="K176" s="4"/>
      <c r="L176" s="7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25"/>
      <c r="C177" s="25"/>
      <c r="D177" s="4"/>
      <c r="E177" s="4"/>
      <c r="F177" s="4"/>
      <c r="G177" s="25"/>
      <c r="H177" s="4"/>
      <c r="I177" s="72"/>
      <c r="J177" s="73"/>
      <c r="K177" s="4"/>
      <c r="L177" s="7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25"/>
      <c r="C178" s="25"/>
      <c r="D178" s="4"/>
      <c r="E178" s="4"/>
      <c r="F178" s="4"/>
      <c r="G178" s="25"/>
      <c r="H178" s="4"/>
      <c r="I178" s="72"/>
      <c r="J178" s="73"/>
      <c r="K178" s="4"/>
      <c r="L178" s="7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25"/>
      <c r="C179" s="25"/>
      <c r="D179" s="4"/>
      <c r="E179" s="4"/>
      <c r="F179" s="4"/>
      <c r="G179" s="25"/>
      <c r="H179" s="4"/>
      <c r="I179" s="72"/>
      <c r="J179" s="73"/>
      <c r="K179" s="4"/>
      <c r="L179" s="7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25"/>
      <c r="C180" s="25"/>
      <c r="D180" s="4"/>
      <c r="E180" s="4"/>
      <c r="F180" s="4"/>
      <c r="G180" s="25"/>
      <c r="H180" s="4"/>
      <c r="I180" s="72"/>
      <c r="J180" s="73"/>
      <c r="K180" s="4"/>
      <c r="L180" s="7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25"/>
      <c r="C181" s="25"/>
      <c r="D181" s="4"/>
      <c r="E181" s="4"/>
      <c r="F181" s="4"/>
      <c r="G181" s="25"/>
      <c r="H181" s="4"/>
      <c r="I181" s="72"/>
      <c r="J181" s="73"/>
      <c r="K181" s="4"/>
      <c r="L181" s="7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25"/>
      <c r="C182" s="25"/>
      <c r="D182" s="4"/>
      <c r="E182" s="4"/>
      <c r="F182" s="4"/>
      <c r="G182" s="25"/>
      <c r="H182" s="4"/>
      <c r="I182" s="72"/>
      <c r="J182" s="73"/>
      <c r="K182" s="4"/>
      <c r="L182" s="7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25"/>
      <c r="C183" s="25"/>
      <c r="D183" s="4"/>
      <c r="E183" s="4"/>
      <c r="F183" s="4"/>
      <c r="G183" s="25"/>
      <c r="H183" s="4"/>
      <c r="I183" s="72"/>
      <c r="J183" s="73"/>
      <c r="K183" s="4"/>
      <c r="L183" s="7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25"/>
      <c r="C184" s="25"/>
      <c r="D184" s="4"/>
      <c r="E184" s="4"/>
      <c r="F184" s="4"/>
      <c r="G184" s="25"/>
      <c r="H184" s="4"/>
      <c r="I184" s="72"/>
      <c r="J184" s="73"/>
      <c r="K184" s="4"/>
      <c r="L184" s="7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25"/>
      <c r="C185" s="25"/>
      <c r="D185" s="4"/>
      <c r="E185" s="4"/>
      <c r="F185" s="4"/>
      <c r="G185" s="25"/>
      <c r="H185" s="4"/>
      <c r="I185" s="72"/>
      <c r="J185" s="73"/>
      <c r="K185" s="4"/>
      <c r="L185" s="7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25"/>
      <c r="C186" s="25"/>
      <c r="D186" s="4"/>
      <c r="E186" s="4"/>
      <c r="F186" s="4"/>
      <c r="G186" s="25"/>
      <c r="H186" s="4"/>
      <c r="I186" s="72"/>
      <c r="J186" s="73"/>
      <c r="K186" s="4"/>
      <c r="L186" s="7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25"/>
      <c r="C187" s="25"/>
      <c r="D187" s="4"/>
      <c r="E187" s="4"/>
      <c r="F187" s="4"/>
      <c r="G187" s="25"/>
      <c r="H187" s="4"/>
      <c r="I187" s="72"/>
      <c r="J187" s="73"/>
      <c r="K187" s="4"/>
      <c r="L187" s="7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25"/>
      <c r="C188" s="25"/>
      <c r="D188" s="4"/>
      <c r="E188" s="4"/>
      <c r="F188" s="4"/>
      <c r="G188" s="25"/>
      <c r="H188" s="4"/>
      <c r="I188" s="72"/>
      <c r="J188" s="73"/>
      <c r="K188" s="4"/>
      <c r="L188" s="7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25"/>
      <c r="C189" s="25"/>
      <c r="D189" s="4"/>
      <c r="E189" s="4"/>
      <c r="F189" s="4"/>
      <c r="G189" s="25"/>
      <c r="H189" s="4"/>
      <c r="I189" s="72"/>
      <c r="J189" s="73"/>
      <c r="K189" s="4"/>
      <c r="L189" s="7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25"/>
      <c r="C190" s="25"/>
      <c r="D190" s="4"/>
      <c r="E190" s="4"/>
      <c r="F190" s="4"/>
      <c r="G190" s="25"/>
      <c r="H190" s="4"/>
      <c r="I190" s="72"/>
      <c r="J190" s="73"/>
      <c r="K190" s="4"/>
      <c r="L190" s="7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25"/>
      <c r="C191" s="25"/>
      <c r="D191" s="4"/>
      <c r="E191" s="4"/>
      <c r="F191" s="4"/>
      <c r="G191" s="25"/>
      <c r="H191" s="4"/>
      <c r="I191" s="72"/>
      <c r="J191" s="73"/>
      <c r="K191" s="4"/>
      <c r="L191" s="7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25"/>
      <c r="C192" s="25"/>
      <c r="D192" s="4"/>
      <c r="E192" s="4"/>
      <c r="F192" s="4"/>
      <c r="G192" s="25"/>
      <c r="H192" s="4"/>
      <c r="I192" s="72"/>
      <c r="J192" s="73"/>
      <c r="K192" s="4"/>
      <c r="L192" s="7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25"/>
      <c r="C193" s="25"/>
      <c r="D193" s="4"/>
      <c r="E193" s="4"/>
      <c r="F193" s="4"/>
      <c r="G193" s="25"/>
      <c r="H193" s="4"/>
      <c r="I193" s="72"/>
      <c r="J193" s="73"/>
      <c r="K193" s="4"/>
      <c r="L193" s="7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25"/>
      <c r="C194" s="25"/>
      <c r="D194" s="4"/>
      <c r="E194" s="4"/>
      <c r="F194" s="4"/>
      <c r="G194" s="25"/>
      <c r="H194" s="4"/>
      <c r="I194" s="72"/>
      <c r="J194" s="73"/>
      <c r="K194" s="4"/>
      <c r="L194" s="7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25"/>
      <c r="C195" s="25"/>
      <c r="D195" s="4"/>
      <c r="E195" s="4"/>
      <c r="F195" s="4"/>
      <c r="G195" s="25"/>
      <c r="H195" s="4"/>
      <c r="I195" s="72"/>
      <c r="J195" s="73"/>
      <c r="K195" s="4"/>
      <c r="L195" s="7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25"/>
      <c r="C196" s="25"/>
      <c r="D196" s="4"/>
      <c r="E196" s="4"/>
      <c r="F196" s="4"/>
      <c r="G196" s="25"/>
      <c r="H196" s="4"/>
      <c r="I196" s="72"/>
      <c r="J196" s="73"/>
      <c r="K196" s="4"/>
      <c r="L196" s="7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25"/>
      <c r="C197" s="25"/>
      <c r="D197" s="4"/>
      <c r="E197" s="4"/>
      <c r="F197" s="4"/>
      <c r="G197" s="25"/>
      <c r="H197" s="4"/>
      <c r="I197" s="72"/>
      <c r="J197" s="73"/>
      <c r="K197" s="4"/>
      <c r="L197" s="7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25"/>
      <c r="C198" s="25"/>
      <c r="D198" s="4"/>
      <c r="E198" s="4"/>
      <c r="F198" s="4"/>
      <c r="G198" s="25"/>
      <c r="H198" s="4"/>
      <c r="I198" s="72"/>
      <c r="J198" s="73"/>
      <c r="K198" s="4"/>
      <c r="L198" s="7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25"/>
      <c r="C199" s="25"/>
      <c r="D199" s="4"/>
      <c r="E199" s="4"/>
      <c r="F199" s="4"/>
      <c r="G199" s="25"/>
      <c r="H199" s="4"/>
      <c r="I199" s="72"/>
      <c r="J199" s="73"/>
      <c r="K199" s="4"/>
      <c r="L199" s="7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25"/>
      <c r="C200" s="25"/>
      <c r="D200" s="4"/>
      <c r="E200" s="4"/>
      <c r="F200" s="4"/>
      <c r="G200" s="25"/>
      <c r="H200" s="4"/>
      <c r="I200" s="72"/>
      <c r="J200" s="73"/>
      <c r="K200" s="4"/>
      <c r="L200" s="7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25"/>
      <c r="C201" s="25"/>
      <c r="D201" s="4"/>
      <c r="E201" s="4"/>
      <c r="F201" s="4"/>
      <c r="G201" s="25"/>
      <c r="H201" s="4"/>
      <c r="I201" s="72"/>
      <c r="J201" s="73"/>
      <c r="K201" s="4"/>
      <c r="L201" s="7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25"/>
      <c r="C202" s="25"/>
      <c r="D202" s="4"/>
      <c r="E202" s="4"/>
      <c r="F202" s="4"/>
      <c r="G202" s="25"/>
      <c r="H202" s="4"/>
      <c r="I202" s="72"/>
      <c r="J202" s="73"/>
      <c r="K202" s="4"/>
      <c r="L202" s="7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25"/>
      <c r="C203" s="25"/>
      <c r="D203" s="4"/>
      <c r="E203" s="4"/>
      <c r="F203" s="4"/>
      <c r="G203" s="25"/>
      <c r="H203" s="4"/>
      <c r="I203" s="72"/>
      <c r="J203" s="73"/>
      <c r="K203" s="4"/>
      <c r="L203" s="7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25"/>
      <c r="C204" s="25"/>
      <c r="D204" s="4"/>
      <c r="E204" s="4"/>
      <c r="F204" s="4"/>
      <c r="G204" s="25"/>
      <c r="H204" s="4"/>
      <c r="I204" s="72"/>
      <c r="J204" s="73"/>
      <c r="K204" s="4"/>
      <c r="L204" s="7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25"/>
      <c r="C205" s="25"/>
      <c r="D205" s="4"/>
      <c r="E205" s="4"/>
      <c r="F205" s="4"/>
      <c r="G205" s="25"/>
      <c r="H205" s="4"/>
      <c r="I205" s="72"/>
      <c r="J205" s="73"/>
      <c r="K205" s="4"/>
      <c r="L205" s="7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25"/>
      <c r="C206" s="25"/>
      <c r="D206" s="4"/>
      <c r="E206" s="4"/>
      <c r="F206" s="4"/>
      <c r="G206" s="25"/>
      <c r="H206" s="4"/>
      <c r="I206" s="72"/>
      <c r="J206" s="73"/>
      <c r="K206" s="4"/>
      <c r="L206" s="7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25"/>
      <c r="C207" s="25"/>
      <c r="D207" s="4"/>
      <c r="E207" s="4"/>
      <c r="F207" s="4"/>
      <c r="G207" s="25"/>
      <c r="H207" s="4"/>
      <c r="I207" s="72"/>
      <c r="J207" s="73"/>
      <c r="K207" s="4"/>
      <c r="L207" s="7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25"/>
      <c r="C208" s="25"/>
      <c r="D208" s="4"/>
      <c r="E208" s="4"/>
      <c r="F208" s="4"/>
      <c r="G208" s="25"/>
      <c r="H208" s="4"/>
      <c r="I208" s="72"/>
      <c r="J208" s="73"/>
      <c r="K208" s="4"/>
      <c r="L208" s="7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25"/>
      <c r="C209" s="25"/>
      <c r="D209" s="4"/>
      <c r="E209" s="4"/>
      <c r="F209" s="4"/>
      <c r="G209" s="25"/>
      <c r="H209" s="4"/>
      <c r="I209" s="72"/>
      <c r="J209" s="73"/>
      <c r="K209" s="4"/>
      <c r="L209" s="7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25"/>
      <c r="C210" s="25"/>
      <c r="D210" s="4"/>
      <c r="E210" s="4"/>
      <c r="F210" s="4"/>
      <c r="G210" s="25"/>
      <c r="H210" s="4"/>
      <c r="I210" s="72"/>
      <c r="J210" s="73"/>
      <c r="K210" s="4"/>
      <c r="L210" s="7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25"/>
      <c r="C211" s="25"/>
      <c r="D211" s="4"/>
      <c r="E211" s="4"/>
      <c r="F211" s="4"/>
      <c r="G211" s="25"/>
      <c r="H211" s="4"/>
      <c r="I211" s="72"/>
      <c r="J211" s="73"/>
      <c r="K211" s="4"/>
      <c r="L211" s="7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25"/>
      <c r="C212" s="25"/>
      <c r="D212" s="4"/>
      <c r="E212" s="4"/>
      <c r="F212" s="4"/>
      <c r="G212" s="25"/>
      <c r="H212" s="4"/>
      <c r="I212" s="72"/>
      <c r="J212" s="73"/>
      <c r="K212" s="4"/>
      <c r="L212" s="7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25"/>
      <c r="C213" s="25"/>
      <c r="D213" s="4"/>
      <c r="E213" s="4"/>
      <c r="F213" s="4"/>
      <c r="G213" s="25"/>
      <c r="H213" s="4"/>
      <c r="I213" s="72"/>
      <c r="J213" s="73"/>
      <c r="K213" s="4"/>
      <c r="L213" s="7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25"/>
      <c r="C214" s="25"/>
      <c r="D214" s="4"/>
      <c r="E214" s="4"/>
      <c r="F214" s="4"/>
      <c r="G214" s="25"/>
      <c r="H214" s="4"/>
      <c r="I214" s="72"/>
      <c r="J214" s="73"/>
      <c r="K214" s="4"/>
      <c r="L214" s="7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25"/>
      <c r="C215" s="25"/>
      <c r="D215" s="4"/>
      <c r="E215" s="4"/>
      <c r="F215" s="4"/>
      <c r="G215" s="25"/>
      <c r="H215" s="4"/>
      <c r="I215" s="72"/>
      <c r="J215" s="73"/>
      <c r="K215" s="4"/>
      <c r="L215" s="7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25"/>
      <c r="C216" s="25"/>
      <c r="D216" s="4"/>
      <c r="E216" s="4"/>
      <c r="F216" s="4"/>
      <c r="G216" s="25"/>
      <c r="H216" s="4"/>
      <c r="I216" s="72"/>
      <c r="J216" s="73"/>
      <c r="K216" s="4"/>
      <c r="L216" s="7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25"/>
      <c r="C217" s="25"/>
      <c r="D217" s="4"/>
      <c r="E217" s="4"/>
      <c r="F217" s="4"/>
      <c r="G217" s="25"/>
      <c r="H217" s="4"/>
      <c r="I217" s="72"/>
      <c r="J217" s="73"/>
      <c r="K217" s="4"/>
      <c r="L217" s="7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25"/>
      <c r="C218" s="25"/>
      <c r="D218" s="4"/>
      <c r="E218" s="4"/>
      <c r="F218" s="4"/>
      <c r="G218" s="25"/>
      <c r="H218" s="4"/>
      <c r="I218" s="72"/>
      <c r="J218" s="73"/>
      <c r="K218" s="4"/>
      <c r="L218" s="7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25"/>
      <c r="C219" s="25"/>
      <c r="D219" s="4"/>
      <c r="E219" s="4"/>
      <c r="F219" s="4"/>
      <c r="G219" s="25"/>
      <c r="H219" s="4"/>
      <c r="I219" s="72"/>
      <c r="J219" s="73"/>
      <c r="K219" s="4"/>
      <c r="L219" s="7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25"/>
      <c r="C220" s="25"/>
      <c r="D220" s="4"/>
      <c r="E220" s="4"/>
      <c r="F220" s="4"/>
      <c r="G220" s="25"/>
      <c r="H220" s="4"/>
      <c r="I220" s="72"/>
      <c r="J220" s="73"/>
      <c r="K220" s="4"/>
      <c r="L220" s="7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25"/>
      <c r="C221" s="25"/>
      <c r="D221" s="4"/>
      <c r="E221" s="4"/>
      <c r="F221" s="4"/>
      <c r="G221" s="25"/>
      <c r="H221" s="4"/>
      <c r="I221" s="72"/>
      <c r="J221" s="73"/>
      <c r="K221" s="4"/>
      <c r="L221" s="7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25"/>
      <c r="C222" s="25"/>
      <c r="D222" s="4"/>
      <c r="E222" s="4"/>
      <c r="F222" s="4"/>
      <c r="G222" s="25"/>
      <c r="H222" s="4"/>
      <c r="I222" s="72"/>
      <c r="J222" s="73"/>
      <c r="K222" s="4"/>
      <c r="L222" s="7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25"/>
      <c r="C223" s="25"/>
      <c r="D223" s="4"/>
      <c r="E223" s="4"/>
      <c r="F223" s="4"/>
      <c r="G223" s="25"/>
      <c r="H223" s="4"/>
      <c r="I223" s="72"/>
      <c r="J223" s="73"/>
      <c r="K223" s="4"/>
      <c r="L223" s="7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25"/>
      <c r="C224" s="25"/>
      <c r="D224" s="4"/>
      <c r="E224" s="4"/>
      <c r="F224" s="4"/>
      <c r="G224" s="25"/>
      <c r="H224" s="4"/>
      <c r="I224" s="72"/>
      <c r="J224" s="73"/>
      <c r="K224" s="4"/>
      <c r="L224" s="7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25"/>
      <c r="C225" s="25"/>
      <c r="D225" s="4"/>
      <c r="E225" s="4"/>
      <c r="F225" s="4"/>
      <c r="G225" s="25"/>
      <c r="H225" s="4"/>
      <c r="I225" s="72"/>
      <c r="J225" s="73"/>
      <c r="K225" s="4"/>
      <c r="L225" s="7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25"/>
      <c r="C226" s="25"/>
      <c r="D226" s="4"/>
      <c r="E226" s="4"/>
      <c r="F226" s="4"/>
      <c r="G226" s="25"/>
      <c r="H226" s="4"/>
      <c r="I226" s="72"/>
      <c r="J226" s="73"/>
      <c r="K226" s="4"/>
      <c r="L226" s="7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25"/>
      <c r="C227" s="25"/>
      <c r="D227" s="4"/>
      <c r="E227" s="4"/>
      <c r="F227" s="4"/>
      <c r="G227" s="25"/>
      <c r="H227" s="4"/>
      <c r="I227" s="72"/>
      <c r="J227" s="73"/>
      <c r="K227" s="4"/>
      <c r="L227" s="7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25"/>
      <c r="C228" s="25"/>
      <c r="D228" s="4"/>
      <c r="E228" s="4"/>
      <c r="F228" s="4"/>
      <c r="G228" s="25"/>
      <c r="H228" s="4"/>
      <c r="I228" s="72"/>
      <c r="J228" s="73"/>
      <c r="K228" s="4"/>
      <c r="L228" s="7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25"/>
      <c r="C229" s="25"/>
      <c r="D229" s="4"/>
      <c r="E229" s="4"/>
      <c r="F229" s="4"/>
      <c r="G229" s="25"/>
      <c r="H229" s="4"/>
      <c r="I229" s="72"/>
      <c r="J229" s="73"/>
      <c r="K229" s="4"/>
      <c r="L229" s="7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25"/>
      <c r="C230" s="25"/>
      <c r="D230" s="4"/>
      <c r="E230" s="4"/>
      <c r="F230" s="4"/>
      <c r="G230" s="25"/>
      <c r="H230" s="4"/>
      <c r="I230" s="72"/>
      <c r="J230" s="73"/>
      <c r="K230" s="4"/>
      <c r="L230" s="7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25"/>
      <c r="C231" s="25"/>
      <c r="D231" s="4"/>
      <c r="E231" s="4"/>
      <c r="F231" s="4"/>
      <c r="G231" s="25"/>
      <c r="H231" s="4"/>
      <c r="I231" s="72"/>
      <c r="J231" s="73"/>
      <c r="K231" s="4"/>
      <c r="L231" s="7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25"/>
      <c r="C232" s="25"/>
      <c r="D232" s="4"/>
      <c r="E232" s="4"/>
      <c r="F232" s="4"/>
      <c r="G232" s="25"/>
      <c r="H232" s="4"/>
      <c r="I232" s="72"/>
      <c r="J232" s="73"/>
      <c r="K232" s="4"/>
      <c r="L232" s="7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25"/>
      <c r="C233" s="25"/>
      <c r="D233" s="4"/>
      <c r="E233" s="4"/>
      <c r="F233" s="4"/>
      <c r="G233" s="25"/>
      <c r="H233" s="4"/>
      <c r="I233" s="72"/>
      <c r="J233" s="73"/>
      <c r="K233" s="4"/>
      <c r="L233" s="7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25"/>
      <c r="C234" s="25"/>
      <c r="D234" s="4"/>
      <c r="E234" s="4"/>
      <c r="F234" s="4"/>
      <c r="G234" s="25"/>
      <c r="H234" s="4"/>
      <c r="I234" s="72"/>
      <c r="J234" s="73"/>
      <c r="K234" s="4"/>
      <c r="L234" s="7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25"/>
      <c r="C235" s="25"/>
      <c r="D235" s="4"/>
      <c r="E235" s="4"/>
      <c r="F235" s="4"/>
      <c r="G235" s="25"/>
      <c r="H235" s="4"/>
      <c r="I235" s="72"/>
      <c r="J235" s="73"/>
      <c r="K235" s="4"/>
      <c r="L235" s="7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25"/>
      <c r="C236" s="25"/>
      <c r="D236" s="4"/>
      <c r="E236" s="4"/>
      <c r="F236" s="4"/>
      <c r="G236" s="25"/>
      <c r="H236" s="4"/>
      <c r="I236" s="72"/>
      <c r="J236" s="73"/>
      <c r="K236" s="4"/>
      <c r="L236" s="7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25"/>
      <c r="C237" s="25"/>
      <c r="D237" s="4"/>
      <c r="E237" s="4"/>
      <c r="F237" s="4"/>
      <c r="G237" s="25"/>
      <c r="H237" s="4"/>
      <c r="I237" s="72"/>
      <c r="J237" s="73"/>
      <c r="K237" s="4"/>
      <c r="L237" s="7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25"/>
      <c r="C238" s="25"/>
      <c r="D238" s="4"/>
      <c r="E238" s="4"/>
      <c r="F238" s="4"/>
      <c r="G238" s="25"/>
      <c r="H238" s="4"/>
      <c r="I238" s="72"/>
      <c r="J238" s="73"/>
      <c r="K238" s="4"/>
      <c r="L238" s="7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25"/>
      <c r="C239" s="25"/>
      <c r="D239" s="4"/>
      <c r="E239" s="4"/>
      <c r="F239" s="4"/>
      <c r="G239" s="25"/>
      <c r="H239" s="4"/>
      <c r="I239" s="72"/>
      <c r="J239" s="73"/>
      <c r="K239" s="4"/>
      <c r="L239" s="7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25"/>
      <c r="C240" s="25"/>
      <c r="D240" s="4"/>
      <c r="E240" s="4"/>
      <c r="F240" s="4"/>
      <c r="G240" s="25"/>
      <c r="H240" s="4"/>
      <c r="I240" s="72"/>
      <c r="J240" s="73"/>
      <c r="K240" s="4"/>
      <c r="L240" s="7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25"/>
      <c r="C241" s="25"/>
      <c r="D241" s="4"/>
      <c r="E241" s="4"/>
      <c r="F241" s="4"/>
      <c r="G241" s="25"/>
      <c r="H241" s="4"/>
      <c r="I241" s="72"/>
      <c r="J241" s="73"/>
      <c r="K241" s="4"/>
      <c r="L241" s="7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25"/>
      <c r="C242" s="25"/>
      <c r="D242" s="4"/>
      <c r="E242" s="4"/>
      <c r="F242" s="4"/>
      <c r="G242" s="25"/>
      <c r="H242" s="4"/>
      <c r="I242" s="72"/>
      <c r="J242" s="73"/>
      <c r="K242" s="4"/>
      <c r="L242" s="7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25"/>
      <c r="C243" s="25"/>
      <c r="D243" s="4"/>
      <c r="E243" s="4"/>
      <c r="F243" s="4"/>
      <c r="G243" s="25"/>
      <c r="H243" s="4"/>
      <c r="I243" s="72"/>
      <c r="J243" s="73"/>
      <c r="K243" s="4"/>
      <c r="L243" s="7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25"/>
      <c r="C244" s="25"/>
      <c r="D244" s="4"/>
      <c r="E244" s="4"/>
      <c r="F244" s="4"/>
      <c r="G244" s="25"/>
      <c r="H244" s="4"/>
      <c r="I244" s="72"/>
      <c r="J244" s="73"/>
      <c r="K244" s="4"/>
      <c r="L244" s="7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25"/>
      <c r="C245" s="25"/>
      <c r="D245" s="4"/>
      <c r="E245" s="4"/>
      <c r="F245" s="4"/>
      <c r="G245" s="25"/>
      <c r="H245" s="4"/>
      <c r="I245" s="72"/>
      <c r="J245" s="73"/>
      <c r="K245" s="4"/>
      <c r="L245" s="7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25"/>
      <c r="C246" s="25"/>
      <c r="D246" s="4"/>
      <c r="E246" s="4"/>
      <c r="F246" s="4"/>
      <c r="G246" s="25"/>
      <c r="H246" s="4"/>
      <c r="I246" s="72"/>
      <c r="J246" s="73"/>
      <c r="K246" s="4"/>
      <c r="L246" s="7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25"/>
      <c r="C247" s="25"/>
      <c r="D247" s="4"/>
      <c r="E247" s="4"/>
      <c r="F247" s="4"/>
      <c r="G247" s="25"/>
      <c r="H247" s="4"/>
      <c r="I247" s="72"/>
      <c r="J247" s="73"/>
      <c r="K247" s="4"/>
      <c r="L247" s="7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25"/>
      <c r="C248" s="25"/>
      <c r="D248" s="4"/>
      <c r="E248" s="4"/>
      <c r="F248" s="4"/>
      <c r="G248" s="25"/>
      <c r="H248" s="4"/>
      <c r="I248" s="72"/>
      <c r="J248" s="73"/>
      <c r="K248" s="4"/>
      <c r="L248" s="7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25"/>
      <c r="C249" s="25"/>
      <c r="D249" s="4"/>
      <c r="E249" s="4"/>
      <c r="F249" s="4"/>
      <c r="G249" s="25"/>
      <c r="H249" s="4"/>
      <c r="I249" s="72"/>
      <c r="J249" s="73"/>
      <c r="K249" s="4"/>
      <c r="L249" s="7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25"/>
      <c r="C250" s="25"/>
      <c r="D250" s="4"/>
      <c r="E250" s="4"/>
      <c r="F250" s="4"/>
      <c r="G250" s="25"/>
      <c r="H250" s="4"/>
      <c r="I250" s="72"/>
      <c r="J250" s="73"/>
      <c r="K250" s="4"/>
      <c r="L250" s="7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25"/>
      <c r="C251" s="25"/>
      <c r="D251" s="4"/>
      <c r="E251" s="4"/>
      <c r="F251" s="4"/>
      <c r="G251" s="25"/>
      <c r="H251" s="4"/>
      <c r="I251" s="72"/>
      <c r="J251" s="73"/>
      <c r="K251" s="4"/>
      <c r="L251" s="7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25"/>
      <c r="C252" s="25"/>
      <c r="D252" s="4"/>
      <c r="E252" s="4"/>
      <c r="F252" s="4"/>
      <c r="G252" s="25"/>
      <c r="H252" s="4"/>
      <c r="I252" s="72"/>
      <c r="J252" s="73"/>
      <c r="K252" s="4"/>
      <c r="L252" s="7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25"/>
      <c r="C253" s="25"/>
      <c r="D253" s="4"/>
      <c r="E253" s="4"/>
      <c r="F253" s="4"/>
      <c r="G253" s="25"/>
      <c r="H253" s="4"/>
      <c r="I253" s="72"/>
      <c r="J253" s="73"/>
      <c r="K253" s="4"/>
      <c r="L253" s="7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25"/>
      <c r="C254" s="25"/>
      <c r="D254" s="4"/>
      <c r="E254" s="4"/>
      <c r="F254" s="4"/>
      <c r="G254" s="25"/>
      <c r="H254" s="4"/>
      <c r="I254" s="72"/>
      <c r="J254" s="73"/>
      <c r="K254" s="4"/>
      <c r="L254" s="7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25"/>
      <c r="C255" s="25"/>
      <c r="D255" s="4"/>
      <c r="E255" s="4"/>
      <c r="F255" s="4"/>
      <c r="G255" s="25"/>
      <c r="H255" s="4"/>
      <c r="I255" s="72"/>
      <c r="J255" s="73"/>
      <c r="K255" s="4"/>
      <c r="L255" s="7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25"/>
      <c r="C256" s="25"/>
      <c r="D256" s="4"/>
      <c r="E256" s="4"/>
      <c r="F256" s="4"/>
      <c r="G256" s="25"/>
      <c r="H256" s="4"/>
      <c r="I256" s="72"/>
      <c r="J256" s="73"/>
      <c r="K256" s="4"/>
      <c r="L256" s="7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25"/>
      <c r="C257" s="25"/>
      <c r="D257" s="4"/>
      <c r="E257" s="4"/>
      <c r="F257" s="4"/>
      <c r="G257" s="25"/>
      <c r="H257" s="4"/>
      <c r="I257" s="72"/>
      <c r="J257" s="73"/>
      <c r="K257" s="4"/>
      <c r="L257" s="7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25"/>
      <c r="C258" s="25"/>
      <c r="D258" s="4"/>
      <c r="E258" s="4"/>
      <c r="F258" s="4"/>
      <c r="G258" s="25"/>
      <c r="H258" s="4"/>
      <c r="I258" s="72"/>
      <c r="J258" s="73"/>
      <c r="K258" s="4"/>
      <c r="L258" s="7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25"/>
      <c r="C259" s="25"/>
      <c r="D259" s="4"/>
      <c r="E259" s="4"/>
      <c r="F259" s="4"/>
      <c r="G259" s="25"/>
      <c r="H259" s="4"/>
      <c r="I259" s="72"/>
      <c r="J259" s="73"/>
      <c r="K259" s="4"/>
      <c r="L259" s="7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25"/>
      <c r="C260" s="25"/>
      <c r="D260" s="4"/>
      <c r="E260" s="4"/>
      <c r="F260" s="4"/>
      <c r="G260" s="25"/>
      <c r="H260" s="4"/>
      <c r="I260" s="72"/>
      <c r="J260" s="73"/>
      <c r="K260" s="4"/>
      <c r="L260" s="7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25"/>
      <c r="C261" s="25"/>
      <c r="D261" s="4"/>
      <c r="E261" s="4"/>
      <c r="F261" s="4"/>
      <c r="G261" s="25"/>
      <c r="H261" s="4"/>
      <c r="I261" s="72"/>
      <c r="J261" s="73"/>
      <c r="K261" s="4"/>
      <c r="L261" s="7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25"/>
      <c r="C262" s="25"/>
      <c r="D262" s="4"/>
      <c r="E262" s="4"/>
      <c r="F262" s="4"/>
      <c r="G262" s="25"/>
      <c r="H262" s="4"/>
      <c r="I262" s="72"/>
      <c r="J262" s="73"/>
      <c r="K262" s="4"/>
      <c r="L262" s="7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25"/>
      <c r="C263" s="25"/>
      <c r="D263" s="4"/>
      <c r="E263" s="4"/>
      <c r="F263" s="4"/>
      <c r="G263" s="25"/>
      <c r="H263" s="4"/>
      <c r="I263" s="72"/>
      <c r="J263" s="73"/>
      <c r="K263" s="4"/>
      <c r="L263" s="7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25"/>
      <c r="C264" s="25"/>
      <c r="D264" s="4"/>
      <c r="E264" s="4"/>
      <c r="F264" s="4"/>
      <c r="G264" s="25"/>
      <c r="H264" s="4"/>
      <c r="I264" s="72"/>
      <c r="J264" s="73"/>
      <c r="K264" s="4"/>
      <c r="L264" s="7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25"/>
      <c r="C265" s="25"/>
      <c r="D265" s="4"/>
      <c r="E265" s="4"/>
      <c r="F265" s="4"/>
      <c r="G265" s="25"/>
      <c r="H265" s="4"/>
      <c r="I265" s="72"/>
      <c r="J265" s="73"/>
      <c r="K265" s="4"/>
      <c r="L265" s="7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25"/>
      <c r="C266" s="25"/>
      <c r="D266" s="4"/>
      <c r="E266" s="4"/>
      <c r="F266" s="4"/>
      <c r="G266" s="25"/>
      <c r="H266" s="4"/>
      <c r="I266" s="72"/>
      <c r="J266" s="73"/>
      <c r="K266" s="4"/>
      <c r="L266" s="7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25"/>
      <c r="C267" s="25"/>
      <c r="D267" s="4"/>
      <c r="E267" s="4"/>
      <c r="F267" s="4"/>
      <c r="G267" s="25"/>
      <c r="H267" s="4"/>
      <c r="I267" s="72"/>
      <c r="J267" s="73"/>
      <c r="K267" s="4"/>
      <c r="L267" s="7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25"/>
      <c r="C268" s="25"/>
      <c r="D268" s="4"/>
      <c r="E268" s="4"/>
      <c r="F268" s="4"/>
      <c r="G268" s="25"/>
      <c r="H268" s="4"/>
      <c r="I268" s="72"/>
      <c r="J268" s="73"/>
      <c r="K268" s="4"/>
      <c r="L268" s="7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25"/>
      <c r="C269" s="25"/>
      <c r="D269" s="4"/>
      <c r="E269" s="4"/>
      <c r="F269" s="4"/>
      <c r="G269" s="25"/>
      <c r="H269" s="4"/>
      <c r="I269" s="72"/>
      <c r="J269" s="73"/>
      <c r="K269" s="4"/>
      <c r="L269" s="7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25"/>
      <c r="C270" s="25"/>
      <c r="D270" s="4"/>
      <c r="E270" s="4"/>
      <c r="F270" s="4"/>
      <c r="G270" s="25"/>
      <c r="H270" s="4"/>
      <c r="I270" s="72"/>
      <c r="J270" s="73"/>
      <c r="K270" s="4"/>
      <c r="L270" s="7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25"/>
      <c r="C271" s="25"/>
      <c r="D271" s="4"/>
      <c r="E271" s="4"/>
      <c r="F271" s="4"/>
      <c r="G271" s="25"/>
      <c r="H271" s="4"/>
      <c r="I271" s="72"/>
      <c r="J271" s="73"/>
      <c r="K271" s="4"/>
      <c r="L271" s="7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25"/>
      <c r="C272" s="25"/>
      <c r="D272" s="4"/>
      <c r="E272" s="4"/>
      <c r="F272" s="4"/>
      <c r="G272" s="25"/>
      <c r="H272" s="4"/>
      <c r="I272" s="72"/>
      <c r="J272" s="73"/>
      <c r="K272" s="4"/>
      <c r="L272" s="7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25"/>
      <c r="C273" s="25"/>
      <c r="D273" s="4"/>
      <c r="E273" s="4"/>
      <c r="F273" s="4"/>
      <c r="G273" s="25"/>
      <c r="H273" s="4"/>
      <c r="I273" s="72"/>
      <c r="J273" s="73"/>
      <c r="K273" s="4"/>
      <c r="L273" s="7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25"/>
      <c r="C274" s="25"/>
      <c r="D274" s="4"/>
      <c r="E274" s="4"/>
      <c r="F274" s="4"/>
      <c r="G274" s="25"/>
      <c r="H274" s="4"/>
      <c r="I274" s="72"/>
      <c r="J274" s="73"/>
      <c r="K274" s="4"/>
      <c r="L274" s="7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25"/>
      <c r="C275" s="25"/>
      <c r="D275" s="4"/>
      <c r="E275" s="4"/>
      <c r="F275" s="4"/>
      <c r="G275" s="25"/>
      <c r="H275" s="4"/>
      <c r="I275" s="72"/>
      <c r="J275" s="73"/>
      <c r="K275" s="4"/>
      <c r="L275" s="7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25"/>
      <c r="C276" s="25"/>
      <c r="D276" s="4"/>
      <c r="E276" s="4"/>
      <c r="F276" s="4"/>
      <c r="G276" s="25"/>
      <c r="H276" s="4"/>
      <c r="I276" s="72"/>
      <c r="J276" s="73"/>
      <c r="K276" s="4"/>
      <c r="L276" s="7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25"/>
      <c r="C277" s="25"/>
      <c r="D277" s="4"/>
      <c r="E277" s="4"/>
      <c r="F277" s="4"/>
      <c r="G277" s="25"/>
      <c r="H277" s="4"/>
      <c r="I277" s="72"/>
      <c r="J277" s="73"/>
      <c r="K277" s="4"/>
      <c r="L277" s="7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25"/>
      <c r="C278" s="25"/>
      <c r="D278" s="4"/>
      <c r="E278" s="4"/>
      <c r="F278" s="4"/>
      <c r="G278" s="25"/>
      <c r="H278" s="4"/>
      <c r="I278" s="72"/>
      <c r="J278" s="73"/>
      <c r="K278" s="4"/>
      <c r="L278" s="7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25"/>
      <c r="C279" s="25"/>
      <c r="D279" s="4"/>
      <c r="E279" s="4"/>
      <c r="F279" s="4"/>
      <c r="G279" s="25"/>
      <c r="H279" s="4"/>
      <c r="I279" s="72"/>
      <c r="J279" s="73"/>
      <c r="K279" s="4"/>
      <c r="L279" s="7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25"/>
      <c r="C280" s="25"/>
      <c r="D280" s="4"/>
      <c r="E280" s="4"/>
      <c r="F280" s="4"/>
      <c r="G280" s="25"/>
      <c r="H280" s="4"/>
      <c r="I280" s="72"/>
      <c r="J280" s="73"/>
      <c r="K280" s="4"/>
      <c r="L280" s="7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25"/>
      <c r="C281" s="25"/>
      <c r="D281" s="4"/>
      <c r="E281" s="4"/>
      <c r="F281" s="4"/>
      <c r="G281" s="25"/>
      <c r="H281" s="4"/>
      <c r="I281" s="72"/>
      <c r="J281" s="73"/>
      <c r="K281" s="4"/>
      <c r="L281" s="7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25"/>
      <c r="C282" s="25"/>
      <c r="D282" s="4"/>
      <c r="E282" s="4"/>
      <c r="F282" s="4"/>
      <c r="G282" s="25"/>
      <c r="H282" s="4"/>
      <c r="I282" s="72"/>
      <c r="J282" s="73"/>
      <c r="K282" s="4"/>
      <c r="L282" s="7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25"/>
      <c r="C283" s="25"/>
      <c r="D283" s="4"/>
      <c r="E283" s="4"/>
      <c r="F283" s="4"/>
      <c r="G283" s="25"/>
      <c r="H283" s="4"/>
      <c r="I283" s="72"/>
      <c r="J283" s="73"/>
      <c r="K283" s="4"/>
      <c r="L283" s="7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25"/>
      <c r="C284" s="25"/>
      <c r="D284" s="4"/>
      <c r="E284" s="4"/>
      <c r="F284" s="4"/>
      <c r="G284" s="25"/>
      <c r="H284" s="4"/>
      <c r="I284" s="72"/>
      <c r="J284" s="73"/>
      <c r="K284" s="4"/>
      <c r="L284" s="7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25"/>
      <c r="C285" s="25"/>
      <c r="D285" s="4"/>
      <c r="E285" s="4"/>
      <c r="F285" s="4"/>
      <c r="G285" s="25"/>
      <c r="H285" s="4"/>
      <c r="I285" s="72"/>
      <c r="J285" s="73"/>
      <c r="K285" s="4"/>
      <c r="L285" s="7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25"/>
      <c r="C286" s="25"/>
      <c r="D286" s="4"/>
      <c r="E286" s="4"/>
      <c r="F286" s="4"/>
      <c r="G286" s="25"/>
      <c r="H286" s="4"/>
      <c r="I286" s="72"/>
      <c r="J286" s="73"/>
      <c r="K286" s="4"/>
      <c r="L286" s="7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25"/>
      <c r="C287" s="25"/>
      <c r="D287" s="4"/>
      <c r="E287" s="4"/>
      <c r="F287" s="4"/>
      <c r="G287" s="25"/>
      <c r="H287" s="4"/>
      <c r="I287" s="72"/>
      <c r="J287" s="73"/>
      <c r="K287" s="4"/>
      <c r="L287" s="7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25"/>
      <c r="C288" s="25"/>
      <c r="D288" s="4"/>
      <c r="E288" s="4"/>
      <c r="F288" s="4"/>
      <c r="G288" s="25"/>
      <c r="H288" s="4"/>
      <c r="I288" s="72"/>
      <c r="J288" s="73"/>
      <c r="K288" s="4"/>
      <c r="L288" s="7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25"/>
      <c r="C289" s="25"/>
      <c r="D289" s="4"/>
      <c r="E289" s="4"/>
      <c r="F289" s="4"/>
      <c r="G289" s="25"/>
      <c r="H289" s="4"/>
      <c r="I289" s="72"/>
      <c r="J289" s="73"/>
      <c r="K289" s="4"/>
      <c r="L289" s="7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25"/>
      <c r="C290" s="25"/>
      <c r="D290" s="4"/>
      <c r="E290" s="4"/>
      <c r="F290" s="4"/>
      <c r="G290" s="25"/>
      <c r="H290" s="4"/>
      <c r="I290" s="72"/>
      <c r="J290" s="73"/>
      <c r="K290" s="4"/>
      <c r="L290" s="7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25"/>
      <c r="C291" s="25"/>
      <c r="D291" s="4"/>
      <c r="E291" s="4"/>
      <c r="F291" s="4"/>
      <c r="G291" s="25"/>
      <c r="H291" s="4"/>
      <c r="I291" s="72"/>
      <c r="J291" s="73"/>
      <c r="K291" s="4"/>
      <c r="L291" s="7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25"/>
      <c r="C292" s="25"/>
      <c r="D292" s="4"/>
      <c r="E292" s="4"/>
      <c r="F292" s="4"/>
      <c r="G292" s="25"/>
      <c r="H292" s="4"/>
      <c r="I292" s="72"/>
      <c r="J292" s="73"/>
      <c r="K292" s="4"/>
      <c r="L292" s="7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25"/>
      <c r="C293" s="25"/>
      <c r="D293" s="4"/>
      <c r="E293" s="4"/>
      <c r="F293" s="4"/>
      <c r="G293" s="25"/>
      <c r="H293" s="4"/>
      <c r="I293" s="72"/>
      <c r="J293" s="73"/>
      <c r="K293" s="4"/>
      <c r="L293" s="7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25"/>
      <c r="C294" s="25"/>
      <c r="D294" s="4"/>
      <c r="E294" s="4"/>
      <c r="F294" s="4"/>
      <c r="G294" s="25"/>
      <c r="H294" s="4"/>
      <c r="I294" s="72"/>
      <c r="J294" s="73"/>
      <c r="K294" s="4"/>
      <c r="L294" s="7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25"/>
      <c r="C295" s="25"/>
      <c r="D295" s="4"/>
      <c r="E295" s="4"/>
      <c r="F295" s="4"/>
      <c r="G295" s="25"/>
      <c r="H295" s="4"/>
      <c r="I295" s="72"/>
      <c r="J295" s="73"/>
      <c r="K295" s="4"/>
      <c r="L295" s="7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25"/>
      <c r="C296" s="25"/>
      <c r="D296" s="4"/>
      <c r="E296" s="4"/>
      <c r="F296" s="4"/>
      <c r="G296" s="25"/>
      <c r="H296" s="4"/>
      <c r="I296" s="72"/>
      <c r="J296" s="73"/>
      <c r="K296" s="4"/>
      <c r="L296" s="7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25"/>
      <c r="C297" s="25"/>
      <c r="D297" s="4"/>
      <c r="E297" s="4"/>
      <c r="F297" s="4"/>
      <c r="G297" s="25"/>
      <c r="H297" s="4"/>
      <c r="I297" s="72"/>
      <c r="J297" s="73"/>
      <c r="K297" s="4"/>
      <c r="L297" s="7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25"/>
      <c r="C298" s="25"/>
      <c r="D298" s="4"/>
      <c r="E298" s="4"/>
      <c r="F298" s="4"/>
      <c r="G298" s="25"/>
      <c r="H298" s="4"/>
      <c r="I298" s="72"/>
      <c r="J298" s="73"/>
      <c r="K298" s="4"/>
      <c r="L298" s="7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25"/>
      <c r="C299" s="25"/>
      <c r="D299" s="4"/>
      <c r="E299" s="4"/>
      <c r="F299" s="4"/>
      <c r="G299" s="25"/>
      <c r="H299" s="4"/>
      <c r="I299" s="72"/>
      <c r="J299" s="73"/>
      <c r="K299" s="4"/>
      <c r="L299" s="7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25"/>
      <c r="C300" s="25"/>
      <c r="D300" s="4"/>
      <c r="E300" s="4"/>
      <c r="F300" s="4"/>
      <c r="G300" s="25"/>
      <c r="H300" s="4"/>
      <c r="I300" s="72"/>
      <c r="J300" s="73"/>
      <c r="K300" s="4"/>
      <c r="L300" s="7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25"/>
      <c r="C301" s="25"/>
      <c r="D301" s="4"/>
      <c r="E301" s="4"/>
      <c r="F301" s="4"/>
      <c r="G301" s="25"/>
      <c r="H301" s="4"/>
      <c r="I301" s="72"/>
      <c r="J301" s="73"/>
      <c r="K301" s="4"/>
      <c r="L301" s="7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25"/>
      <c r="C302" s="25"/>
      <c r="D302" s="4"/>
      <c r="E302" s="4"/>
      <c r="F302" s="4"/>
      <c r="G302" s="25"/>
      <c r="H302" s="4"/>
      <c r="I302" s="72"/>
      <c r="J302" s="73"/>
      <c r="K302" s="4"/>
      <c r="L302" s="7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25"/>
      <c r="C303" s="25"/>
      <c r="D303" s="4"/>
      <c r="E303" s="4"/>
      <c r="F303" s="4"/>
      <c r="G303" s="25"/>
      <c r="H303" s="4"/>
      <c r="I303" s="72"/>
      <c r="J303" s="73"/>
      <c r="K303" s="4"/>
      <c r="L303" s="7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25"/>
      <c r="C304" s="25"/>
      <c r="D304" s="4"/>
      <c r="E304" s="4"/>
      <c r="F304" s="4"/>
      <c r="G304" s="25"/>
      <c r="H304" s="4"/>
      <c r="I304" s="72"/>
      <c r="J304" s="73"/>
      <c r="K304" s="4"/>
      <c r="L304" s="7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25"/>
      <c r="C305" s="25"/>
      <c r="D305" s="4"/>
      <c r="E305" s="4"/>
      <c r="F305" s="4"/>
      <c r="G305" s="25"/>
      <c r="H305" s="4"/>
      <c r="I305" s="72"/>
      <c r="J305" s="73"/>
      <c r="K305" s="4"/>
      <c r="L305" s="7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25"/>
      <c r="C306" s="25"/>
      <c r="D306" s="4"/>
      <c r="E306" s="4"/>
      <c r="F306" s="4"/>
      <c r="G306" s="25"/>
      <c r="H306" s="4"/>
      <c r="I306" s="72"/>
      <c r="J306" s="73"/>
      <c r="K306" s="4"/>
      <c r="L306" s="7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25"/>
      <c r="C307" s="25"/>
      <c r="D307" s="4"/>
      <c r="E307" s="4"/>
      <c r="F307" s="4"/>
      <c r="G307" s="25"/>
      <c r="H307" s="4"/>
      <c r="I307" s="72"/>
      <c r="J307" s="73"/>
      <c r="K307" s="4"/>
      <c r="L307" s="7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25"/>
      <c r="C308" s="25"/>
      <c r="D308" s="4"/>
      <c r="E308" s="4"/>
      <c r="F308" s="4"/>
      <c r="G308" s="25"/>
      <c r="H308" s="4"/>
      <c r="I308" s="72"/>
      <c r="J308" s="73"/>
      <c r="K308" s="4"/>
      <c r="L308" s="7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25"/>
      <c r="C309" s="25"/>
      <c r="D309" s="4"/>
      <c r="E309" s="4"/>
      <c r="F309" s="4"/>
      <c r="G309" s="25"/>
      <c r="H309" s="4"/>
      <c r="I309" s="72"/>
      <c r="J309" s="73"/>
      <c r="K309" s="4"/>
      <c r="L309" s="7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25"/>
      <c r="C310" s="25"/>
      <c r="D310" s="4"/>
      <c r="E310" s="4"/>
      <c r="F310" s="4"/>
      <c r="G310" s="25"/>
      <c r="H310" s="4"/>
      <c r="I310" s="72"/>
      <c r="J310" s="73"/>
      <c r="K310" s="4"/>
      <c r="L310" s="7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25"/>
      <c r="C311" s="25"/>
      <c r="D311" s="4"/>
      <c r="E311" s="4"/>
      <c r="F311" s="4"/>
      <c r="G311" s="25"/>
      <c r="H311" s="4"/>
      <c r="I311" s="72"/>
      <c r="J311" s="73"/>
      <c r="K311" s="4"/>
      <c r="L311" s="7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25"/>
      <c r="C312" s="25"/>
      <c r="D312" s="4"/>
      <c r="E312" s="4"/>
      <c r="F312" s="4"/>
      <c r="G312" s="25"/>
      <c r="H312" s="4"/>
      <c r="I312" s="72"/>
      <c r="J312" s="73"/>
      <c r="K312" s="4"/>
      <c r="L312" s="7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25"/>
      <c r="C313" s="25"/>
      <c r="D313" s="4"/>
      <c r="E313" s="4"/>
      <c r="F313" s="4"/>
      <c r="G313" s="25"/>
      <c r="H313" s="4"/>
      <c r="I313" s="72"/>
      <c r="J313" s="73"/>
      <c r="K313" s="4"/>
      <c r="L313" s="7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25"/>
      <c r="C314" s="25"/>
      <c r="D314" s="4"/>
      <c r="E314" s="4"/>
      <c r="F314" s="4"/>
      <c r="G314" s="25"/>
      <c r="H314" s="4"/>
      <c r="I314" s="72"/>
      <c r="J314" s="73"/>
      <c r="K314" s="4"/>
      <c r="L314" s="7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25"/>
      <c r="C315" s="25"/>
      <c r="D315" s="4"/>
      <c r="E315" s="4"/>
      <c r="F315" s="4"/>
      <c r="G315" s="25"/>
      <c r="H315" s="4"/>
      <c r="I315" s="72"/>
      <c r="J315" s="73"/>
      <c r="K315" s="4"/>
      <c r="L315" s="7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25"/>
      <c r="C316" s="25"/>
      <c r="D316" s="4"/>
      <c r="E316" s="4"/>
      <c r="F316" s="4"/>
      <c r="G316" s="25"/>
      <c r="H316" s="4"/>
      <c r="I316" s="72"/>
      <c r="J316" s="73"/>
      <c r="K316" s="4"/>
      <c r="L316" s="7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25"/>
      <c r="C317" s="25"/>
      <c r="D317" s="4"/>
      <c r="E317" s="4"/>
      <c r="F317" s="4"/>
      <c r="G317" s="25"/>
      <c r="H317" s="4"/>
      <c r="I317" s="72"/>
      <c r="J317" s="73"/>
      <c r="K317" s="4"/>
      <c r="L317" s="7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25"/>
      <c r="C318" s="25"/>
      <c r="D318" s="4"/>
      <c r="E318" s="4"/>
      <c r="F318" s="4"/>
      <c r="G318" s="25"/>
      <c r="H318" s="4"/>
      <c r="I318" s="72"/>
      <c r="J318" s="73"/>
      <c r="K318" s="4"/>
      <c r="L318" s="7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25"/>
      <c r="C319" s="25"/>
      <c r="D319" s="4"/>
      <c r="E319" s="4"/>
      <c r="F319" s="4"/>
      <c r="G319" s="25"/>
      <c r="H319" s="4"/>
      <c r="I319" s="72"/>
      <c r="J319" s="73"/>
      <c r="K319" s="4"/>
      <c r="L319" s="7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25"/>
      <c r="C320" s="25"/>
      <c r="D320" s="4"/>
      <c r="E320" s="4"/>
      <c r="F320" s="4"/>
      <c r="G320" s="25"/>
      <c r="H320" s="4"/>
      <c r="I320" s="72"/>
      <c r="J320" s="73"/>
      <c r="K320" s="4"/>
      <c r="L320" s="7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25"/>
      <c r="C321" s="25"/>
      <c r="D321" s="4"/>
      <c r="E321" s="4"/>
      <c r="F321" s="4"/>
      <c r="G321" s="25"/>
      <c r="H321" s="4"/>
      <c r="I321" s="72"/>
      <c r="J321" s="73"/>
      <c r="K321" s="4"/>
      <c r="L321" s="7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25"/>
      <c r="C322" s="25"/>
      <c r="D322" s="4"/>
      <c r="E322" s="4"/>
      <c r="F322" s="4"/>
      <c r="G322" s="25"/>
      <c r="H322" s="4"/>
      <c r="I322" s="72"/>
      <c r="J322" s="73"/>
      <c r="K322" s="4"/>
      <c r="L322" s="7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25"/>
      <c r="C323" s="25"/>
      <c r="D323" s="4"/>
      <c r="E323" s="4"/>
      <c r="F323" s="4"/>
      <c r="G323" s="25"/>
      <c r="H323" s="4"/>
      <c r="I323" s="72"/>
      <c r="J323" s="73"/>
      <c r="K323" s="4"/>
      <c r="L323" s="7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25"/>
      <c r="C324" s="25"/>
      <c r="D324" s="4"/>
      <c r="E324" s="4"/>
      <c r="F324" s="4"/>
      <c r="G324" s="25"/>
      <c r="H324" s="4"/>
      <c r="I324" s="72"/>
      <c r="J324" s="73"/>
      <c r="K324" s="4"/>
      <c r="L324" s="7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25"/>
      <c r="C325" s="25"/>
      <c r="D325" s="4"/>
      <c r="E325" s="4"/>
      <c r="F325" s="4"/>
      <c r="G325" s="25"/>
      <c r="H325" s="4"/>
      <c r="I325" s="72"/>
      <c r="J325" s="73"/>
      <c r="K325" s="4"/>
      <c r="L325" s="7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25"/>
      <c r="C326" s="25"/>
      <c r="D326" s="4"/>
      <c r="E326" s="4"/>
      <c r="F326" s="4"/>
      <c r="G326" s="25"/>
      <c r="H326" s="4"/>
      <c r="I326" s="72"/>
      <c r="J326" s="73"/>
      <c r="K326" s="4"/>
      <c r="L326" s="7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25"/>
      <c r="C327" s="25"/>
      <c r="D327" s="4"/>
      <c r="E327" s="4"/>
      <c r="F327" s="4"/>
      <c r="G327" s="25"/>
      <c r="H327" s="4"/>
      <c r="I327" s="72"/>
      <c r="J327" s="73"/>
      <c r="K327" s="4"/>
      <c r="L327" s="7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25"/>
      <c r="C328" s="25"/>
      <c r="D328" s="4"/>
      <c r="E328" s="4"/>
      <c r="F328" s="4"/>
      <c r="G328" s="25"/>
      <c r="H328" s="4"/>
      <c r="I328" s="72"/>
      <c r="J328" s="73"/>
      <c r="K328" s="4"/>
      <c r="L328" s="7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25"/>
      <c r="C329" s="25"/>
      <c r="D329" s="4"/>
      <c r="E329" s="4"/>
      <c r="F329" s="4"/>
      <c r="G329" s="25"/>
      <c r="H329" s="4"/>
      <c r="I329" s="72"/>
      <c r="J329" s="73"/>
      <c r="K329" s="4"/>
      <c r="L329" s="7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25"/>
      <c r="C330" s="25"/>
      <c r="D330" s="4"/>
      <c r="E330" s="4"/>
      <c r="F330" s="4"/>
      <c r="G330" s="25"/>
      <c r="H330" s="4"/>
      <c r="I330" s="72"/>
      <c r="J330" s="73"/>
      <c r="K330" s="4"/>
      <c r="L330" s="7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25"/>
      <c r="C331" s="25"/>
      <c r="D331" s="4"/>
      <c r="E331" s="4"/>
      <c r="F331" s="4"/>
      <c r="G331" s="25"/>
      <c r="H331" s="4"/>
      <c r="I331" s="72"/>
      <c r="J331" s="73"/>
      <c r="K331" s="4"/>
      <c r="L331" s="7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25"/>
      <c r="C332" s="25"/>
      <c r="D332" s="4"/>
      <c r="E332" s="4"/>
      <c r="F332" s="4"/>
      <c r="G332" s="25"/>
      <c r="H332" s="4"/>
      <c r="I332" s="72"/>
      <c r="J332" s="73"/>
      <c r="K332" s="4"/>
      <c r="L332" s="7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25"/>
      <c r="C333" s="25"/>
      <c r="D333" s="4"/>
      <c r="E333" s="4"/>
      <c r="F333" s="4"/>
      <c r="G333" s="25"/>
      <c r="H333" s="4"/>
      <c r="I333" s="72"/>
      <c r="J333" s="73"/>
      <c r="K333" s="4"/>
      <c r="L333" s="7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25"/>
      <c r="C334" s="25"/>
      <c r="D334" s="4"/>
      <c r="E334" s="4"/>
      <c r="F334" s="4"/>
      <c r="G334" s="25"/>
      <c r="H334" s="4"/>
      <c r="I334" s="72"/>
      <c r="J334" s="73"/>
      <c r="K334" s="4"/>
      <c r="L334" s="7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25"/>
      <c r="C335" s="25"/>
      <c r="D335" s="4"/>
      <c r="E335" s="4"/>
      <c r="F335" s="4"/>
      <c r="G335" s="25"/>
      <c r="H335" s="4"/>
      <c r="I335" s="72"/>
      <c r="J335" s="73"/>
      <c r="K335" s="4"/>
      <c r="L335" s="7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25"/>
      <c r="C336" s="25"/>
      <c r="D336" s="4"/>
      <c r="E336" s="4"/>
      <c r="F336" s="4"/>
      <c r="G336" s="25"/>
      <c r="H336" s="4"/>
      <c r="I336" s="72"/>
      <c r="J336" s="73"/>
      <c r="K336" s="4"/>
      <c r="L336" s="7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25"/>
      <c r="C337" s="25"/>
      <c r="D337" s="4"/>
      <c r="E337" s="4"/>
      <c r="F337" s="4"/>
      <c r="G337" s="25"/>
      <c r="H337" s="4"/>
      <c r="I337" s="72"/>
      <c r="J337" s="73"/>
      <c r="K337" s="4"/>
      <c r="L337" s="7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25"/>
      <c r="C338" s="25"/>
      <c r="D338" s="4"/>
      <c r="E338" s="4"/>
      <c r="F338" s="4"/>
      <c r="G338" s="25"/>
      <c r="H338" s="4"/>
      <c r="I338" s="72"/>
      <c r="J338" s="73"/>
      <c r="K338" s="4"/>
      <c r="L338" s="7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25"/>
      <c r="C339" s="25"/>
      <c r="D339" s="4"/>
      <c r="E339" s="4"/>
      <c r="F339" s="4"/>
      <c r="G339" s="25"/>
      <c r="H339" s="4"/>
      <c r="I339" s="72"/>
      <c r="J339" s="73"/>
      <c r="K339" s="4"/>
      <c r="L339" s="7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25"/>
      <c r="C340" s="25"/>
      <c r="D340" s="4"/>
      <c r="E340" s="4"/>
      <c r="F340" s="4"/>
      <c r="G340" s="25"/>
      <c r="H340" s="4"/>
      <c r="I340" s="72"/>
      <c r="J340" s="73"/>
      <c r="K340" s="4"/>
      <c r="L340" s="7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25"/>
      <c r="C341" s="25"/>
      <c r="D341" s="4"/>
      <c r="E341" s="4"/>
      <c r="F341" s="4"/>
      <c r="G341" s="25"/>
      <c r="H341" s="4"/>
      <c r="I341" s="72"/>
      <c r="J341" s="73"/>
      <c r="K341" s="4"/>
      <c r="L341" s="7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25"/>
      <c r="C342" s="25"/>
      <c r="D342" s="4"/>
      <c r="E342" s="4"/>
      <c r="F342" s="4"/>
      <c r="G342" s="25"/>
      <c r="H342" s="4"/>
      <c r="I342" s="72"/>
      <c r="J342" s="73"/>
      <c r="K342" s="4"/>
      <c r="L342" s="7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25"/>
      <c r="C343" s="25"/>
      <c r="D343" s="4"/>
      <c r="E343" s="4"/>
      <c r="F343" s="4"/>
      <c r="G343" s="25"/>
      <c r="H343" s="4"/>
      <c r="I343" s="72"/>
      <c r="J343" s="73"/>
      <c r="K343" s="4"/>
      <c r="L343" s="7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25"/>
      <c r="C344" s="25"/>
      <c r="D344" s="4"/>
      <c r="E344" s="4"/>
      <c r="F344" s="4"/>
      <c r="G344" s="25"/>
      <c r="H344" s="4"/>
      <c r="I344" s="72"/>
      <c r="J344" s="73"/>
      <c r="K344" s="4"/>
      <c r="L344" s="7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25"/>
      <c r="C345" s="25"/>
      <c r="D345" s="4"/>
      <c r="E345" s="4"/>
      <c r="F345" s="4"/>
      <c r="G345" s="25"/>
      <c r="H345" s="4"/>
      <c r="I345" s="72"/>
      <c r="J345" s="73"/>
      <c r="K345" s="4"/>
      <c r="L345" s="7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25"/>
      <c r="C346" s="25"/>
      <c r="D346" s="4"/>
      <c r="E346" s="4"/>
      <c r="F346" s="4"/>
      <c r="G346" s="25"/>
      <c r="H346" s="4"/>
      <c r="I346" s="72"/>
      <c r="J346" s="73"/>
      <c r="K346" s="4"/>
      <c r="L346" s="7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25"/>
      <c r="C347" s="25"/>
      <c r="D347" s="4"/>
      <c r="E347" s="4"/>
      <c r="F347" s="4"/>
      <c r="G347" s="25"/>
      <c r="H347" s="4"/>
      <c r="I347" s="72"/>
      <c r="J347" s="73"/>
      <c r="K347" s="4"/>
      <c r="L347" s="7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25"/>
      <c r="C348" s="25"/>
      <c r="D348" s="4"/>
      <c r="E348" s="4"/>
      <c r="F348" s="4"/>
      <c r="G348" s="25"/>
      <c r="H348" s="4"/>
      <c r="I348" s="72"/>
      <c r="J348" s="73"/>
      <c r="K348" s="4"/>
      <c r="L348" s="7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25"/>
      <c r="C349" s="25"/>
      <c r="D349" s="4"/>
      <c r="E349" s="4"/>
      <c r="F349" s="4"/>
      <c r="G349" s="25"/>
      <c r="H349" s="4"/>
      <c r="I349" s="72"/>
      <c r="J349" s="73"/>
      <c r="K349" s="4"/>
      <c r="L349" s="7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25"/>
      <c r="C350" s="25"/>
      <c r="D350" s="4"/>
      <c r="E350" s="4"/>
      <c r="F350" s="4"/>
      <c r="G350" s="25"/>
      <c r="H350" s="4"/>
      <c r="I350" s="72"/>
      <c r="J350" s="73"/>
      <c r="K350" s="4"/>
      <c r="L350" s="7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25"/>
      <c r="C351" s="25"/>
      <c r="D351" s="4"/>
      <c r="E351" s="4"/>
      <c r="F351" s="4"/>
      <c r="G351" s="25"/>
      <c r="H351" s="4"/>
      <c r="I351" s="72"/>
      <c r="J351" s="73"/>
      <c r="K351" s="4"/>
      <c r="L351" s="7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25"/>
      <c r="C352" s="25"/>
      <c r="D352" s="4"/>
      <c r="E352" s="4"/>
      <c r="F352" s="4"/>
      <c r="G352" s="25"/>
      <c r="H352" s="4"/>
      <c r="I352" s="72"/>
      <c r="J352" s="73"/>
      <c r="K352" s="4"/>
      <c r="L352" s="7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25"/>
      <c r="C353" s="25"/>
      <c r="D353" s="4"/>
      <c r="E353" s="4"/>
      <c r="F353" s="4"/>
      <c r="G353" s="25"/>
      <c r="H353" s="4"/>
      <c r="I353" s="72"/>
      <c r="J353" s="73"/>
      <c r="K353" s="4"/>
      <c r="L353" s="7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25"/>
      <c r="C354" s="25"/>
      <c r="D354" s="4"/>
      <c r="E354" s="4"/>
      <c r="F354" s="4"/>
      <c r="G354" s="25"/>
      <c r="H354" s="4"/>
      <c r="I354" s="72"/>
      <c r="J354" s="73"/>
      <c r="K354" s="4"/>
      <c r="L354" s="7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25"/>
      <c r="C355" s="25"/>
      <c r="D355" s="4"/>
      <c r="E355" s="4"/>
      <c r="F355" s="4"/>
      <c r="G355" s="25"/>
      <c r="H355" s="4"/>
      <c r="I355" s="72"/>
      <c r="J355" s="73"/>
      <c r="K355" s="4"/>
      <c r="L355" s="7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25"/>
      <c r="C356" s="25"/>
      <c r="D356" s="4"/>
      <c r="E356" s="4"/>
      <c r="F356" s="4"/>
      <c r="G356" s="25"/>
      <c r="H356" s="4"/>
      <c r="I356" s="72"/>
      <c r="J356" s="73"/>
      <c r="K356" s="4"/>
      <c r="L356" s="7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25"/>
      <c r="C357" s="25"/>
      <c r="D357" s="4"/>
      <c r="E357" s="4"/>
      <c r="F357" s="4"/>
      <c r="G357" s="25"/>
      <c r="H357" s="4"/>
      <c r="I357" s="72"/>
      <c r="J357" s="73"/>
      <c r="K357" s="4"/>
      <c r="L357" s="7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25"/>
      <c r="C358" s="25"/>
      <c r="D358" s="4"/>
      <c r="E358" s="4"/>
      <c r="F358" s="4"/>
      <c r="G358" s="25"/>
      <c r="H358" s="4"/>
      <c r="I358" s="72"/>
      <c r="J358" s="73"/>
      <c r="K358" s="4"/>
      <c r="L358" s="7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25"/>
      <c r="C359" s="25"/>
      <c r="D359" s="4"/>
      <c r="E359" s="4"/>
      <c r="F359" s="4"/>
      <c r="G359" s="25"/>
      <c r="H359" s="4"/>
      <c r="I359" s="72"/>
      <c r="J359" s="73"/>
      <c r="K359" s="4"/>
      <c r="L359" s="7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25"/>
      <c r="C360" s="25"/>
      <c r="D360" s="4"/>
      <c r="E360" s="4"/>
      <c r="F360" s="4"/>
      <c r="G360" s="25"/>
      <c r="H360" s="4"/>
      <c r="I360" s="72"/>
      <c r="J360" s="73"/>
      <c r="K360" s="4"/>
      <c r="L360" s="7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25"/>
      <c r="C361" s="25"/>
      <c r="D361" s="4"/>
      <c r="E361" s="4"/>
      <c r="F361" s="4"/>
      <c r="G361" s="25"/>
      <c r="H361" s="4"/>
      <c r="I361" s="72"/>
      <c r="J361" s="73"/>
      <c r="K361" s="4"/>
      <c r="L361" s="7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25"/>
      <c r="C362" s="25"/>
      <c r="D362" s="4"/>
      <c r="E362" s="4"/>
      <c r="F362" s="4"/>
      <c r="G362" s="25"/>
      <c r="H362" s="4"/>
      <c r="I362" s="72"/>
      <c r="J362" s="73"/>
      <c r="K362" s="4"/>
      <c r="L362" s="7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25"/>
      <c r="C363" s="25"/>
      <c r="D363" s="4"/>
      <c r="E363" s="4"/>
      <c r="F363" s="4"/>
      <c r="G363" s="25"/>
      <c r="H363" s="4"/>
      <c r="I363" s="72"/>
      <c r="J363" s="73"/>
      <c r="K363" s="4"/>
      <c r="L363" s="7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25"/>
      <c r="C364" s="25"/>
      <c r="D364" s="4"/>
      <c r="E364" s="4"/>
      <c r="F364" s="4"/>
      <c r="G364" s="25"/>
      <c r="H364" s="4"/>
      <c r="I364" s="72"/>
      <c r="J364" s="73"/>
      <c r="K364" s="4"/>
      <c r="L364" s="7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25"/>
      <c r="C365" s="25"/>
      <c r="D365" s="4"/>
      <c r="E365" s="4"/>
      <c r="F365" s="4"/>
      <c r="G365" s="25"/>
      <c r="H365" s="4"/>
      <c r="I365" s="72"/>
      <c r="J365" s="73"/>
      <c r="K365" s="4"/>
      <c r="L365" s="7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25"/>
      <c r="C366" s="25"/>
      <c r="D366" s="4"/>
      <c r="E366" s="4"/>
      <c r="F366" s="4"/>
      <c r="G366" s="25"/>
      <c r="H366" s="4"/>
      <c r="I366" s="72"/>
      <c r="J366" s="73"/>
      <c r="K366" s="4"/>
      <c r="L366" s="7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25"/>
      <c r="C367" s="25"/>
      <c r="D367" s="4"/>
      <c r="E367" s="4"/>
      <c r="F367" s="4"/>
      <c r="G367" s="25"/>
      <c r="H367" s="4"/>
      <c r="I367" s="72"/>
      <c r="J367" s="73"/>
      <c r="K367" s="4"/>
      <c r="L367" s="7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25"/>
      <c r="C368" s="25"/>
      <c r="D368" s="4"/>
      <c r="E368" s="4"/>
      <c r="F368" s="4"/>
      <c r="G368" s="25"/>
      <c r="H368" s="4"/>
      <c r="I368" s="72"/>
      <c r="J368" s="73"/>
      <c r="K368" s="4"/>
      <c r="L368" s="7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25"/>
      <c r="C369" s="25"/>
      <c r="D369" s="4"/>
      <c r="E369" s="4"/>
      <c r="F369" s="4"/>
      <c r="G369" s="25"/>
      <c r="H369" s="4"/>
      <c r="I369" s="72"/>
      <c r="J369" s="73"/>
      <c r="K369" s="4"/>
      <c r="L369" s="7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25"/>
      <c r="C370" s="25"/>
      <c r="D370" s="4"/>
      <c r="E370" s="4"/>
      <c r="F370" s="4"/>
      <c r="G370" s="25"/>
      <c r="H370" s="4"/>
      <c r="I370" s="72"/>
      <c r="J370" s="73"/>
      <c r="K370" s="4"/>
      <c r="L370" s="7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25"/>
      <c r="C371" s="25"/>
      <c r="D371" s="4"/>
      <c r="E371" s="4"/>
      <c r="F371" s="4"/>
      <c r="G371" s="25"/>
      <c r="H371" s="4"/>
      <c r="I371" s="72"/>
      <c r="J371" s="73"/>
      <c r="K371" s="4"/>
      <c r="L371" s="7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25"/>
      <c r="C372" s="25"/>
      <c r="D372" s="4"/>
      <c r="E372" s="4"/>
      <c r="F372" s="4"/>
      <c r="G372" s="25"/>
      <c r="H372" s="4"/>
      <c r="I372" s="72"/>
      <c r="J372" s="73"/>
      <c r="K372" s="4"/>
      <c r="L372" s="7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25"/>
      <c r="C373" s="25"/>
      <c r="D373" s="4"/>
      <c r="E373" s="4"/>
      <c r="F373" s="4"/>
      <c r="G373" s="25"/>
      <c r="H373" s="4"/>
      <c r="I373" s="72"/>
      <c r="J373" s="73"/>
      <c r="K373" s="4"/>
      <c r="L373" s="7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25"/>
      <c r="C374" s="25"/>
      <c r="D374" s="4"/>
      <c r="E374" s="4"/>
      <c r="F374" s="4"/>
      <c r="G374" s="25"/>
      <c r="H374" s="4"/>
      <c r="I374" s="72"/>
      <c r="J374" s="73"/>
      <c r="K374" s="4"/>
      <c r="L374" s="7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25"/>
      <c r="C375" s="25"/>
      <c r="D375" s="4"/>
      <c r="E375" s="4"/>
      <c r="F375" s="4"/>
      <c r="G375" s="25"/>
      <c r="H375" s="4"/>
      <c r="I375" s="72"/>
      <c r="J375" s="73"/>
      <c r="K375" s="4"/>
      <c r="L375" s="7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25"/>
      <c r="C376" s="25"/>
      <c r="D376" s="4"/>
      <c r="E376" s="4"/>
      <c r="F376" s="4"/>
      <c r="G376" s="25"/>
      <c r="H376" s="4"/>
      <c r="I376" s="72"/>
      <c r="J376" s="73"/>
      <c r="K376" s="4"/>
      <c r="L376" s="7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25"/>
      <c r="C377" s="25"/>
      <c r="D377" s="4"/>
      <c r="E377" s="4"/>
      <c r="F377" s="4"/>
      <c r="G377" s="25"/>
      <c r="H377" s="4"/>
      <c r="I377" s="72"/>
      <c r="J377" s="73"/>
      <c r="K377" s="4"/>
      <c r="L377" s="7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25"/>
      <c r="C378" s="25"/>
      <c r="D378" s="4"/>
      <c r="E378" s="4"/>
      <c r="F378" s="4"/>
      <c r="G378" s="25"/>
      <c r="H378" s="4"/>
      <c r="I378" s="72"/>
      <c r="J378" s="73"/>
      <c r="K378" s="4"/>
      <c r="L378" s="7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25"/>
      <c r="C379" s="25"/>
      <c r="D379" s="4"/>
      <c r="E379" s="4"/>
      <c r="F379" s="4"/>
      <c r="G379" s="25"/>
      <c r="H379" s="4"/>
      <c r="I379" s="72"/>
      <c r="J379" s="73"/>
      <c r="K379" s="4"/>
      <c r="L379" s="7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25"/>
      <c r="C380" s="25"/>
      <c r="D380" s="4"/>
      <c r="E380" s="4"/>
      <c r="F380" s="4"/>
      <c r="G380" s="25"/>
      <c r="H380" s="4"/>
      <c r="I380" s="72"/>
      <c r="J380" s="73"/>
      <c r="K380" s="4"/>
      <c r="L380" s="7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25"/>
      <c r="C381" s="25"/>
      <c r="D381" s="4"/>
      <c r="E381" s="4"/>
      <c r="F381" s="4"/>
      <c r="G381" s="25"/>
      <c r="H381" s="4"/>
      <c r="I381" s="72"/>
      <c r="J381" s="73"/>
      <c r="K381" s="4"/>
      <c r="L381" s="7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25"/>
      <c r="C382" s="25"/>
      <c r="D382" s="4"/>
      <c r="E382" s="4"/>
      <c r="F382" s="4"/>
      <c r="G382" s="25"/>
      <c r="H382" s="4"/>
      <c r="I382" s="72"/>
      <c r="J382" s="73"/>
      <c r="K382" s="4"/>
      <c r="L382" s="7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25"/>
      <c r="C383" s="25"/>
      <c r="D383" s="4"/>
      <c r="E383" s="4"/>
      <c r="F383" s="4"/>
      <c r="G383" s="25"/>
      <c r="H383" s="4"/>
      <c r="I383" s="72"/>
      <c r="J383" s="73"/>
      <c r="K383" s="4"/>
      <c r="L383" s="7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25"/>
      <c r="C384" s="25"/>
      <c r="D384" s="4"/>
      <c r="E384" s="4"/>
      <c r="F384" s="4"/>
      <c r="G384" s="25"/>
      <c r="H384" s="4"/>
      <c r="I384" s="72"/>
      <c r="J384" s="73"/>
      <c r="K384" s="4"/>
      <c r="L384" s="7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25"/>
      <c r="C385" s="25"/>
      <c r="D385" s="4"/>
      <c r="E385" s="4"/>
      <c r="F385" s="4"/>
      <c r="G385" s="25"/>
      <c r="H385" s="4"/>
      <c r="I385" s="72"/>
      <c r="J385" s="73"/>
      <c r="K385" s="4"/>
      <c r="L385" s="7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25"/>
      <c r="C386" s="25"/>
      <c r="D386" s="4"/>
      <c r="E386" s="4"/>
      <c r="F386" s="4"/>
      <c r="G386" s="25"/>
      <c r="H386" s="4"/>
      <c r="I386" s="72"/>
      <c r="J386" s="73"/>
      <c r="K386" s="4"/>
      <c r="L386" s="7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25"/>
      <c r="C387" s="25"/>
      <c r="D387" s="4"/>
      <c r="E387" s="4"/>
      <c r="F387" s="4"/>
      <c r="G387" s="25"/>
      <c r="H387" s="4"/>
      <c r="I387" s="72"/>
      <c r="J387" s="73"/>
      <c r="K387" s="4"/>
      <c r="L387" s="7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25"/>
      <c r="C388" s="25"/>
      <c r="D388" s="4"/>
      <c r="E388" s="4"/>
      <c r="F388" s="4"/>
      <c r="G388" s="25"/>
      <c r="H388" s="4"/>
      <c r="I388" s="72"/>
      <c r="J388" s="73"/>
      <c r="K388" s="4"/>
      <c r="L388" s="7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25"/>
      <c r="C389" s="25"/>
      <c r="D389" s="4"/>
      <c r="E389" s="4"/>
      <c r="F389" s="4"/>
      <c r="G389" s="25"/>
      <c r="H389" s="4"/>
      <c r="I389" s="72"/>
      <c r="J389" s="73"/>
      <c r="K389" s="4"/>
      <c r="L389" s="7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25"/>
      <c r="C390" s="25"/>
      <c r="D390" s="4"/>
      <c r="E390" s="4"/>
      <c r="F390" s="4"/>
      <c r="G390" s="25"/>
      <c r="H390" s="4"/>
      <c r="I390" s="72"/>
      <c r="J390" s="73"/>
      <c r="K390" s="4"/>
      <c r="L390" s="7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25"/>
      <c r="C391" s="25"/>
      <c r="D391" s="4"/>
      <c r="E391" s="4"/>
      <c r="F391" s="4"/>
      <c r="G391" s="25"/>
      <c r="H391" s="4"/>
      <c r="I391" s="72"/>
      <c r="J391" s="73"/>
      <c r="K391" s="4"/>
      <c r="L391" s="7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25"/>
      <c r="C392" s="25"/>
      <c r="D392" s="4"/>
      <c r="E392" s="4"/>
      <c r="F392" s="4"/>
      <c r="G392" s="25"/>
      <c r="H392" s="4"/>
      <c r="I392" s="72"/>
      <c r="J392" s="73"/>
      <c r="K392" s="4"/>
      <c r="L392" s="7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25"/>
      <c r="C393" s="25"/>
      <c r="D393" s="4"/>
      <c r="E393" s="4"/>
      <c r="F393" s="4"/>
      <c r="G393" s="25"/>
      <c r="H393" s="4"/>
      <c r="I393" s="72"/>
      <c r="J393" s="73"/>
      <c r="K393" s="4"/>
      <c r="L393" s="7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25"/>
      <c r="C394" s="25"/>
      <c r="D394" s="4"/>
      <c r="E394" s="4"/>
      <c r="F394" s="4"/>
      <c r="G394" s="25"/>
      <c r="H394" s="4"/>
      <c r="I394" s="72"/>
      <c r="J394" s="73"/>
      <c r="K394" s="4"/>
      <c r="L394" s="7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25"/>
      <c r="C395" s="25"/>
      <c r="D395" s="4"/>
      <c r="E395" s="4"/>
      <c r="F395" s="4"/>
      <c r="G395" s="25"/>
      <c r="H395" s="4"/>
      <c r="I395" s="72"/>
      <c r="J395" s="73"/>
      <c r="K395" s="4"/>
      <c r="L395" s="7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25"/>
      <c r="C396" s="25"/>
      <c r="D396" s="4"/>
      <c r="E396" s="4"/>
      <c r="F396" s="4"/>
      <c r="G396" s="25"/>
      <c r="H396" s="4"/>
      <c r="I396" s="72"/>
      <c r="J396" s="73"/>
      <c r="K396" s="4"/>
      <c r="L396" s="7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25"/>
      <c r="C397" s="25"/>
      <c r="D397" s="4"/>
      <c r="E397" s="4"/>
      <c r="F397" s="4"/>
      <c r="G397" s="25"/>
      <c r="H397" s="4"/>
      <c r="I397" s="72"/>
      <c r="J397" s="73"/>
      <c r="K397" s="4"/>
      <c r="L397" s="7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25"/>
      <c r="C398" s="25"/>
      <c r="D398" s="4"/>
      <c r="E398" s="4"/>
      <c r="F398" s="4"/>
      <c r="G398" s="25"/>
      <c r="H398" s="4"/>
      <c r="I398" s="72"/>
      <c r="J398" s="73"/>
      <c r="K398" s="4"/>
      <c r="L398" s="7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25"/>
      <c r="C399" s="25"/>
      <c r="D399" s="4"/>
      <c r="E399" s="4"/>
      <c r="F399" s="4"/>
      <c r="G399" s="25"/>
      <c r="H399" s="4"/>
      <c r="I399" s="72"/>
      <c r="J399" s="73"/>
      <c r="K399" s="4"/>
      <c r="L399" s="7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25"/>
      <c r="C400" s="25"/>
      <c r="D400" s="4"/>
      <c r="E400" s="4"/>
      <c r="F400" s="4"/>
      <c r="G400" s="25"/>
      <c r="H400" s="4"/>
      <c r="I400" s="72"/>
      <c r="J400" s="73"/>
      <c r="K400" s="4"/>
      <c r="L400" s="7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25"/>
      <c r="C401" s="25"/>
      <c r="D401" s="4"/>
      <c r="E401" s="4"/>
      <c r="F401" s="4"/>
      <c r="G401" s="25"/>
      <c r="H401" s="4"/>
      <c r="I401" s="72"/>
      <c r="J401" s="73"/>
      <c r="K401" s="4"/>
      <c r="L401" s="7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25"/>
      <c r="C402" s="25"/>
      <c r="D402" s="4"/>
      <c r="E402" s="4"/>
      <c r="F402" s="4"/>
      <c r="G402" s="25"/>
      <c r="H402" s="4"/>
      <c r="I402" s="72"/>
      <c r="J402" s="73"/>
      <c r="K402" s="4"/>
      <c r="L402" s="7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25"/>
      <c r="C403" s="25"/>
      <c r="D403" s="4"/>
      <c r="E403" s="4"/>
      <c r="F403" s="4"/>
      <c r="G403" s="25"/>
      <c r="H403" s="4"/>
      <c r="I403" s="72"/>
      <c r="J403" s="73"/>
      <c r="K403" s="4"/>
      <c r="L403" s="7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25"/>
      <c r="C404" s="25"/>
      <c r="D404" s="4"/>
      <c r="E404" s="4"/>
      <c r="F404" s="4"/>
      <c r="G404" s="25"/>
      <c r="H404" s="4"/>
      <c r="I404" s="72"/>
      <c r="J404" s="73"/>
      <c r="K404" s="4"/>
      <c r="L404" s="7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25"/>
      <c r="C405" s="25"/>
      <c r="D405" s="4"/>
      <c r="E405" s="4"/>
      <c r="F405" s="4"/>
      <c r="G405" s="25"/>
      <c r="H405" s="4"/>
      <c r="I405" s="72"/>
      <c r="J405" s="73"/>
      <c r="K405" s="4"/>
      <c r="L405" s="7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25"/>
      <c r="C406" s="25"/>
      <c r="D406" s="4"/>
      <c r="E406" s="4"/>
      <c r="F406" s="4"/>
      <c r="G406" s="25"/>
      <c r="H406" s="4"/>
      <c r="I406" s="72"/>
      <c r="J406" s="73"/>
      <c r="K406" s="4"/>
      <c r="L406" s="7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25"/>
      <c r="C407" s="25"/>
      <c r="D407" s="4"/>
      <c r="E407" s="4"/>
      <c r="F407" s="4"/>
      <c r="G407" s="25"/>
      <c r="H407" s="4"/>
      <c r="I407" s="72"/>
      <c r="J407" s="73"/>
      <c r="K407" s="4"/>
      <c r="L407" s="7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25"/>
      <c r="C408" s="25"/>
      <c r="D408" s="4"/>
      <c r="E408" s="4"/>
      <c r="F408" s="4"/>
      <c r="G408" s="25"/>
      <c r="H408" s="4"/>
      <c r="I408" s="72"/>
      <c r="J408" s="73"/>
      <c r="K408" s="4"/>
      <c r="L408" s="7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25"/>
      <c r="C409" s="25"/>
      <c r="D409" s="4"/>
      <c r="E409" s="4"/>
      <c r="F409" s="4"/>
      <c r="G409" s="25"/>
      <c r="H409" s="4"/>
      <c r="I409" s="72"/>
      <c r="J409" s="73"/>
      <c r="K409" s="4"/>
      <c r="L409" s="7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25"/>
      <c r="C410" s="25"/>
      <c r="D410" s="4"/>
      <c r="E410" s="4"/>
      <c r="F410" s="4"/>
      <c r="G410" s="25"/>
      <c r="H410" s="4"/>
      <c r="I410" s="72"/>
      <c r="J410" s="73"/>
      <c r="K410" s="4"/>
      <c r="L410" s="7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25"/>
      <c r="C411" s="25"/>
      <c r="D411" s="4"/>
      <c r="E411" s="4"/>
      <c r="F411" s="4"/>
      <c r="G411" s="25"/>
      <c r="H411" s="4"/>
      <c r="I411" s="72"/>
      <c r="J411" s="73"/>
      <c r="K411" s="4"/>
      <c r="L411" s="7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25"/>
      <c r="C412" s="25"/>
      <c r="D412" s="4"/>
      <c r="E412" s="4"/>
      <c r="F412" s="4"/>
      <c r="G412" s="25"/>
      <c r="H412" s="4"/>
      <c r="I412" s="72"/>
      <c r="J412" s="73"/>
      <c r="K412" s="4"/>
      <c r="L412" s="7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25"/>
      <c r="C413" s="25"/>
      <c r="D413" s="4"/>
      <c r="E413" s="4"/>
      <c r="F413" s="4"/>
      <c r="G413" s="25"/>
      <c r="H413" s="4"/>
      <c r="I413" s="72"/>
      <c r="J413" s="73"/>
      <c r="K413" s="4"/>
      <c r="L413" s="7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25"/>
      <c r="C414" s="25"/>
      <c r="D414" s="4"/>
      <c r="E414" s="4"/>
      <c r="F414" s="4"/>
      <c r="G414" s="25"/>
      <c r="H414" s="4"/>
      <c r="I414" s="72"/>
      <c r="J414" s="73"/>
      <c r="K414" s="4"/>
      <c r="L414" s="7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25"/>
      <c r="C415" s="25"/>
      <c r="D415" s="4"/>
      <c r="E415" s="4"/>
      <c r="F415" s="4"/>
      <c r="G415" s="25"/>
      <c r="H415" s="4"/>
      <c r="I415" s="72"/>
      <c r="J415" s="73"/>
      <c r="K415" s="4"/>
      <c r="L415" s="7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25"/>
      <c r="C416" s="25"/>
      <c r="D416" s="4"/>
      <c r="E416" s="4"/>
      <c r="F416" s="4"/>
      <c r="G416" s="25"/>
      <c r="H416" s="4"/>
      <c r="I416" s="72"/>
      <c r="J416" s="73"/>
      <c r="K416" s="4"/>
      <c r="L416" s="7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25"/>
      <c r="C417" s="25"/>
      <c r="D417" s="4"/>
      <c r="E417" s="4"/>
      <c r="F417" s="4"/>
      <c r="G417" s="25"/>
      <c r="H417" s="4"/>
      <c r="I417" s="72"/>
      <c r="J417" s="73"/>
      <c r="K417" s="4"/>
      <c r="L417" s="7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25"/>
      <c r="C418" s="25"/>
      <c r="D418" s="4"/>
      <c r="E418" s="4"/>
      <c r="F418" s="4"/>
      <c r="G418" s="25"/>
      <c r="H418" s="4"/>
      <c r="I418" s="72"/>
      <c r="J418" s="73"/>
      <c r="K418" s="4"/>
      <c r="L418" s="7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25"/>
      <c r="C419" s="25"/>
      <c r="D419" s="4"/>
      <c r="E419" s="4"/>
      <c r="F419" s="4"/>
      <c r="G419" s="25"/>
      <c r="H419" s="4"/>
      <c r="I419" s="72"/>
      <c r="J419" s="73"/>
      <c r="K419" s="4"/>
      <c r="L419" s="7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25"/>
      <c r="C420" s="25"/>
      <c r="D420" s="4"/>
      <c r="E420" s="4"/>
      <c r="F420" s="4"/>
      <c r="G420" s="25"/>
      <c r="H420" s="4"/>
      <c r="I420" s="72"/>
      <c r="J420" s="73"/>
      <c r="K420" s="4"/>
      <c r="L420" s="7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25"/>
      <c r="C421" s="25"/>
      <c r="D421" s="4"/>
      <c r="E421" s="4"/>
      <c r="F421" s="4"/>
      <c r="G421" s="25"/>
      <c r="H421" s="4"/>
      <c r="I421" s="72"/>
      <c r="J421" s="73"/>
      <c r="K421" s="4"/>
      <c r="L421" s="7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25"/>
      <c r="C422" s="25"/>
      <c r="D422" s="4"/>
      <c r="E422" s="4"/>
      <c r="F422" s="4"/>
      <c r="G422" s="25"/>
      <c r="H422" s="4"/>
      <c r="I422" s="72"/>
      <c r="J422" s="73"/>
      <c r="K422" s="4"/>
      <c r="L422" s="7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25"/>
      <c r="C423" s="25"/>
      <c r="D423" s="4"/>
      <c r="E423" s="4"/>
      <c r="F423" s="4"/>
      <c r="G423" s="25"/>
      <c r="H423" s="4"/>
      <c r="I423" s="72"/>
      <c r="J423" s="73"/>
      <c r="K423" s="4"/>
      <c r="L423" s="7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25"/>
      <c r="C424" s="25"/>
      <c r="D424" s="4"/>
      <c r="E424" s="4"/>
      <c r="F424" s="4"/>
      <c r="G424" s="25"/>
      <c r="H424" s="4"/>
      <c r="I424" s="72"/>
      <c r="J424" s="73"/>
      <c r="K424" s="4"/>
      <c r="L424" s="7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25"/>
      <c r="C425" s="25"/>
      <c r="D425" s="4"/>
      <c r="E425" s="4"/>
      <c r="F425" s="4"/>
      <c r="G425" s="25"/>
      <c r="H425" s="4"/>
      <c r="I425" s="72"/>
      <c r="J425" s="73"/>
      <c r="K425" s="4"/>
      <c r="L425" s="7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25"/>
      <c r="C426" s="25"/>
      <c r="D426" s="4"/>
      <c r="E426" s="4"/>
      <c r="F426" s="4"/>
      <c r="G426" s="25"/>
      <c r="H426" s="4"/>
      <c r="I426" s="72"/>
      <c r="J426" s="73"/>
      <c r="K426" s="4"/>
      <c r="L426" s="7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25"/>
      <c r="C427" s="25"/>
      <c r="D427" s="4"/>
      <c r="E427" s="4"/>
      <c r="F427" s="4"/>
      <c r="G427" s="25"/>
      <c r="H427" s="4"/>
      <c r="I427" s="72"/>
      <c r="J427" s="73"/>
      <c r="K427" s="4"/>
      <c r="L427" s="7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25"/>
      <c r="C428" s="25"/>
      <c r="D428" s="4"/>
      <c r="E428" s="4"/>
      <c r="F428" s="4"/>
      <c r="G428" s="25"/>
      <c r="H428" s="4"/>
      <c r="I428" s="72"/>
      <c r="J428" s="73"/>
      <c r="K428" s="4"/>
      <c r="L428" s="7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25"/>
      <c r="C429" s="25"/>
      <c r="D429" s="4"/>
      <c r="E429" s="4"/>
      <c r="F429" s="4"/>
      <c r="G429" s="25"/>
      <c r="H429" s="4"/>
      <c r="I429" s="72"/>
      <c r="J429" s="73"/>
      <c r="K429" s="4"/>
      <c r="L429" s="7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25"/>
      <c r="C430" s="25"/>
      <c r="D430" s="4"/>
      <c r="E430" s="4"/>
      <c r="F430" s="4"/>
      <c r="G430" s="25"/>
      <c r="H430" s="4"/>
      <c r="I430" s="72"/>
      <c r="J430" s="73"/>
      <c r="K430" s="4"/>
      <c r="L430" s="7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25"/>
      <c r="C431" s="25"/>
      <c r="D431" s="4"/>
      <c r="E431" s="4"/>
      <c r="F431" s="4"/>
      <c r="G431" s="25"/>
      <c r="H431" s="4"/>
      <c r="I431" s="72"/>
      <c r="J431" s="73"/>
      <c r="K431" s="4"/>
      <c r="L431" s="7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25"/>
      <c r="C432" s="25"/>
      <c r="D432" s="4"/>
      <c r="E432" s="4"/>
      <c r="F432" s="4"/>
      <c r="G432" s="25"/>
      <c r="H432" s="4"/>
      <c r="I432" s="72"/>
      <c r="J432" s="73"/>
      <c r="K432" s="4"/>
      <c r="L432" s="7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25"/>
      <c r="C433" s="25"/>
      <c r="D433" s="4"/>
      <c r="E433" s="4"/>
      <c r="F433" s="4"/>
      <c r="G433" s="25"/>
      <c r="H433" s="4"/>
      <c r="I433" s="72"/>
      <c r="J433" s="73"/>
      <c r="K433" s="4"/>
      <c r="L433" s="7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25"/>
      <c r="C434" s="25"/>
      <c r="D434" s="4"/>
      <c r="E434" s="4"/>
      <c r="F434" s="4"/>
      <c r="G434" s="25"/>
      <c r="H434" s="4"/>
      <c r="I434" s="72"/>
      <c r="J434" s="73"/>
      <c r="K434" s="4"/>
      <c r="L434" s="7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25"/>
      <c r="C435" s="25"/>
      <c r="D435" s="4"/>
      <c r="E435" s="4"/>
      <c r="F435" s="4"/>
      <c r="G435" s="25"/>
      <c r="H435" s="4"/>
      <c r="I435" s="72"/>
      <c r="J435" s="73"/>
      <c r="K435" s="4"/>
      <c r="L435" s="7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25"/>
      <c r="C436" s="25"/>
      <c r="D436" s="4"/>
      <c r="E436" s="4"/>
      <c r="F436" s="4"/>
      <c r="G436" s="25"/>
      <c r="H436" s="4"/>
      <c r="I436" s="72"/>
      <c r="J436" s="73"/>
      <c r="K436" s="4"/>
      <c r="L436" s="7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25"/>
      <c r="C437" s="25"/>
      <c r="D437" s="4"/>
      <c r="E437" s="4"/>
      <c r="F437" s="4"/>
      <c r="G437" s="25"/>
      <c r="H437" s="4"/>
      <c r="I437" s="72"/>
      <c r="J437" s="73"/>
      <c r="K437" s="4"/>
      <c r="L437" s="7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25"/>
      <c r="C438" s="25"/>
      <c r="D438" s="4"/>
      <c r="E438" s="4"/>
      <c r="F438" s="4"/>
      <c r="G438" s="25"/>
      <c r="H438" s="4"/>
      <c r="I438" s="72"/>
      <c r="J438" s="73"/>
      <c r="K438" s="4"/>
      <c r="L438" s="7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25"/>
      <c r="C439" s="25"/>
      <c r="D439" s="4"/>
      <c r="E439" s="4"/>
      <c r="F439" s="4"/>
      <c r="G439" s="25"/>
      <c r="H439" s="4"/>
      <c r="I439" s="72"/>
      <c r="J439" s="73"/>
      <c r="K439" s="4"/>
      <c r="L439" s="7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25"/>
      <c r="C440" s="25"/>
      <c r="D440" s="4"/>
      <c r="E440" s="4"/>
      <c r="F440" s="4"/>
      <c r="G440" s="25"/>
      <c r="H440" s="4"/>
      <c r="I440" s="72"/>
      <c r="J440" s="73"/>
      <c r="K440" s="4"/>
      <c r="L440" s="7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25"/>
      <c r="C441" s="25"/>
      <c r="D441" s="4"/>
      <c r="E441" s="4"/>
      <c r="F441" s="4"/>
      <c r="G441" s="25"/>
      <c r="H441" s="4"/>
      <c r="I441" s="72"/>
      <c r="J441" s="73"/>
      <c r="K441" s="4"/>
      <c r="L441" s="7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25"/>
      <c r="C442" s="25"/>
      <c r="D442" s="4"/>
      <c r="E442" s="4"/>
      <c r="F442" s="4"/>
      <c r="G442" s="25"/>
      <c r="H442" s="4"/>
      <c r="I442" s="72"/>
      <c r="J442" s="73"/>
      <c r="K442" s="4"/>
      <c r="L442" s="7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25"/>
      <c r="C443" s="25"/>
      <c r="D443" s="4"/>
      <c r="E443" s="4"/>
      <c r="F443" s="4"/>
      <c r="G443" s="25"/>
      <c r="H443" s="4"/>
      <c r="I443" s="72"/>
      <c r="J443" s="73"/>
      <c r="K443" s="4"/>
      <c r="L443" s="7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25"/>
      <c r="C444" s="25"/>
      <c r="D444" s="4"/>
      <c r="E444" s="4"/>
      <c r="F444" s="4"/>
      <c r="G444" s="25"/>
      <c r="H444" s="4"/>
      <c r="I444" s="72"/>
      <c r="J444" s="73"/>
      <c r="K444" s="4"/>
      <c r="L444" s="7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25"/>
      <c r="C445" s="25"/>
      <c r="D445" s="4"/>
      <c r="E445" s="4"/>
      <c r="F445" s="4"/>
      <c r="G445" s="25"/>
      <c r="H445" s="4"/>
      <c r="I445" s="72"/>
      <c r="J445" s="73"/>
      <c r="K445" s="4"/>
      <c r="L445" s="7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25"/>
      <c r="C446" s="25"/>
      <c r="D446" s="4"/>
      <c r="E446" s="4"/>
      <c r="F446" s="4"/>
      <c r="G446" s="25"/>
      <c r="H446" s="4"/>
      <c r="I446" s="72"/>
      <c r="J446" s="73"/>
      <c r="K446" s="4"/>
      <c r="L446" s="7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25"/>
      <c r="C447" s="25"/>
      <c r="D447" s="4"/>
      <c r="E447" s="4"/>
      <c r="F447" s="4"/>
      <c r="G447" s="25"/>
      <c r="H447" s="4"/>
      <c r="I447" s="72"/>
      <c r="J447" s="73"/>
      <c r="K447" s="4"/>
      <c r="L447" s="7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25"/>
      <c r="C448" s="25"/>
      <c r="D448" s="4"/>
      <c r="E448" s="4"/>
      <c r="F448" s="4"/>
      <c r="G448" s="25"/>
      <c r="H448" s="4"/>
      <c r="I448" s="72"/>
      <c r="J448" s="73"/>
      <c r="K448" s="4"/>
      <c r="L448" s="7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25"/>
      <c r="C449" s="25"/>
      <c r="D449" s="4"/>
      <c r="E449" s="4"/>
      <c r="F449" s="4"/>
      <c r="G449" s="25"/>
      <c r="H449" s="4"/>
      <c r="I449" s="72"/>
      <c r="J449" s="73"/>
      <c r="K449" s="4"/>
      <c r="L449" s="7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25"/>
      <c r="C450" s="25"/>
      <c r="D450" s="4"/>
      <c r="E450" s="4"/>
      <c r="F450" s="4"/>
      <c r="G450" s="25"/>
      <c r="H450" s="4"/>
      <c r="I450" s="72"/>
      <c r="J450" s="73"/>
      <c r="K450" s="4"/>
      <c r="L450" s="7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25"/>
      <c r="C451" s="25"/>
      <c r="D451" s="4"/>
      <c r="E451" s="4"/>
      <c r="F451" s="4"/>
      <c r="G451" s="25"/>
      <c r="H451" s="4"/>
      <c r="I451" s="72"/>
      <c r="J451" s="73"/>
      <c r="K451" s="4"/>
      <c r="L451" s="7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25"/>
      <c r="C452" s="25"/>
      <c r="D452" s="4"/>
      <c r="E452" s="4"/>
      <c r="F452" s="4"/>
      <c r="G452" s="25"/>
      <c r="H452" s="4"/>
      <c r="I452" s="72"/>
      <c r="J452" s="73"/>
      <c r="K452" s="4"/>
      <c r="L452" s="7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25"/>
      <c r="C453" s="25"/>
      <c r="D453" s="4"/>
      <c r="E453" s="4"/>
      <c r="F453" s="4"/>
      <c r="G453" s="25"/>
      <c r="H453" s="4"/>
      <c r="I453" s="72"/>
      <c r="J453" s="73"/>
      <c r="K453" s="4"/>
      <c r="L453" s="7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25"/>
      <c r="C454" s="25"/>
      <c r="D454" s="4"/>
      <c r="E454" s="4"/>
      <c r="F454" s="4"/>
      <c r="G454" s="25"/>
      <c r="H454" s="4"/>
      <c r="I454" s="72"/>
      <c r="J454" s="73"/>
      <c r="K454" s="4"/>
      <c r="L454" s="7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25"/>
      <c r="C455" s="25"/>
      <c r="D455" s="4"/>
      <c r="E455" s="4"/>
      <c r="F455" s="4"/>
      <c r="G455" s="25"/>
      <c r="H455" s="4"/>
      <c r="I455" s="72"/>
      <c r="J455" s="73"/>
      <c r="K455" s="4"/>
      <c r="L455" s="7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25"/>
      <c r="C456" s="25"/>
      <c r="D456" s="4"/>
      <c r="E456" s="4"/>
      <c r="F456" s="4"/>
      <c r="G456" s="25"/>
      <c r="H456" s="4"/>
      <c r="I456" s="72"/>
      <c r="J456" s="73"/>
      <c r="K456" s="4"/>
      <c r="L456" s="7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25"/>
      <c r="C457" s="25"/>
      <c r="D457" s="4"/>
      <c r="E457" s="4"/>
      <c r="F457" s="4"/>
      <c r="G457" s="25"/>
      <c r="H457" s="4"/>
      <c r="I457" s="72"/>
      <c r="J457" s="73"/>
      <c r="K457" s="4"/>
      <c r="L457" s="7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25"/>
      <c r="C458" s="25"/>
      <c r="D458" s="4"/>
      <c r="E458" s="4"/>
      <c r="F458" s="4"/>
      <c r="G458" s="25"/>
      <c r="H458" s="4"/>
      <c r="I458" s="72"/>
      <c r="J458" s="73"/>
      <c r="K458" s="4"/>
      <c r="L458" s="7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25"/>
      <c r="C459" s="25"/>
      <c r="D459" s="4"/>
      <c r="E459" s="4"/>
      <c r="F459" s="4"/>
      <c r="G459" s="25"/>
      <c r="H459" s="4"/>
      <c r="I459" s="72"/>
      <c r="J459" s="73"/>
      <c r="K459" s="4"/>
      <c r="L459" s="7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25"/>
      <c r="C460" s="25"/>
      <c r="D460" s="4"/>
      <c r="E460" s="4"/>
      <c r="F460" s="4"/>
      <c r="G460" s="25"/>
      <c r="H460" s="4"/>
      <c r="I460" s="72"/>
      <c r="J460" s="73"/>
      <c r="K460" s="4"/>
      <c r="L460" s="7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25"/>
      <c r="C461" s="25"/>
      <c r="D461" s="4"/>
      <c r="E461" s="4"/>
      <c r="F461" s="4"/>
      <c r="G461" s="25"/>
      <c r="H461" s="4"/>
      <c r="I461" s="72"/>
      <c r="J461" s="73"/>
      <c r="K461" s="4"/>
      <c r="L461" s="7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25"/>
      <c r="C462" s="25"/>
      <c r="D462" s="4"/>
      <c r="E462" s="4"/>
      <c r="F462" s="4"/>
      <c r="G462" s="25"/>
      <c r="H462" s="4"/>
      <c r="I462" s="72"/>
      <c r="J462" s="73"/>
      <c r="K462" s="4"/>
      <c r="L462" s="7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25"/>
      <c r="C463" s="25"/>
      <c r="D463" s="4"/>
      <c r="E463" s="4"/>
      <c r="F463" s="4"/>
      <c r="G463" s="25"/>
      <c r="H463" s="4"/>
      <c r="I463" s="72"/>
      <c r="J463" s="73"/>
      <c r="K463" s="4"/>
      <c r="L463" s="7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25"/>
      <c r="C464" s="25"/>
      <c r="D464" s="4"/>
      <c r="E464" s="4"/>
      <c r="F464" s="4"/>
      <c r="G464" s="25"/>
      <c r="H464" s="4"/>
      <c r="I464" s="72"/>
      <c r="J464" s="73"/>
      <c r="K464" s="4"/>
      <c r="L464" s="7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25"/>
      <c r="C465" s="25"/>
      <c r="D465" s="4"/>
      <c r="E465" s="4"/>
      <c r="F465" s="4"/>
      <c r="G465" s="25"/>
      <c r="H465" s="4"/>
      <c r="I465" s="72"/>
      <c r="J465" s="73"/>
      <c r="K465" s="4"/>
      <c r="L465" s="7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25"/>
      <c r="C466" s="25"/>
      <c r="D466" s="4"/>
      <c r="E466" s="4"/>
      <c r="F466" s="4"/>
      <c r="G466" s="25"/>
      <c r="H466" s="4"/>
      <c r="I466" s="72"/>
      <c r="J466" s="73"/>
      <c r="K466" s="4"/>
      <c r="L466" s="7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25"/>
      <c r="C467" s="25"/>
      <c r="D467" s="4"/>
      <c r="E467" s="4"/>
      <c r="F467" s="4"/>
      <c r="G467" s="25"/>
      <c r="H467" s="4"/>
      <c r="I467" s="72"/>
      <c r="J467" s="73"/>
      <c r="K467" s="4"/>
      <c r="L467" s="7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25"/>
      <c r="C468" s="25"/>
      <c r="D468" s="4"/>
      <c r="E468" s="4"/>
      <c r="F468" s="4"/>
      <c r="G468" s="25"/>
      <c r="H468" s="4"/>
      <c r="I468" s="72"/>
      <c r="J468" s="73"/>
      <c r="K468" s="4"/>
      <c r="L468" s="7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25"/>
      <c r="C469" s="25"/>
      <c r="D469" s="4"/>
      <c r="E469" s="4"/>
      <c r="F469" s="4"/>
      <c r="G469" s="25"/>
      <c r="H469" s="4"/>
      <c r="I469" s="72"/>
      <c r="J469" s="73"/>
      <c r="K469" s="4"/>
      <c r="L469" s="7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25"/>
      <c r="C470" s="25"/>
      <c r="D470" s="4"/>
      <c r="E470" s="4"/>
      <c r="F470" s="4"/>
      <c r="G470" s="25"/>
      <c r="H470" s="4"/>
      <c r="I470" s="72"/>
      <c r="J470" s="73"/>
      <c r="K470" s="4"/>
      <c r="L470" s="7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25"/>
      <c r="C471" s="25"/>
      <c r="D471" s="4"/>
      <c r="E471" s="4"/>
      <c r="F471" s="4"/>
      <c r="G471" s="25"/>
      <c r="H471" s="4"/>
      <c r="I471" s="72"/>
      <c r="J471" s="73"/>
      <c r="K471" s="4"/>
      <c r="L471" s="7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25"/>
      <c r="C472" s="25"/>
      <c r="D472" s="4"/>
      <c r="E472" s="4"/>
      <c r="F472" s="4"/>
      <c r="G472" s="25"/>
      <c r="H472" s="4"/>
      <c r="I472" s="72"/>
      <c r="J472" s="73"/>
      <c r="K472" s="4"/>
      <c r="L472" s="7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25"/>
      <c r="C473" s="25"/>
      <c r="D473" s="4"/>
      <c r="E473" s="4"/>
      <c r="F473" s="4"/>
      <c r="G473" s="25"/>
      <c r="H473" s="4"/>
      <c r="I473" s="72"/>
      <c r="J473" s="73"/>
      <c r="K473" s="4"/>
      <c r="L473" s="7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25"/>
      <c r="C474" s="25"/>
      <c r="D474" s="4"/>
      <c r="E474" s="4"/>
      <c r="F474" s="4"/>
      <c r="G474" s="25"/>
      <c r="H474" s="4"/>
      <c r="I474" s="72"/>
      <c r="J474" s="73"/>
      <c r="K474" s="4"/>
      <c r="L474" s="7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25"/>
      <c r="C475" s="25"/>
      <c r="D475" s="4"/>
      <c r="E475" s="4"/>
      <c r="F475" s="4"/>
      <c r="G475" s="25"/>
      <c r="H475" s="4"/>
      <c r="I475" s="72"/>
      <c r="J475" s="73"/>
      <c r="K475" s="4"/>
      <c r="L475" s="7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25"/>
      <c r="C476" s="25"/>
      <c r="D476" s="4"/>
      <c r="E476" s="4"/>
      <c r="F476" s="4"/>
      <c r="G476" s="25"/>
      <c r="H476" s="4"/>
      <c r="I476" s="72"/>
      <c r="J476" s="73"/>
      <c r="K476" s="4"/>
      <c r="L476" s="7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25"/>
      <c r="C477" s="25"/>
      <c r="D477" s="4"/>
      <c r="E477" s="4"/>
      <c r="F477" s="4"/>
      <c r="G477" s="25"/>
      <c r="H477" s="4"/>
      <c r="I477" s="72"/>
      <c r="J477" s="73"/>
      <c r="K477" s="4"/>
      <c r="L477" s="7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25"/>
      <c r="C478" s="25"/>
      <c r="D478" s="4"/>
      <c r="E478" s="4"/>
      <c r="F478" s="4"/>
      <c r="G478" s="25"/>
      <c r="H478" s="4"/>
      <c r="I478" s="72"/>
      <c r="J478" s="73"/>
      <c r="K478" s="4"/>
      <c r="L478" s="7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25"/>
      <c r="C479" s="25"/>
      <c r="D479" s="4"/>
      <c r="E479" s="4"/>
      <c r="F479" s="4"/>
      <c r="G479" s="25"/>
      <c r="H479" s="4"/>
      <c r="I479" s="72"/>
      <c r="J479" s="73"/>
      <c r="K479" s="4"/>
      <c r="L479" s="7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25"/>
      <c r="C480" s="25"/>
      <c r="D480" s="4"/>
      <c r="E480" s="4"/>
      <c r="F480" s="4"/>
      <c r="G480" s="25"/>
      <c r="H480" s="4"/>
      <c r="I480" s="72"/>
      <c r="J480" s="73"/>
      <c r="K480" s="4"/>
      <c r="L480" s="7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25"/>
      <c r="C481" s="25"/>
      <c r="D481" s="4"/>
      <c r="E481" s="4"/>
      <c r="F481" s="4"/>
      <c r="G481" s="25"/>
      <c r="H481" s="4"/>
      <c r="I481" s="72"/>
      <c r="J481" s="73"/>
      <c r="K481" s="4"/>
      <c r="L481" s="7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25"/>
      <c r="C482" s="25"/>
      <c r="D482" s="4"/>
      <c r="E482" s="4"/>
      <c r="F482" s="4"/>
      <c r="G482" s="25"/>
      <c r="H482" s="4"/>
      <c r="I482" s="72"/>
      <c r="J482" s="73"/>
      <c r="K482" s="4"/>
      <c r="L482" s="7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25"/>
      <c r="C483" s="25"/>
      <c r="D483" s="4"/>
      <c r="E483" s="4"/>
      <c r="F483" s="4"/>
      <c r="G483" s="25"/>
      <c r="H483" s="4"/>
      <c r="I483" s="72"/>
      <c r="J483" s="73"/>
      <c r="K483" s="4"/>
      <c r="L483" s="7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25"/>
      <c r="C484" s="25"/>
      <c r="D484" s="4"/>
      <c r="E484" s="4"/>
      <c r="F484" s="4"/>
      <c r="G484" s="25"/>
      <c r="H484" s="4"/>
      <c r="I484" s="72"/>
      <c r="J484" s="73"/>
      <c r="K484" s="4"/>
      <c r="L484" s="7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25"/>
      <c r="C485" s="25"/>
      <c r="D485" s="4"/>
      <c r="E485" s="4"/>
      <c r="F485" s="4"/>
      <c r="G485" s="25"/>
      <c r="H485" s="4"/>
      <c r="I485" s="72"/>
      <c r="J485" s="73"/>
      <c r="K485" s="4"/>
      <c r="L485" s="7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25"/>
      <c r="C486" s="25"/>
      <c r="D486" s="4"/>
      <c r="E486" s="4"/>
      <c r="F486" s="4"/>
      <c r="G486" s="25"/>
      <c r="H486" s="4"/>
      <c r="I486" s="72"/>
      <c r="J486" s="73"/>
      <c r="K486" s="4"/>
      <c r="L486" s="7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25"/>
      <c r="C487" s="25"/>
      <c r="D487" s="4"/>
      <c r="E487" s="4"/>
      <c r="F487" s="4"/>
      <c r="G487" s="25"/>
      <c r="H487" s="4"/>
      <c r="I487" s="72"/>
      <c r="J487" s="73"/>
      <c r="K487" s="4"/>
      <c r="L487" s="7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25"/>
      <c r="C488" s="25"/>
      <c r="D488" s="4"/>
      <c r="E488" s="4"/>
      <c r="F488" s="4"/>
      <c r="G488" s="25"/>
      <c r="H488" s="4"/>
      <c r="I488" s="72"/>
      <c r="J488" s="73"/>
      <c r="K488" s="4"/>
      <c r="L488" s="7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25"/>
      <c r="C489" s="25"/>
      <c r="D489" s="4"/>
      <c r="E489" s="4"/>
      <c r="F489" s="4"/>
      <c r="G489" s="25"/>
      <c r="H489" s="4"/>
      <c r="I489" s="72"/>
      <c r="J489" s="73"/>
      <c r="K489" s="4"/>
      <c r="L489" s="7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25"/>
      <c r="C490" s="25"/>
      <c r="D490" s="4"/>
      <c r="E490" s="4"/>
      <c r="F490" s="4"/>
      <c r="G490" s="25"/>
      <c r="H490" s="4"/>
      <c r="I490" s="72"/>
      <c r="J490" s="73"/>
      <c r="K490" s="4"/>
      <c r="L490" s="7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25"/>
      <c r="C491" s="25"/>
      <c r="D491" s="4"/>
      <c r="E491" s="4"/>
      <c r="F491" s="4"/>
      <c r="G491" s="25"/>
      <c r="H491" s="4"/>
      <c r="I491" s="72"/>
      <c r="J491" s="73"/>
      <c r="K491" s="4"/>
      <c r="L491" s="7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25"/>
      <c r="C492" s="25"/>
      <c r="D492" s="4"/>
      <c r="E492" s="4"/>
      <c r="F492" s="4"/>
      <c r="G492" s="25"/>
      <c r="H492" s="4"/>
      <c r="I492" s="72"/>
      <c r="J492" s="73"/>
      <c r="K492" s="4"/>
      <c r="L492" s="7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25"/>
      <c r="C493" s="25"/>
      <c r="D493" s="4"/>
      <c r="E493" s="4"/>
      <c r="F493" s="4"/>
      <c r="G493" s="25"/>
      <c r="H493" s="4"/>
      <c r="I493" s="72"/>
      <c r="J493" s="73"/>
      <c r="K493" s="4"/>
      <c r="L493" s="7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25"/>
      <c r="C494" s="25"/>
      <c r="D494" s="4"/>
      <c r="E494" s="4"/>
      <c r="F494" s="4"/>
      <c r="G494" s="25"/>
      <c r="H494" s="4"/>
      <c r="I494" s="72"/>
      <c r="J494" s="73"/>
      <c r="K494" s="4"/>
      <c r="L494" s="7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25"/>
      <c r="C495" s="25"/>
      <c r="D495" s="4"/>
      <c r="E495" s="4"/>
      <c r="F495" s="4"/>
      <c r="G495" s="25"/>
      <c r="H495" s="4"/>
      <c r="I495" s="72"/>
      <c r="J495" s="73"/>
      <c r="K495" s="4"/>
      <c r="L495" s="7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25"/>
      <c r="C496" s="25"/>
      <c r="D496" s="4"/>
      <c r="E496" s="4"/>
      <c r="F496" s="4"/>
      <c r="G496" s="25"/>
      <c r="H496" s="4"/>
      <c r="I496" s="72"/>
      <c r="J496" s="73"/>
      <c r="K496" s="4"/>
      <c r="L496" s="7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25"/>
      <c r="C497" s="25"/>
      <c r="D497" s="4"/>
      <c r="E497" s="4"/>
      <c r="F497" s="4"/>
      <c r="G497" s="25"/>
      <c r="H497" s="4"/>
      <c r="I497" s="72"/>
      <c r="J497" s="73"/>
      <c r="K497" s="4"/>
      <c r="L497" s="7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25"/>
      <c r="C498" s="25"/>
      <c r="D498" s="4"/>
      <c r="E498" s="4"/>
      <c r="F498" s="4"/>
      <c r="G498" s="25"/>
      <c r="H498" s="4"/>
      <c r="I498" s="72"/>
      <c r="J498" s="73"/>
      <c r="K498" s="4"/>
      <c r="L498" s="7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25"/>
      <c r="C499" s="25"/>
      <c r="D499" s="4"/>
      <c r="E499" s="4"/>
      <c r="F499" s="4"/>
      <c r="G499" s="25"/>
      <c r="H499" s="4"/>
      <c r="I499" s="72"/>
      <c r="J499" s="73"/>
      <c r="K499" s="4"/>
      <c r="L499" s="7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25"/>
      <c r="C500" s="25"/>
      <c r="D500" s="4"/>
      <c r="E500" s="4"/>
      <c r="F500" s="4"/>
      <c r="G500" s="25"/>
      <c r="H500" s="4"/>
      <c r="I500" s="72"/>
      <c r="J500" s="73"/>
      <c r="K500" s="4"/>
      <c r="L500" s="7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25"/>
      <c r="C501" s="25"/>
      <c r="D501" s="4"/>
      <c r="E501" s="4"/>
      <c r="F501" s="4"/>
      <c r="G501" s="25"/>
      <c r="H501" s="4"/>
      <c r="I501" s="72"/>
      <c r="J501" s="73"/>
      <c r="K501" s="4"/>
      <c r="L501" s="7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25"/>
      <c r="C502" s="25"/>
      <c r="D502" s="4"/>
      <c r="E502" s="4"/>
      <c r="F502" s="4"/>
      <c r="G502" s="25"/>
      <c r="H502" s="4"/>
      <c r="I502" s="72"/>
      <c r="J502" s="73"/>
      <c r="K502" s="4"/>
      <c r="L502" s="7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25"/>
      <c r="C503" s="25"/>
      <c r="D503" s="4"/>
      <c r="E503" s="4"/>
      <c r="F503" s="4"/>
      <c r="G503" s="25"/>
      <c r="H503" s="4"/>
      <c r="I503" s="72"/>
      <c r="J503" s="73"/>
      <c r="K503" s="4"/>
      <c r="L503" s="7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25"/>
      <c r="C504" s="25"/>
      <c r="D504" s="4"/>
      <c r="E504" s="4"/>
      <c r="F504" s="4"/>
      <c r="G504" s="25"/>
      <c r="H504" s="4"/>
      <c r="I504" s="72"/>
      <c r="J504" s="73"/>
      <c r="K504" s="4"/>
      <c r="L504" s="7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25"/>
      <c r="C505" s="25"/>
      <c r="D505" s="4"/>
      <c r="E505" s="4"/>
      <c r="F505" s="4"/>
      <c r="G505" s="25"/>
      <c r="H505" s="4"/>
      <c r="I505" s="72"/>
      <c r="J505" s="73"/>
      <c r="K505" s="4"/>
      <c r="L505" s="7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25"/>
      <c r="C506" s="25"/>
      <c r="D506" s="4"/>
      <c r="E506" s="4"/>
      <c r="F506" s="4"/>
      <c r="G506" s="25"/>
      <c r="H506" s="4"/>
      <c r="I506" s="72"/>
      <c r="J506" s="73"/>
      <c r="K506" s="4"/>
      <c r="L506" s="7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25"/>
      <c r="C507" s="25"/>
      <c r="D507" s="4"/>
      <c r="E507" s="4"/>
      <c r="F507" s="4"/>
      <c r="G507" s="25"/>
      <c r="H507" s="4"/>
      <c r="I507" s="72"/>
      <c r="J507" s="73"/>
      <c r="K507" s="4"/>
      <c r="L507" s="7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25"/>
      <c r="C508" s="25"/>
      <c r="D508" s="4"/>
      <c r="E508" s="4"/>
      <c r="F508" s="4"/>
      <c r="G508" s="25"/>
      <c r="H508" s="4"/>
      <c r="I508" s="72"/>
      <c r="J508" s="73"/>
      <c r="K508" s="4"/>
      <c r="L508" s="7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25"/>
      <c r="C509" s="25"/>
      <c r="D509" s="4"/>
      <c r="E509" s="4"/>
      <c r="F509" s="4"/>
      <c r="G509" s="25"/>
      <c r="H509" s="4"/>
      <c r="I509" s="72"/>
      <c r="J509" s="73"/>
      <c r="K509" s="4"/>
      <c r="L509" s="7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25"/>
      <c r="C510" s="25"/>
      <c r="D510" s="4"/>
      <c r="E510" s="4"/>
      <c r="F510" s="4"/>
      <c r="G510" s="25"/>
      <c r="H510" s="4"/>
      <c r="I510" s="72"/>
      <c r="J510" s="73"/>
      <c r="K510" s="4"/>
      <c r="L510" s="7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25"/>
      <c r="C511" s="25"/>
      <c r="D511" s="4"/>
      <c r="E511" s="4"/>
      <c r="F511" s="4"/>
      <c r="G511" s="25"/>
      <c r="H511" s="4"/>
      <c r="I511" s="72"/>
      <c r="J511" s="73"/>
      <c r="K511" s="4"/>
      <c r="L511" s="7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25"/>
      <c r="C512" s="25"/>
      <c r="D512" s="4"/>
      <c r="E512" s="4"/>
      <c r="F512" s="4"/>
      <c r="G512" s="25"/>
      <c r="H512" s="4"/>
      <c r="I512" s="72"/>
      <c r="J512" s="73"/>
      <c r="K512" s="4"/>
      <c r="L512" s="7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25"/>
      <c r="C513" s="25"/>
      <c r="D513" s="4"/>
      <c r="E513" s="4"/>
      <c r="F513" s="4"/>
      <c r="G513" s="25"/>
      <c r="H513" s="4"/>
      <c r="I513" s="72"/>
      <c r="J513" s="73"/>
      <c r="K513" s="4"/>
      <c r="L513" s="7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25"/>
      <c r="C514" s="25"/>
      <c r="D514" s="4"/>
      <c r="E514" s="4"/>
      <c r="F514" s="4"/>
      <c r="G514" s="25"/>
      <c r="H514" s="4"/>
      <c r="I514" s="72"/>
      <c r="J514" s="73"/>
      <c r="K514" s="4"/>
      <c r="L514" s="7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25"/>
      <c r="C515" s="25"/>
      <c r="D515" s="4"/>
      <c r="E515" s="4"/>
      <c r="F515" s="4"/>
      <c r="G515" s="25"/>
      <c r="H515" s="4"/>
      <c r="I515" s="72"/>
      <c r="J515" s="73"/>
      <c r="K515" s="4"/>
      <c r="L515" s="7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25"/>
      <c r="C516" s="25"/>
      <c r="D516" s="4"/>
      <c r="E516" s="4"/>
      <c r="F516" s="4"/>
      <c r="G516" s="25"/>
      <c r="H516" s="4"/>
      <c r="I516" s="72"/>
      <c r="J516" s="73"/>
      <c r="K516" s="4"/>
      <c r="L516" s="7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25"/>
      <c r="C517" s="25"/>
      <c r="D517" s="4"/>
      <c r="E517" s="4"/>
      <c r="F517" s="4"/>
      <c r="G517" s="25"/>
      <c r="H517" s="4"/>
      <c r="I517" s="72"/>
      <c r="J517" s="73"/>
      <c r="K517" s="4"/>
      <c r="L517" s="7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25"/>
      <c r="C518" s="25"/>
      <c r="D518" s="4"/>
      <c r="E518" s="4"/>
      <c r="F518" s="4"/>
      <c r="G518" s="25"/>
      <c r="H518" s="4"/>
      <c r="I518" s="72"/>
      <c r="J518" s="73"/>
      <c r="K518" s="4"/>
      <c r="L518" s="7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25"/>
      <c r="C519" s="25"/>
      <c r="D519" s="4"/>
      <c r="E519" s="4"/>
      <c r="F519" s="4"/>
      <c r="G519" s="25"/>
      <c r="H519" s="4"/>
      <c r="I519" s="72"/>
      <c r="J519" s="73"/>
      <c r="K519" s="4"/>
      <c r="L519" s="7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25"/>
      <c r="C520" s="25"/>
      <c r="D520" s="4"/>
      <c r="E520" s="4"/>
      <c r="F520" s="4"/>
      <c r="G520" s="25"/>
      <c r="H520" s="4"/>
      <c r="I520" s="72"/>
      <c r="J520" s="73"/>
      <c r="K520" s="4"/>
      <c r="L520" s="7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25"/>
      <c r="C521" s="25"/>
      <c r="D521" s="4"/>
      <c r="E521" s="4"/>
      <c r="F521" s="4"/>
      <c r="G521" s="25"/>
      <c r="H521" s="4"/>
      <c r="I521" s="72"/>
      <c r="J521" s="73"/>
      <c r="K521" s="4"/>
      <c r="L521" s="7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25"/>
      <c r="C522" s="25"/>
      <c r="D522" s="4"/>
      <c r="E522" s="4"/>
      <c r="F522" s="4"/>
      <c r="G522" s="25"/>
      <c r="H522" s="4"/>
      <c r="I522" s="72"/>
      <c r="J522" s="73"/>
      <c r="K522" s="4"/>
      <c r="L522" s="7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25"/>
      <c r="C523" s="25"/>
      <c r="D523" s="4"/>
      <c r="E523" s="4"/>
      <c r="F523" s="4"/>
      <c r="G523" s="25"/>
      <c r="H523" s="4"/>
      <c r="I523" s="72"/>
      <c r="J523" s="73"/>
      <c r="K523" s="4"/>
      <c r="L523" s="7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25"/>
      <c r="C524" s="25"/>
      <c r="D524" s="4"/>
      <c r="E524" s="4"/>
      <c r="F524" s="4"/>
      <c r="G524" s="25"/>
      <c r="H524" s="4"/>
      <c r="I524" s="72"/>
      <c r="J524" s="73"/>
      <c r="K524" s="4"/>
      <c r="L524" s="7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25"/>
      <c r="C525" s="25"/>
      <c r="D525" s="4"/>
      <c r="E525" s="4"/>
      <c r="F525" s="4"/>
      <c r="G525" s="25"/>
      <c r="H525" s="4"/>
      <c r="I525" s="72"/>
      <c r="J525" s="73"/>
      <c r="K525" s="4"/>
      <c r="L525" s="7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25"/>
      <c r="C526" s="25"/>
      <c r="D526" s="4"/>
      <c r="E526" s="4"/>
      <c r="F526" s="4"/>
      <c r="G526" s="25"/>
      <c r="H526" s="4"/>
      <c r="I526" s="72"/>
      <c r="J526" s="73"/>
      <c r="K526" s="4"/>
      <c r="L526" s="7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25"/>
      <c r="C527" s="25"/>
      <c r="D527" s="4"/>
      <c r="E527" s="4"/>
      <c r="F527" s="4"/>
      <c r="G527" s="25"/>
      <c r="H527" s="4"/>
      <c r="I527" s="72"/>
      <c r="J527" s="73"/>
      <c r="K527" s="4"/>
      <c r="L527" s="7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25"/>
      <c r="C528" s="25"/>
      <c r="D528" s="4"/>
      <c r="E528" s="4"/>
      <c r="F528" s="4"/>
      <c r="G528" s="25"/>
      <c r="H528" s="4"/>
      <c r="I528" s="72"/>
      <c r="J528" s="73"/>
      <c r="K528" s="4"/>
      <c r="L528" s="7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25"/>
      <c r="C529" s="25"/>
      <c r="D529" s="4"/>
      <c r="E529" s="4"/>
      <c r="F529" s="4"/>
      <c r="G529" s="25"/>
      <c r="H529" s="4"/>
      <c r="I529" s="72"/>
      <c r="J529" s="73"/>
      <c r="K529" s="4"/>
      <c r="L529" s="7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25"/>
      <c r="C530" s="25"/>
      <c r="D530" s="4"/>
      <c r="E530" s="4"/>
      <c r="F530" s="4"/>
      <c r="G530" s="25"/>
      <c r="H530" s="4"/>
      <c r="I530" s="72"/>
      <c r="J530" s="73"/>
      <c r="K530" s="4"/>
      <c r="L530" s="7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25"/>
      <c r="C531" s="25"/>
      <c r="D531" s="4"/>
      <c r="E531" s="4"/>
      <c r="F531" s="4"/>
      <c r="G531" s="25"/>
      <c r="H531" s="4"/>
      <c r="I531" s="72"/>
      <c r="J531" s="73"/>
      <c r="K531" s="4"/>
      <c r="L531" s="7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25"/>
      <c r="C532" s="25"/>
      <c r="D532" s="4"/>
      <c r="E532" s="4"/>
      <c r="F532" s="4"/>
      <c r="G532" s="25"/>
      <c r="H532" s="4"/>
      <c r="I532" s="72"/>
      <c r="J532" s="73"/>
      <c r="K532" s="4"/>
      <c r="L532" s="7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25"/>
      <c r="C533" s="25"/>
      <c r="D533" s="4"/>
      <c r="E533" s="4"/>
      <c r="F533" s="4"/>
      <c r="G533" s="25"/>
      <c r="H533" s="4"/>
      <c r="I533" s="72"/>
      <c r="J533" s="73"/>
      <c r="K533" s="4"/>
      <c r="L533" s="7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25"/>
      <c r="C534" s="25"/>
      <c r="D534" s="4"/>
      <c r="E534" s="4"/>
      <c r="F534" s="4"/>
      <c r="G534" s="25"/>
      <c r="H534" s="4"/>
      <c r="I534" s="72"/>
      <c r="J534" s="73"/>
      <c r="K534" s="4"/>
      <c r="L534" s="7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25"/>
      <c r="C535" s="25"/>
      <c r="D535" s="4"/>
      <c r="E535" s="4"/>
      <c r="F535" s="4"/>
      <c r="G535" s="25"/>
      <c r="H535" s="4"/>
      <c r="I535" s="72"/>
      <c r="J535" s="73"/>
      <c r="K535" s="4"/>
      <c r="L535" s="7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25"/>
      <c r="C536" s="25"/>
      <c r="D536" s="4"/>
      <c r="E536" s="4"/>
      <c r="F536" s="4"/>
      <c r="G536" s="25"/>
      <c r="H536" s="4"/>
      <c r="I536" s="72"/>
      <c r="J536" s="73"/>
      <c r="K536" s="4"/>
      <c r="L536" s="7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25"/>
      <c r="C537" s="25"/>
      <c r="D537" s="4"/>
      <c r="E537" s="4"/>
      <c r="F537" s="4"/>
      <c r="G537" s="25"/>
      <c r="H537" s="4"/>
      <c r="I537" s="72"/>
      <c r="J537" s="73"/>
      <c r="K537" s="4"/>
      <c r="L537" s="7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25"/>
      <c r="C538" s="25"/>
      <c r="D538" s="4"/>
      <c r="E538" s="4"/>
      <c r="F538" s="4"/>
      <c r="G538" s="25"/>
      <c r="H538" s="4"/>
      <c r="I538" s="72"/>
      <c r="J538" s="73"/>
      <c r="K538" s="4"/>
      <c r="L538" s="7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25"/>
      <c r="C539" s="25"/>
      <c r="D539" s="4"/>
      <c r="E539" s="4"/>
      <c r="F539" s="4"/>
      <c r="G539" s="25"/>
      <c r="H539" s="4"/>
      <c r="I539" s="72"/>
      <c r="J539" s="73"/>
      <c r="K539" s="4"/>
      <c r="L539" s="7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25"/>
      <c r="C540" s="25"/>
      <c r="D540" s="4"/>
      <c r="E540" s="4"/>
      <c r="F540" s="4"/>
      <c r="G540" s="25"/>
      <c r="H540" s="4"/>
      <c r="I540" s="72"/>
      <c r="J540" s="73"/>
      <c r="K540" s="4"/>
      <c r="L540" s="7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25"/>
      <c r="C541" s="25"/>
      <c r="D541" s="4"/>
      <c r="E541" s="4"/>
      <c r="F541" s="4"/>
      <c r="G541" s="25"/>
      <c r="H541" s="4"/>
      <c r="I541" s="72"/>
      <c r="J541" s="73"/>
      <c r="K541" s="4"/>
      <c r="L541" s="7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25"/>
      <c r="C542" s="25"/>
      <c r="D542" s="4"/>
      <c r="E542" s="4"/>
      <c r="F542" s="4"/>
      <c r="G542" s="25"/>
      <c r="H542" s="4"/>
      <c r="I542" s="72"/>
      <c r="J542" s="73"/>
      <c r="K542" s="4"/>
      <c r="L542" s="7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25"/>
      <c r="C543" s="25"/>
      <c r="D543" s="4"/>
      <c r="E543" s="4"/>
      <c r="F543" s="4"/>
      <c r="G543" s="25"/>
      <c r="H543" s="4"/>
      <c r="I543" s="72"/>
      <c r="J543" s="73"/>
      <c r="K543" s="4"/>
      <c r="L543" s="7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25"/>
      <c r="C544" s="25"/>
      <c r="D544" s="4"/>
      <c r="E544" s="4"/>
      <c r="F544" s="4"/>
      <c r="G544" s="25"/>
      <c r="H544" s="4"/>
      <c r="I544" s="72"/>
      <c r="J544" s="73"/>
      <c r="K544" s="4"/>
      <c r="L544" s="7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25"/>
      <c r="C545" s="25"/>
      <c r="D545" s="4"/>
      <c r="E545" s="4"/>
      <c r="F545" s="4"/>
      <c r="G545" s="25"/>
      <c r="H545" s="4"/>
      <c r="I545" s="72"/>
      <c r="J545" s="73"/>
      <c r="K545" s="4"/>
      <c r="L545" s="7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25"/>
      <c r="C546" s="25"/>
      <c r="D546" s="4"/>
      <c r="E546" s="4"/>
      <c r="F546" s="4"/>
      <c r="G546" s="25"/>
      <c r="H546" s="4"/>
      <c r="I546" s="72"/>
      <c r="J546" s="73"/>
      <c r="K546" s="4"/>
      <c r="L546" s="7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25"/>
      <c r="C547" s="25"/>
      <c r="D547" s="4"/>
      <c r="E547" s="4"/>
      <c r="F547" s="4"/>
      <c r="G547" s="25"/>
      <c r="H547" s="4"/>
      <c r="I547" s="72"/>
      <c r="J547" s="73"/>
      <c r="K547" s="4"/>
      <c r="L547" s="7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25"/>
      <c r="C548" s="25"/>
      <c r="D548" s="4"/>
      <c r="E548" s="4"/>
      <c r="F548" s="4"/>
      <c r="G548" s="25"/>
      <c r="H548" s="4"/>
      <c r="I548" s="72"/>
      <c r="J548" s="73"/>
      <c r="K548" s="4"/>
      <c r="L548" s="7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25"/>
      <c r="C549" s="25"/>
      <c r="D549" s="4"/>
      <c r="E549" s="4"/>
      <c r="F549" s="4"/>
      <c r="G549" s="25"/>
      <c r="H549" s="4"/>
      <c r="I549" s="72"/>
      <c r="J549" s="73"/>
      <c r="K549" s="4"/>
      <c r="L549" s="7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25"/>
      <c r="C550" s="25"/>
      <c r="D550" s="4"/>
      <c r="E550" s="4"/>
      <c r="F550" s="4"/>
      <c r="G550" s="25"/>
      <c r="H550" s="4"/>
      <c r="I550" s="72"/>
      <c r="J550" s="73"/>
      <c r="K550" s="4"/>
      <c r="L550" s="7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25"/>
      <c r="C551" s="25"/>
      <c r="D551" s="4"/>
      <c r="E551" s="4"/>
      <c r="F551" s="4"/>
      <c r="G551" s="25"/>
      <c r="H551" s="4"/>
      <c r="I551" s="72"/>
      <c r="J551" s="73"/>
      <c r="K551" s="4"/>
      <c r="L551" s="7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25"/>
      <c r="C552" s="25"/>
      <c r="D552" s="4"/>
      <c r="E552" s="4"/>
      <c r="F552" s="4"/>
      <c r="G552" s="25"/>
      <c r="H552" s="4"/>
      <c r="I552" s="72"/>
      <c r="J552" s="73"/>
      <c r="K552" s="4"/>
      <c r="L552" s="7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25"/>
      <c r="C553" s="25"/>
      <c r="D553" s="4"/>
      <c r="E553" s="4"/>
      <c r="F553" s="4"/>
      <c r="G553" s="25"/>
      <c r="H553" s="4"/>
      <c r="I553" s="72"/>
      <c r="J553" s="73"/>
      <c r="K553" s="4"/>
      <c r="L553" s="7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25"/>
      <c r="C554" s="25"/>
      <c r="D554" s="4"/>
      <c r="E554" s="4"/>
      <c r="F554" s="4"/>
      <c r="G554" s="25"/>
      <c r="H554" s="4"/>
      <c r="I554" s="72"/>
      <c r="J554" s="73"/>
      <c r="K554" s="4"/>
      <c r="L554" s="7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25"/>
      <c r="C555" s="25"/>
      <c r="D555" s="4"/>
      <c r="E555" s="4"/>
      <c r="F555" s="4"/>
      <c r="G555" s="25"/>
      <c r="H555" s="4"/>
      <c r="I555" s="72"/>
      <c r="J555" s="73"/>
      <c r="K555" s="4"/>
      <c r="L555" s="7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25"/>
      <c r="C556" s="25"/>
      <c r="D556" s="4"/>
      <c r="E556" s="4"/>
      <c r="F556" s="4"/>
      <c r="G556" s="25"/>
      <c r="H556" s="4"/>
      <c r="I556" s="72"/>
      <c r="J556" s="73"/>
      <c r="K556" s="4"/>
      <c r="L556" s="7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25"/>
      <c r="C557" s="25"/>
      <c r="D557" s="4"/>
      <c r="E557" s="4"/>
      <c r="F557" s="4"/>
      <c r="G557" s="25"/>
      <c r="H557" s="4"/>
      <c r="I557" s="72"/>
      <c r="J557" s="73"/>
      <c r="K557" s="4"/>
      <c r="L557" s="7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25"/>
      <c r="C558" s="25"/>
      <c r="D558" s="4"/>
      <c r="E558" s="4"/>
      <c r="F558" s="4"/>
      <c r="G558" s="25"/>
      <c r="H558" s="4"/>
      <c r="I558" s="72"/>
      <c r="J558" s="73"/>
      <c r="K558" s="4"/>
      <c r="L558" s="7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25"/>
      <c r="C559" s="25"/>
      <c r="D559" s="4"/>
      <c r="E559" s="4"/>
      <c r="F559" s="4"/>
      <c r="G559" s="25"/>
      <c r="H559" s="4"/>
      <c r="I559" s="72"/>
      <c r="J559" s="73"/>
      <c r="K559" s="4"/>
      <c r="L559" s="7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25"/>
      <c r="C560" s="25"/>
      <c r="D560" s="4"/>
      <c r="E560" s="4"/>
      <c r="F560" s="4"/>
      <c r="G560" s="25"/>
      <c r="H560" s="4"/>
      <c r="I560" s="72"/>
      <c r="J560" s="73"/>
      <c r="K560" s="4"/>
      <c r="L560" s="7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25"/>
      <c r="C561" s="25"/>
      <c r="D561" s="4"/>
      <c r="E561" s="4"/>
      <c r="F561" s="4"/>
      <c r="G561" s="25"/>
      <c r="H561" s="4"/>
      <c r="I561" s="72"/>
      <c r="J561" s="73"/>
      <c r="K561" s="4"/>
      <c r="L561" s="7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25"/>
      <c r="C562" s="25"/>
      <c r="D562" s="4"/>
      <c r="E562" s="4"/>
      <c r="F562" s="4"/>
      <c r="G562" s="25"/>
      <c r="H562" s="4"/>
      <c r="I562" s="72"/>
      <c r="J562" s="73"/>
      <c r="K562" s="4"/>
      <c r="L562" s="7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25"/>
      <c r="C563" s="25"/>
      <c r="D563" s="4"/>
      <c r="E563" s="4"/>
      <c r="F563" s="4"/>
      <c r="G563" s="25"/>
      <c r="H563" s="4"/>
      <c r="I563" s="72"/>
      <c r="J563" s="73"/>
      <c r="K563" s="4"/>
      <c r="L563" s="7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25"/>
      <c r="C564" s="25"/>
      <c r="D564" s="4"/>
      <c r="E564" s="4"/>
      <c r="F564" s="4"/>
      <c r="G564" s="25"/>
      <c r="H564" s="4"/>
      <c r="I564" s="72"/>
      <c r="J564" s="73"/>
      <c r="K564" s="4"/>
      <c r="L564" s="7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25"/>
      <c r="C565" s="25"/>
      <c r="D565" s="4"/>
      <c r="E565" s="4"/>
      <c r="F565" s="4"/>
      <c r="G565" s="25"/>
      <c r="H565" s="4"/>
      <c r="I565" s="72"/>
      <c r="J565" s="73"/>
      <c r="K565" s="4"/>
      <c r="L565" s="7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25"/>
      <c r="C566" s="25"/>
      <c r="D566" s="4"/>
      <c r="E566" s="4"/>
      <c r="F566" s="4"/>
      <c r="G566" s="25"/>
      <c r="H566" s="4"/>
      <c r="I566" s="72"/>
      <c r="J566" s="73"/>
      <c r="K566" s="4"/>
      <c r="L566" s="7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25"/>
      <c r="C567" s="25"/>
      <c r="D567" s="4"/>
      <c r="E567" s="4"/>
      <c r="F567" s="4"/>
      <c r="G567" s="25"/>
      <c r="H567" s="4"/>
      <c r="I567" s="72"/>
      <c r="J567" s="73"/>
      <c r="K567" s="4"/>
      <c r="L567" s="7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25"/>
      <c r="C568" s="25"/>
      <c r="D568" s="4"/>
      <c r="E568" s="4"/>
      <c r="F568" s="4"/>
      <c r="G568" s="25"/>
      <c r="H568" s="4"/>
      <c r="I568" s="72"/>
      <c r="J568" s="73"/>
      <c r="K568" s="4"/>
      <c r="L568" s="7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25"/>
      <c r="C569" s="25"/>
      <c r="D569" s="4"/>
      <c r="E569" s="4"/>
      <c r="F569" s="4"/>
      <c r="G569" s="25"/>
      <c r="H569" s="4"/>
      <c r="I569" s="72"/>
      <c r="J569" s="73"/>
      <c r="K569" s="4"/>
      <c r="L569" s="7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25"/>
      <c r="C570" s="25"/>
      <c r="D570" s="4"/>
      <c r="E570" s="4"/>
      <c r="F570" s="4"/>
      <c r="G570" s="25"/>
      <c r="H570" s="4"/>
      <c r="I570" s="72"/>
      <c r="J570" s="73"/>
      <c r="K570" s="4"/>
      <c r="L570" s="7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25"/>
      <c r="C571" s="25"/>
      <c r="D571" s="4"/>
      <c r="E571" s="4"/>
      <c r="F571" s="4"/>
      <c r="G571" s="25"/>
      <c r="H571" s="4"/>
      <c r="I571" s="72"/>
      <c r="J571" s="73"/>
      <c r="K571" s="4"/>
      <c r="L571" s="7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25"/>
      <c r="C572" s="25"/>
      <c r="D572" s="4"/>
      <c r="E572" s="4"/>
      <c r="F572" s="4"/>
      <c r="G572" s="25"/>
      <c r="H572" s="4"/>
      <c r="I572" s="72"/>
      <c r="J572" s="73"/>
      <c r="K572" s="4"/>
      <c r="L572" s="7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25"/>
      <c r="C573" s="25"/>
      <c r="D573" s="4"/>
      <c r="E573" s="4"/>
      <c r="F573" s="4"/>
      <c r="G573" s="25"/>
      <c r="H573" s="4"/>
      <c r="I573" s="72"/>
      <c r="J573" s="73"/>
      <c r="K573" s="4"/>
      <c r="L573" s="7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25"/>
      <c r="C574" s="25"/>
      <c r="D574" s="4"/>
      <c r="E574" s="4"/>
      <c r="F574" s="4"/>
      <c r="G574" s="25"/>
      <c r="H574" s="4"/>
      <c r="I574" s="72"/>
      <c r="J574" s="73"/>
      <c r="K574" s="4"/>
      <c r="L574" s="7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25"/>
      <c r="C575" s="25"/>
      <c r="D575" s="4"/>
      <c r="E575" s="4"/>
      <c r="F575" s="4"/>
      <c r="G575" s="25"/>
      <c r="H575" s="4"/>
      <c r="I575" s="72"/>
      <c r="J575" s="73"/>
      <c r="K575" s="4"/>
      <c r="L575" s="7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25"/>
      <c r="C576" s="25"/>
      <c r="D576" s="4"/>
      <c r="E576" s="4"/>
      <c r="F576" s="4"/>
      <c r="G576" s="25"/>
      <c r="H576" s="4"/>
      <c r="I576" s="72"/>
      <c r="J576" s="73"/>
      <c r="K576" s="4"/>
      <c r="L576" s="7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25"/>
      <c r="C577" s="25"/>
      <c r="D577" s="4"/>
      <c r="E577" s="4"/>
      <c r="F577" s="4"/>
      <c r="G577" s="25"/>
      <c r="H577" s="4"/>
      <c r="I577" s="72"/>
      <c r="J577" s="73"/>
      <c r="K577" s="4"/>
      <c r="L577" s="7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25"/>
      <c r="C578" s="25"/>
      <c r="D578" s="4"/>
      <c r="E578" s="4"/>
      <c r="F578" s="4"/>
      <c r="G578" s="25"/>
      <c r="H578" s="4"/>
      <c r="I578" s="72"/>
      <c r="J578" s="73"/>
      <c r="K578" s="4"/>
      <c r="L578" s="7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25"/>
      <c r="C579" s="25"/>
      <c r="D579" s="4"/>
      <c r="E579" s="4"/>
      <c r="F579" s="4"/>
      <c r="G579" s="25"/>
      <c r="H579" s="4"/>
      <c r="I579" s="72"/>
      <c r="J579" s="73"/>
      <c r="K579" s="4"/>
      <c r="L579" s="7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25"/>
      <c r="C580" s="25"/>
      <c r="D580" s="4"/>
      <c r="E580" s="4"/>
      <c r="F580" s="4"/>
      <c r="G580" s="25"/>
      <c r="H580" s="4"/>
      <c r="I580" s="72"/>
      <c r="J580" s="73"/>
      <c r="K580" s="4"/>
      <c r="L580" s="7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25"/>
      <c r="C581" s="25"/>
      <c r="D581" s="4"/>
      <c r="E581" s="4"/>
      <c r="F581" s="4"/>
      <c r="G581" s="25"/>
      <c r="H581" s="4"/>
      <c r="I581" s="72"/>
      <c r="J581" s="73"/>
      <c r="K581" s="4"/>
      <c r="L581" s="7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25"/>
      <c r="C582" s="25"/>
      <c r="D582" s="4"/>
      <c r="E582" s="4"/>
      <c r="F582" s="4"/>
      <c r="G582" s="25"/>
      <c r="H582" s="4"/>
      <c r="I582" s="72"/>
      <c r="J582" s="73"/>
      <c r="K582" s="4"/>
      <c r="L582" s="7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25"/>
      <c r="C583" s="25"/>
      <c r="D583" s="4"/>
      <c r="E583" s="4"/>
      <c r="F583" s="4"/>
      <c r="G583" s="25"/>
      <c r="H583" s="4"/>
      <c r="I583" s="72"/>
      <c r="J583" s="73"/>
      <c r="K583" s="4"/>
      <c r="L583" s="7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25"/>
      <c r="C584" s="25"/>
      <c r="D584" s="4"/>
      <c r="E584" s="4"/>
      <c r="F584" s="4"/>
      <c r="G584" s="25"/>
      <c r="H584" s="4"/>
      <c r="I584" s="72"/>
      <c r="J584" s="73"/>
      <c r="K584" s="4"/>
      <c r="L584" s="7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25"/>
      <c r="C585" s="25"/>
      <c r="D585" s="4"/>
      <c r="E585" s="4"/>
      <c r="F585" s="4"/>
      <c r="G585" s="25"/>
      <c r="H585" s="4"/>
      <c r="I585" s="72"/>
      <c r="J585" s="73"/>
      <c r="K585" s="4"/>
      <c r="L585" s="7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25"/>
      <c r="C586" s="25"/>
      <c r="D586" s="4"/>
      <c r="E586" s="4"/>
      <c r="F586" s="4"/>
      <c r="G586" s="25"/>
      <c r="H586" s="4"/>
      <c r="I586" s="72"/>
      <c r="J586" s="73"/>
      <c r="K586" s="4"/>
      <c r="L586" s="7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25"/>
      <c r="C587" s="25"/>
      <c r="D587" s="4"/>
      <c r="E587" s="4"/>
      <c r="F587" s="4"/>
      <c r="G587" s="25"/>
      <c r="H587" s="4"/>
      <c r="I587" s="72"/>
      <c r="J587" s="73"/>
      <c r="K587" s="4"/>
      <c r="L587" s="7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25"/>
      <c r="C588" s="25"/>
      <c r="D588" s="4"/>
      <c r="E588" s="4"/>
      <c r="F588" s="4"/>
      <c r="G588" s="25"/>
      <c r="H588" s="4"/>
      <c r="I588" s="72"/>
      <c r="J588" s="73"/>
      <c r="K588" s="4"/>
      <c r="L588" s="7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25"/>
      <c r="C589" s="25"/>
      <c r="D589" s="4"/>
      <c r="E589" s="4"/>
      <c r="F589" s="4"/>
      <c r="G589" s="25"/>
      <c r="H589" s="4"/>
      <c r="I589" s="72"/>
      <c r="J589" s="73"/>
      <c r="K589" s="4"/>
      <c r="L589" s="7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25"/>
      <c r="C590" s="25"/>
      <c r="D590" s="4"/>
      <c r="E590" s="4"/>
      <c r="F590" s="4"/>
      <c r="G590" s="25"/>
      <c r="H590" s="4"/>
      <c r="I590" s="72"/>
      <c r="J590" s="73"/>
      <c r="K590" s="4"/>
      <c r="L590" s="7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25"/>
      <c r="C591" s="25"/>
      <c r="D591" s="4"/>
      <c r="E591" s="4"/>
      <c r="F591" s="4"/>
      <c r="G591" s="25"/>
      <c r="H591" s="4"/>
      <c r="I591" s="72"/>
      <c r="J591" s="73"/>
      <c r="K591" s="4"/>
      <c r="L591" s="7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25"/>
      <c r="C592" s="25"/>
      <c r="D592" s="4"/>
      <c r="E592" s="4"/>
      <c r="F592" s="4"/>
      <c r="G592" s="25"/>
      <c r="H592" s="4"/>
      <c r="I592" s="72"/>
      <c r="J592" s="73"/>
      <c r="K592" s="4"/>
      <c r="L592" s="7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25"/>
      <c r="C593" s="25"/>
      <c r="D593" s="4"/>
      <c r="E593" s="4"/>
      <c r="F593" s="4"/>
      <c r="G593" s="25"/>
      <c r="H593" s="4"/>
      <c r="I593" s="72"/>
      <c r="J593" s="73"/>
      <c r="K593" s="4"/>
      <c r="L593" s="7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25"/>
      <c r="C594" s="25"/>
      <c r="D594" s="4"/>
      <c r="E594" s="4"/>
      <c r="F594" s="4"/>
      <c r="G594" s="25"/>
      <c r="H594" s="4"/>
      <c r="I594" s="72"/>
      <c r="J594" s="73"/>
      <c r="K594" s="4"/>
      <c r="L594" s="7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25"/>
      <c r="C595" s="25"/>
      <c r="D595" s="4"/>
      <c r="E595" s="4"/>
      <c r="F595" s="4"/>
      <c r="G595" s="25"/>
      <c r="H595" s="4"/>
      <c r="I595" s="72"/>
      <c r="J595" s="73"/>
      <c r="K595" s="4"/>
      <c r="L595" s="7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25"/>
      <c r="C596" s="25"/>
      <c r="D596" s="4"/>
      <c r="E596" s="4"/>
      <c r="F596" s="4"/>
      <c r="G596" s="25"/>
      <c r="H596" s="4"/>
      <c r="I596" s="72"/>
      <c r="J596" s="73"/>
      <c r="K596" s="4"/>
      <c r="L596" s="7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25"/>
      <c r="C597" s="25"/>
      <c r="D597" s="4"/>
      <c r="E597" s="4"/>
      <c r="F597" s="4"/>
      <c r="G597" s="25"/>
      <c r="H597" s="4"/>
      <c r="I597" s="72"/>
      <c r="J597" s="73"/>
      <c r="K597" s="4"/>
      <c r="L597" s="7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25"/>
      <c r="C598" s="25"/>
      <c r="D598" s="4"/>
      <c r="E598" s="4"/>
      <c r="F598" s="4"/>
      <c r="G598" s="25"/>
      <c r="H598" s="4"/>
      <c r="I598" s="72"/>
      <c r="J598" s="73"/>
      <c r="K598" s="4"/>
      <c r="L598" s="7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25"/>
      <c r="C599" s="25"/>
      <c r="D599" s="4"/>
      <c r="E599" s="4"/>
      <c r="F599" s="4"/>
      <c r="G599" s="25"/>
      <c r="H599" s="4"/>
      <c r="I599" s="72"/>
      <c r="J599" s="73"/>
      <c r="K599" s="4"/>
      <c r="L599" s="7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25"/>
      <c r="C600" s="25"/>
      <c r="D600" s="4"/>
      <c r="E600" s="4"/>
      <c r="F600" s="4"/>
      <c r="G600" s="25"/>
      <c r="H600" s="4"/>
      <c r="I600" s="72"/>
      <c r="J600" s="73"/>
      <c r="K600" s="4"/>
      <c r="L600" s="7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25"/>
      <c r="C601" s="25"/>
      <c r="D601" s="4"/>
      <c r="E601" s="4"/>
      <c r="F601" s="4"/>
      <c r="G601" s="25"/>
      <c r="H601" s="4"/>
      <c r="I601" s="72"/>
      <c r="J601" s="73"/>
      <c r="K601" s="4"/>
      <c r="L601" s="7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25"/>
      <c r="C602" s="25"/>
      <c r="D602" s="4"/>
      <c r="E602" s="4"/>
      <c r="F602" s="4"/>
      <c r="G602" s="25"/>
      <c r="H602" s="4"/>
      <c r="I602" s="72"/>
      <c r="J602" s="73"/>
      <c r="K602" s="4"/>
      <c r="L602" s="7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25"/>
      <c r="C603" s="25"/>
      <c r="D603" s="4"/>
      <c r="E603" s="4"/>
      <c r="F603" s="4"/>
      <c r="G603" s="25"/>
      <c r="H603" s="4"/>
      <c r="I603" s="72"/>
      <c r="J603" s="73"/>
      <c r="K603" s="4"/>
      <c r="L603" s="7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25"/>
      <c r="C604" s="25"/>
      <c r="D604" s="4"/>
      <c r="E604" s="4"/>
      <c r="F604" s="4"/>
      <c r="G604" s="25"/>
      <c r="H604" s="4"/>
      <c r="I604" s="72"/>
      <c r="J604" s="73"/>
      <c r="K604" s="4"/>
      <c r="L604" s="7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25"/>
      <c r="C605" s="25"/>
      <c r="D605" s="4"/>
      <c r="E605" s="4"/>
      <c r="F605" s="4"/>
      <c r="G605" s="25"/>
      <c r="H605" s="4"/>
      <c r="I605" s="72"/>
      <c r="J605" s="73"/>
      <c r="K605" s="4"/>
      <c r="L605" s="7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25"/>
      <c r="C606" s="25"/>
      <c r="D606" s="4"/>
      <c r="E606" s="4"/>
      <c r="F606" s="4"/>
      <c r="G606" s="25"/>
      <c r="H606" s="4"/>
      <c r="I606" s="72"/>
      <c r="J606" s="73"/>
      <c r="K606" s="4"/>
      <c r="L606" s="7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25"/>
      <c r="C607" s="25"/>
      <c r="D607" s="4"/>
      <c r="E607" s="4"/>
      <c r="F607" s="4"/>
      <c r="G607" s="25"/>
      <c r="H607" s="4"/>
      <c r="I607" s="72"/>
      <c r="J607" s="73"/>
      <c r="K607" s="4"/>
      <c r="L607" s="7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25"/>
      <c r="C608" s="25"/>
      <c r="D608" s="4"/>
      <c r="E608" s="4"/>
      <c r="F608" s="4"/>
      <c r="G608" s="25"/>
      <c r="H608" s="4"/>
      <c r="I608" s="72"/>
      <c r="J608" s="73"/>
      <c r="K608" s="4"/>
      <c r="L608" s="7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25"/>
      <c r="C609" s="25"/>
      <c r="D609" s="4"/>
      <c r="E609" s="4"/>
      <c r="F609" s="4"/>
      <c r="G609" s="25"/>
      <c r="H609" s="4"/>
      <c r="I609" s="72"/>
      <c r="J609" s="73"/>
      <c r="K609" s="4"/>
      <c r="L609" s="7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25"/>
      <c r="C610" s="25"/>
      <c r="D610" s="4"/>
      <c r="E610" s="4"/>
      <c r="F610" s="4"/>
      <c r="G610" s="25"/>
      <c r="H610" s="4"/>
      <c r="I610" s="72"/>
      <c r="J610" s="73"/>
      <c r="K610" s="4"/>
      <c r="L610" s="7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25"/>
      <c r="C611" s="25"/>
      <c r="D611" s="4"/>
      <c r="E611" s="4"/>
      <c r="F611" s="4"/>
      <c r="G611" s="25"/>
      <c r="H611" s="4"/>
      <c r="I611" s="72"/>
      <c r="J611" s="73"/>
      <c r="K611" s="4"/>
      <c r="L611" s="7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25"/>
      <c r="C612" s="25"/>
      <c r="D612" s="4"/>
      <c r="E612" s="4"/>
      <c r="F612" s="4"/>
      <c r="G612" s="25"/>
      <c r="H612" s="4"/>
      <c r="I612" s="72"/>
      <c r="J612" s="73"/>
      <c r="K612" s="4"/>
      <c r="L612" s="7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25"/>
      <c r="C613" s="25"/>
      <c r="D613" s="4"/>
      <c r="E613" s="4"/>
      <c r="F613" s="4"/>
      <c r="G613" s="25"/>
      <c r="H613" s="4"/>
      <c r="I613" s="72"/>
      <c r="J613" s="73"/>
      <c r="K613" s="4"/>
      <c r="L613" s="7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25"/>
      <c r="C614" s="25"/>
      <c r="D614" s="4"/>
      <c r="E614" s="4"/>
      <c r="F614" s="4"/>
      <c r="G614" s="25"/>
      <c r="H614" s="4"/>
      <c r="I614" s="72"/>
      <c r="J614" s="73"/>
      <c r="K614" s="4"/>
      <c r="L614" s="7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25"/>
      <c r="C615" s="25"/>
      <c r="D615" s="4"/>
      <c r="E615" s="4"/>
      <c r="F615" s="4"/>
      <c r="G615" s="25"/>
      <c r="H615" s="4"/>
      <c r="I615" s="72"/>
      <c r="J615" s="73"/>
      <c r="K615" s="4"/>
      <c r="L615" s="7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25"/>
      <c r="C616" s="25"/>
      <c r="D616" s="4"/>
      <c r="E616" s="4"/>
      <c r="F616" s="4"/>
      <c r="G616" s="25"/>
      <c r="H616" s="4"/>
      <c r="I616" s="72"/>
      <c r="J616" s="73"/>
      <c r="K616" s="4"/>
      <c r="L616" s="7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25"/>
      <c r="C617" s="25"/>
      <c r="D617" s="4"/>
      <c r="E617" s="4"/>
      <c r="F617" s="4"/>
      <c r="G617" s="25"/>
      <c r="H617" s="4"/>
      <c r="I617" s="72"/>
      <c r="J617" s="73"/>
      <c r="K617" s="4"/>
      <c r="L617" s="7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25"/>
      <c r="C618" s="25"/>
      <c r="D618" s="4"/>
      <c r="E618" s="4"/>
      <c r="F618" s="4"/>
      <c r="G618" s="25"/>
      <c r="H618" s="4"/>
      <c r="I618" s="72"/>
      <c r="J618" s="73"/>
      <c r="K618" s="4"/>
      <c r="L618" s="7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25"/>
      <c r="C619" s="25"/>
      <c r="D619" s="4"/>
      <c r="E619" s="4"/>
      <c r="F619" s="4"/>
      <c r="G619" s="25"/>
      <c r="H619" s="4"/>
      <c r="I619" s="72"/>
      <c r="J619" s="73"/>
      <c r="K619" s="4"/>
      <c r="L619" s="7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25"/>
      <c r="C620" s="25"/>
      <c r="D620" s="4"/>
      <c r="E620" s="4"/>
      <c r="F620" s="4"/>
      <c r="G620" s="25"/>
      <c r="H620" s="4"/>
      <c r="I620" s="72"/>
      <c r="J620" s="73"/>
      <c r="K620" s="4"/>
      <c r="L620" s="7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25"/>
      <c r="C621" s="25"/>
      <c r="D621" s="4"/>
      <c r="E621" s="4"/>
      <c r="F621" s="4"/>
      <c r="G621" s="25"/>
      <c r="H621" s="4"/>
      <c r="I621" s="72"/>
      <c r="J621" s="73"/>
      <c r="K621" s="4"/>
      <c r="L621" s="7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25"/>
      <c r="C622" s="25"/>
      <c r="D622" s="4"/>
      <c r="E622" s="4"/>
      <c r="F622" s="4"/>
      <c r="G622" s="25"/>
      <c r="H622" s="4"/>
      <c r="I622" s="72"/>
      <c r="J622" s="73"/>
      <c r="K622" s="4"/>
      <c r="L622" s="7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25"/>
      <c r="C623" s="25"/>
      <c r="D623" s="4"/>
      <c r="E623" s="4"/>
      <c r="F623" s="4"/>
      <c r="G623" s="25"/>
      <c r="H623" s="4"/>
      <c r="I623" s="72"/>
      <c r="J623" s="73"/>
      <c r="K623" s="4"/>
      <c r="L623" s="7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25"/>
      <c r="C624" s="25"/>
      <c r="D624" s="4"/>
      <c r="E624" s="4"/>
      <c r="F624" s="4"/>
      <c r="G624" s="25"/>
      <c r="H624" s="4"/>
      <c r="I624" s="72"/>
      <c r="J624" s="73"/>
      <c r="K624" s="4"/>
      <c r="L624" s="7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25"/>
      <c r="C625" s="25"/>
      <c r="D625" s="4"/>
      <c r="E625" s="4"/>
      <c r="F625" s="4"/>
      <c r="G625" s="25"/>
      <c r="H625" s="4"/>
      <c r="I625" s="72"/>
      <c r="J625" s="73"/>
      <c r="K625" s="4"/>
      <c r="L625" s="7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25"/>
      <c r="C626" s="25"/>
      <c r="D626" s="4"/>
      <c r="E626" s="4"/>
      <c r="F626" s="4"/>
      <c r="G626" s="25"/>
      <c r="H626" s="4"/>
      <c r="I626" s="72"/>
      <c r="J626" s="73"/>
      <c r="K626" s="4"/>
      <c r="L626" s="7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25"/>
      <c r="C627" s="25"/>
      <c r="D627" s="4"/>
      <c r="E627" s="4"/>
      <c r="F627" s="4"/>
      <c r="G627" s="25"/>
      <c r="H627" s="4"/>
      <c r="I627" s="72"/>
      <c r="J627" s="73"/>
      <c r="K627" s="4"/>
      <c r="L627" s="7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25"/>
      <c r="C628" s="25"/>
      <c r="D628" s="4"/>
      <c r="E628" s="4"/>
      <c r="F628" s="4"/>
      <c r="G628" s="25"/>
      <c r="H628" s="4"/>
      <c r="I628" s="72"/>
      <c r="J628" s="73"/>
      <c r="K628" s="4"/>
      <c r="L628" s="7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25"/>
      <c r="C629" s="25"/>
      <c r="D629" s="4"/>
      <c r="E629" s="4"/>
      <c r="F629" s="4"/>
      <c r="G629" s="25"/>
      <c r="H629" s="4"/>
      <c r="I629" s="72"/>
      <c r="J629" s="73"/>
      <c r="K629" s="4"/>
      <c r="L629" s="7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25"/>
      <c r="C630" s="25"/>
      <c r="D630" s="4"/>
      <c r="E630" s="4"/>
      <c r="F630" s="4"/>
      <c r="G630" s="25"/>
      <c r="H630" s="4"/>
      <c r="I630" s="72"/>
      <c r="J630" s="73"/>
      <c r="K630" s="4"/>
      <c r="L630" s="7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25"/>
      <c r="C631" s="25"/>
      <c r="D631" s="4"/>
      <c r="E631" s="4"/>
      <c r="F631" s="4"/>
      <c r="G631" s="25"/>
      <c r="H631" s="4"/>
      <c r="I631" s="72"/>
      <c r="J631" s="73"/>
      <c r="K631" s="4"/>
      <c r="L631" s="7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25"/>
      <c r="C632" s="25"/>
      <c r="D632" s="4"/>
      <c r="E632" s="4"/>
      <c r="F632" s="4"/>
      <c r="G632" s="25"/>
      <c r="H632" s="4"/>
      <c r="I632" s="72"/>
      <c r="J632" s="73"/>
      <c r="K632" s="4"/>
      <c r="L632" s="7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25"/>
      <c r="C633" s="25"/>
      <c r="D633" s="4"/>
      <c r="E633" s="4"/>
      <c r="F633" s="4"/>
      <c r="G633" s="25"/>
      <c r="H633" s="4"/>
      <c r="I633" s="72"/>
      <c r="J633" s="73"/>
      <c r="K633" s="4"/>
      <c r="L633" s="7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25"/>
      <c r="C634" s="25"/>
      <c r="D634" s="4"/>
      <c r="E634" s="4"/>
      <c r="F634" s="4"/>
      <c r="G634" s="25"/>
      <c r="H634" s="4"/>
      <c r="I634" s="72"/>
      <c r="J634" s="73"/>
      <c r="K634" s="4"/>
      <c r="L634" s="7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25"/>
      <c r="C635" s="25"/>
      <c r="D635" s="4"/>
      <c r="E635" s="4"/>
      <c r="F635" s="4"/>
      <c r="G635" s="25"/>
      <c r="H635" s="4"/>
      <c r="I635" s="72"/>
      <c r="J635" s="73"/>
      <c r="K635" s="4"/>
      <c r="L635" s="7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25"/>
      <c r="C636" s="25"/>
      <c r="D636" s="4"/>
      <c r="E636" s="4"/>
      <c r="F636" s="4"/>
      <c r="G636" s="25"/>
      <c r="H636" s="4"/>
      <c r="I636" s="72"/>
      <c r="J636" s="73"/>
      <c r="K636" s="4"/>
      <c r="L636" s="7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25"/>
      <c r="C637" s="25"/>
      <c r="D637" s="4"/>
      <c r="E637" s="4"/>
      <c r="F637" s="4"/>
      <c r="G637" s="25"/>
      <c r="H637" s="4"/>
      <c r="I637" s="72"/>
      <c r="J637" s="73"/>
      <c r="K637" s="4"/>
      <c r="L637" s="7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25"/>
      <c r="C638" s="25"/>
      <c r="D638" s="4"/>
      <c r="E638" s="4"/>
      <c r="F638" s="4"/>
      <c r="G638" s="25"/>
      <c r="H638" s="4"/>
      <c r="I638" s="72"/>
      <c r="J638" s="73"/>
      <c r="K638" s="4"/>
      <c r="L638" s="7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25"/>
      <c r="C639" s="25"/>
      <c r="D639" s="4"/>
      <c r="E639" s="4"/>
      <c r="F639" s="4"/>
      <c r="G639" s="25"/>
      <c r="H639" s="4"/>
      <c r="I639" s="72"/>
      <c r="J639" s="73"/>
      <c r="K639" s="4"/>
      <c r="L639" s="7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25"/>
      <c r="C640" s="25"/>
      <c r="D640" s="4"/>
      <c r="E640" s="4"/>
      <c r="F640" s="4"/>
      <c r="G640" s="25"/>
      <c r="H640" s="4"/>
      <c r="I640" s="72"/>
      <c r="J640" s="73"/>
      <c r="K640" s="4"/>
      <c r="L640" s="7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25"/>
      <c r="C641" s="25"/>
      <c r="D641" s="4"/>
      <c r="E641" s="4"/>
      <c r="F641" s="4"/>
      <c r="G641" s="25"/>
      <c r="H641" s="4"/>
      <c r="I641" s="72"/>
      <c r="J641" s="73"/>
      <c r="K641" s="4"/>
      <c r="L641" s="7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25"/>
      <c r="C642" s="25"/>
      <c r="D642" s="4"/>
      <c r="E642" s="4"/>
      <c r="F642" s="4"/>
      <c r="G642" s="25"/>
      <c r="H642" s="4"/>
      <c r="I642" s="72"/>
      <c r="J642" s="73"/>
      <c r="K642" s="4"/>
      <c r="L642" s="7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25"/>
      <c r="C643" s="25"/>
      <c r="D643" s="4"/>
      <c r="E643" s="4"/>
      <c r="F643" s="4"/>
      <c r="G643" s="25"/>
      <c r="H643" s="4"/>
      <c r="I643" s="72"/>
      <c r="J643" s="73"/>
      <c r="K643" s="4"/>
      <c r="L643" s="7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25"/>
      <c r="C644" s="25"/>
      <c r="D644" s="4"/>
      <c r="E644" s="4"/>
      <c r="F644" s="4"/>
      <c r="G644" s="25"/>
      <c r="H644" s="4"/>
      <c r="I644" s="72"/>
      <c r="J644" s="73"/>
      <c r="K644" s="4"/>
      <c r="L644" s="7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25"/>
      <c r="C645" s="25"/>
      <c r="D645" s="4"/>
      <c r="E645" s="4"/>
      <c r="F645" s="4"/>
      <c r="G645" s="25"/>
      <c r="H645" s="4"/>
      <c r="I645" s="72"/>
      <c r="J645" s="73"/>
      <c r="K645" s="4"/>
      <c r="L645" s="7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25"/>
      <c r="C646" s="25"/>
      <c r="D646" s="4"/>
      <c r="E646" s="4"/>
      <c r="F646" s="4"/>
      <c r="G646" s="25"/>
      <c r="H646" s="4"/>
      <c r="I646" s="72"/>
      <c r="J646" s="73"/>
      <c r="K646" s="4"/>
      <c r="L646" s="7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25"/>
      <c r="C647" s="25"/>
      <c r="D647" s="4"/>
      <c r="E647" s="4"/>
      <c r="F647" s="4"/>
      <c r="G647" s="25"/>
      <c r="H647" s="4"/>
      <c r="I647" s="72"/>
      <c r="J647" s="73"/>
      <c r="K647" s="4"/>
      <c r="L647" s="7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25"/>
      <c r="C648" s="25"/>
      <c r="D648" s="4"/>
      <c r="E648" s="4"/>
      <c r="F648" s="4"/>
      <c r="G648" s="25"/>
      <c r="H648" s="4"/>
      <c r="I648" s="72"/>
      <c r="J648" s="73"/>
      <c r="K648" s="4"/>
      <c r="L648" s="7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25"/>
      <c r="C649" s="25"/>
      <c r="D649" s="4"/>
      <c r="E649" s="4"/>
      <c r="F649" s="4"/>
      <c r="G649" s="25"/>
      <c r="H649" s="4"/>
      <c r="I649" s="72"/>
      <c r="J649" s="73"/>
      <c r="K649" s="4"/>
      <c r="L649" s="7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25"/>
      <c r="C650" s="25"/>
      <c r="D650" s="4"/>
      <c r="E650" s="4"/>
      <c r="F650" s="4"/>
      <c r="G650" s="25"/>
      <c r="H650" s="4"/>
      <c r="I650" s="72"/>
      <c r="J650" s="73"/>
      <c r="K650" s="4"/>
      <c r="L650" s="7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25"/>
      <c r="C651" s="25"/>
      <c r="D651" s="4"/>
      <c r="E651" s="4"/>
      <c r="F651" s="4"/>
      <c r="G651" s="25"/>
      <c r="H651" s="4"/>
      <c r="I651" s="72"/>
      <c r="J651" s="73"/>
      <c r="K651" s="4"/>
      <c r="L651" s="7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25"/>
      <c r="C652" s="25"/>
      <c r="D652" s="4"/>
      <c r="E652" s="4"/>
      <c r="F652" s="4"/>
      <c r="G652" s="25"/>
      <c r="H652" s="4"/>
      <c r="I652" s="72"/>
      <c r="J652" s="73"/>
      <c r="K652" s="4"/>
      <c r="L652" s="7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25"/>
      <c r="C653" s="25"/>
      <c r="D653" s="4"/>
      <c r="E653" s="4"/>
      <c r="F653" s="4"/>
      <c r="G653" s="25"/>
      <c r="H653" s="4"/>
      <c r="I653" s="72"/>
      <c r="J653" s="73"/>
      <c r="K653" s="4"/>
      <c r="L653" s="7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25"/>
      <c r="C654" s="25"/>
      <c r="D654" s="4"/>
      <c r="E654" s="4"/>
      <c r="F654" s="4"/>
      <c r="G654" s="25"/>
      <c r="H654" s="4"/>
      <c r="I654" s="72"/>
      <c r="J654" s="73"/>
      <c r="K654" s="4"/>
      <c r="L654" s="7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25"/>
      <c r="C655" s="25"/>
      <c r="D655" s="4"/>
      <c r="E655" s="4"/>
      <c r="F655" s="4"/>
      <c r="G655" s="25"/>
      <c r="H655" s="4"/>
      <c r="I655" s="72"/>
      <c r="J655" s="73"/>
      <c r="K655" s="4"/>
      <c r="L655" s="7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25"/>
      <c r="C656" s="25"/>
      <c r="D656" s="4"/>
      <c r="E656" s="4"/>
      <c r="F656" s="4"/>
      <c r="G656" s="25"/>
      <c r="H656" s="4"/>
      <c r="I656" s="72"/>
      <c r="J656" s="73"/>
      <c r="K656" s="4"/>
      <c r="L656" s="7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25"/>
      <c r="C657" s="25"/>
      <c r="D657" s="4"/>
      <c r="E657" s="4"/>
      <c r="F657" s="4"/>
      <c r="G657" s="25"/>
      <c r="H657" s="4"/>
      <c r="I657" s="72"/>
      <c r="J657" s="73"/>
      <c r="K657" s="4"/>
      <c r="L657" s="7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25"/>
      <c r="C658" s="25"/>
      <c r="D658" s="4"/>
      <c r="E658" s="4"/>
      <c r="F658" s="4"/>
      <c r="G658" s="25"/>
      <c r="H658" s="4"/>
      <c r="I658" s="72"/>
      <c r="J658" s="73"/>
      <c r="K658" s="4"/>
      <c r="L658" s="7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25"/>
      <c r="C659" s="25"/>
      <c r="D659" s="4"/>
      <c r="E659" s="4"/>
      <c r="F659" s="4"/>
      <c r="G659" s="25"/>
      <c r="H659" s="4"/>
      <c r="I659" s="72"/>
      <c r="J659" s="73"/>
      <c r="K659" s="4"/>
      <c r="L659" s="7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25"/>
      <c r="C660" s="25"/>
      <c r="D660" s="4"/>
      <c r="E660" s="4"/>
      <c r="F660" s="4"/>
      <c r="G660" s="25"/>
      <c r="H660" s="4"/>
      <c r="I660" s="72"/>
      <c r="J660" s="73"/>
      <c r="K660" s="4"/>
      <c r="L660" s="7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25"/>
      <c r="C661" s="25"/>
      <c r="D661" s="4"/>
      <c r="E661" s="4"/>
      <c r="F661" s="4"/>
      <c r="G661" s="25"/>
      <c r="H661" s="4"/>
      <c r="I661" s="72"/>
      <c r="J661" s="73"/>
      <c r="K661" s="4"/>
      <c r="L661" s="7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25"/>
      <c r="C662" s="25"/>
      <c r="D662" s="4"/>
      <c r="E662" s="4"/>
      <c r="F662" s="4"/>
      <c r="G662" s="25"/>
      <c r="H662" s="4"/>
      <c r="I662" s="72"/>
      <c r="J662" s="73"/>
      <c r="K662" s="4"/>
      <c r="L662" s="7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25"/>
      <c r="C663" s="25"/>
      <c r="D663" s="4"/>
      <c r="E663" s="4"/>
      <c r="F663" s="4"/>
      <c r="G663" s="25"/>
      <c r="H663" s="4"/>
      <c r="I663" s="72"/>
      <c r="J663" s="73"/>
      <c r="K663" s="4"/>
      <c r="L663" s="7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25"/>
      <c r="C664" s="25"/>
      <c r="D664" s="4"/>
      <c r="E664" s="4"/>
      <c r="F664" s="4"/>
      <c r="G664" s="25"/>
      <c r="H664" s="4"/>
      <c r="I664" s="72"/>
      <c r="J664" s="73"/>
      <c r="K664" s="4"/>
      <c r="L664" s="7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25"/>
      <c r="C665" s="25"/>
      <c r="D665" s="4"/>
      <c r="E665" s="4"/>
      <c r="F665" s="4"/>
      <c r="G665" s="25"/>
      <c r="H665" s="4"/>
      <c r="I665" s="72"/>
      <c r="J665" s="73"/>
      <c r="K665" s="4"/>
      <c r="L665" s="7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25"/>
      <c r="C666" s="25"/>
      <c r="D666" s="4"/>
      <c r="E666" s="4"/>
      <c r="F666" s="4"/>
      <c r="G666" s="25"/>
      <c r="H666" s="4"/>
      <c r="I666" s="72"/>
      <c r="J666" s="73"/>
      <c r="K666" s="4"/>
      <c r="L666" s="7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25"/>
      <c r="C667" s="25"/>
      <c r="D667" s="4"/>
      <c r="E667" s="4"/>
      <c r="F667" s="4"/>
      <c r="G667" s="25"/>
      <c r="H667" s="4"/>
      <c r="I667" s="72"/>
      <c r="J667" s="73"/>
      <c r="K667" s="4"/>
      <c r="L667" s="7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25"/>
      <c r="C668" s="25"/>
      <c r="D668" s="4"/>
      <c r="E668" s="4"/>
      <c r="F668" s="4"/>
      <c r="G668" s="25"/>
      <c r="H668" s="4"/>
      <c r="I668" s="72"/>
      <c r="J668" s="73"/>
      <c r="K668" s="4"/>
      <c r="L668" s="7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25"/>
      <c r="C669" s="25"/>
      <c r="D669" s="4"/>
      <c r="E669" s="4"/>
      <c r="F669" s="4"/>
      <c r="G669" s="25"/>
      <c r="H669" s="4"/>
      <c r="I669" s="72"/>
      <c r="J669" s="73"/>
      <c r="K669" s="4"/>
      <c r="L669" s="7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25"/>
      <c r="C670" s="25"/>
      <c r="D670" s="4"/>
      <c r="E670" s="4"/>
      <c r="F670" s="4"/>
      <c r="G670" s="25"/>
      <c r="H670" s="4"/>
      <c r="I670" s="72"/>
      <c r="J670" s="73"/>
      <c r="K670" s="4"/>
      <c r="L670" s="7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25"/>
      <c r="C671" s="25"/>
      <c r="D671" s="4"/>
      <c r="E671" s="4"/>
      <c r="F671" s="4"/>
      <c r="G671" s="25"/>
      <c r="H671" s="4"/>
      <c r="I671" s="72"/>
      <c r="J671" s="73"/>
      <c r="K671" s="4"/>
      <c r="L671" s="7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25"/>
      <c r="C672" s="25"/>
      <c r="D672" s="4"/>
      <c r="E672" s="4"/>
      <c r="F672" s="4"/>
      <c r="G672" s="25"/>
      <c r="H672" s="4"/>
      <c r="I672" s="72"/>
      <c r="J672" s="73"/>
      <c r="K672" s="4"/>
      <c r="L672" s="7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25"/>
      <c r="C673" s="25"/>
      <c r="D673" s="4"/>
      <c r="E673" s="4"/>
      <c r="F673" s="4"/>
      <c r="G673" s="25"/>
      <c r="H673" s="4"/>
      <c r="I673" s="72"/>
      <c r="J673" s="73"/>
      <c r="K673" s="4"/>
      <c r="L673" s="7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25"/>
      <c r="C674" s="25"/>
      <c r="D674" s="4"/>
      <c r="E674" s="4"/>
      <c r="F674" s="4"/>
      <c r="G674" s="25"/>
      <c r="H674" s="4"/>
      <c r="I674" s="72"/>
      <c r="J674" s="73"/>
      <c r="K674" s="4"/>
      <c r="L674" s="7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25"/>
      <c r="C675" s="25"/>
      <c r="D675" s="4"/>
      <c r="E675" s="4"/>
      <c r="F675" s="4"/>
      <c r="G675" s="25"/>
      <c r="H675" s="4"/>
      <c r="I675" s="72"/>
      <c r="J675" s="73"/>
      <c r="K675" s="4"/>
      <c r="L675" s="7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25"/>
      <c r="C676" s="25"/>
      <c r="D676" s="4"/>
      <c r="E676" s="4"/>
      <c r="F676" s="4"/>
      <c r="G676" s="25"/>
      <c r="H676" s="4"/>
      <c r="I676" s="72"/>
      <c r="J676" s="73"/>
      <c r="K676" s="4"/>
      <c r="L676" s="7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25"/>
      <c r="C677" s="25"/>
      <c r="D677" s="4"/>
      <c r="E677" s="4"/>
      <c r="F677" s="4"/>
      <c r="G677" s="25"/>
      <c r="H677" s="4"/>
      <c r="I677" s="72"/>
      <c r="J677" s="73"/>
      <c r="K677" s="4"/>
      <c r="L677" s="7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25"/>
      <c r="C678" s="25"/>
      <c r="D678" s="4"/>
      <c r="E678" s="4"/>
      <c r="F678" s="4"/>
      <c r="G678" s="25"/>
      <c r="H678" s="4"/>
      <c r="I678" s="72"/>
      <c r="J678" s="73"/>
      <c r="K678" s="4"/>
      <c r="L678" s="7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25"/>
      <c r="C679" s="25"/>
      <c r="D679" s="4"/>
      <c r="E679" s="4"/>
      <c r="F679" s="4"/>
      <c r="G679" s="25"/>
      <c r="H679" s="4"/>
      <c r="I679" s="72"/>
      <c r="J679" s="73"/>
      <c r="K679" s="4"/>
      <c r="L679" s="7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25"/>
      <c r="C680" s="25"/>
      <c r="D680" s="4"/>
      <c r="E680" s="4"/>
      <c r="F680" s="4"/>
      <c r="G680" s="25"/>
      <c r="H680" s="4"/>
      <c r="I680" s="72"/>
      <c r="J680" s="73"/>
      <c r="K680" s="4"/>
      <c r="L680" s="7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25"/>
      <c r="C681" s="25"/>
      <c r="D681" s="4"/>
      <c r="E681" s="4"/>
      <c r="F681" s="4"/>
      <c r="G681" s="25"/>
      <c r="H681" s="4"/>
      <c r="I681" s="72"/>
      <c r="J681" s="73"/>
      <c r="K681" s="4"/>
      <c r="L681" s="7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25"/>
      <c r="C682" s="25"/>
      <c r="D682" s="4"/>
      <c r="E682" s="4"/>
      <c r="F682" s="4"/>
      <c r="G682" s="25"/>
      <c r="H682" s="4"/>
      <c r="I682" s="72"/>
      <c r="J682" s="73"/>
      <c r="K682" s="4"/>
      <c r="L682" s="7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25"/>
      <c r="C683" s="25"/>
      <c r="D683" s="4"/>
      <c r="E683" s="4"/>
      <c r="F683" s="4"/>
      <c r="G683" s="25"/>
      <c r="H683" s="4"/>
      <c r="I683" s="72"/>
      <c r="J683" s="73"/>
      <c r="K683" s="4"/>
      <c r="L683" s="7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25"/>
      <c r="C684" s="25"/>
      <c r="D684" s="4"/>
      <c r="E684" s="4"/>
      <c r="F684" s="4"/>
      <c r="G684" s="25"/>
      <c r="H684" s="4"/>
      <c r="I684" s="72"/>
      <c r="J684" s="73"/>
      <c r="K684" s="4"/>
      <c r="L684" s="7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25"/>
      <c r="C685" s="25"/>
      <c r="D685" s="4"/>
      <c r="E685" s="4"/>
      <c r="F685" s="4"/>
      <c r="G685" s="25"/>
      <c r="H685" s="4"/>
      <c r="I685" s="72"/>
      <c r="J685" s="73"/>
      <c r="K685" s="4"/>
      <c r="L685" s="7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25"/>
      <c r="C686" s="25"/>
      <c r="D686" s="4"/>
      <c r="E686" s="4"/>
      <c r="F686" s="4"/>
      <c r="G686" s="25"/>
      <c r="H686" s="4"/>
      <c r="I686" s="72"/>
      <c r="J686" s="73"/>
      <c r="K686" s="4"/>
      <c r="L686" s="7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25"/>
      <c r="C687" s="25"/>
      <c r="D687" s="4"/>
      <c r="E687" s="4"/>
      <c r="F687" s="4"/>
      <c r="G687" s="25"/>
      <c r="H687" s="4"/>
      <c r="I687" s="72"/>
      <c r="J687" s="73"/>
      <c r="K687" s="4"/>
      <c r="L687" s="7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25"/>
      <c r="C688" s="25"/>
      <c r="D688" s="4"/>
      <c r="E688" s="4"/>
      <c r="F688" s="4"/>
      <c r="G688" s="25"/>
      <c r="H688" s="4"/>
      <c r="I688" s="72"/>
      <c r="J688" s="73"/>
      <c r="K688" s="4"/>
      <c r="L688" s="7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25"/>
      <c r="C689" s="25"/>
      <c r="D689" s="4"/>
      <c r="E689" s="4"/>
      <c r="F689" s="4"/>
      <c r="G689" s="25"/>
      <c r="H689" s="4"/>
      <c r="I689" s="72"/>
      <c r="J689" s="73"/>
      <c r="K689" s="4"/>
      <c r="L689" s="7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25"/>
      <c r="C690" s="25"/>
      <c r="D690" s="4"/>
      <c r="E690" s="4"/>
      <c r="F690" s="4"/>
      <c r="G690" s="25"/>
      <c r="H690" s="4"/>
      <c r="I690" s="72"/>
      <c r="J690" s="73"/>
      <c r="K690" s="4"/>
      <c r="L690" s="7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25"/>
      <c r="C691" s="25"/>
      <c r="D691" s="4"/>
      <c r="E691" s="4"/>
      <c r="F691" s="4"/>
      <c r="G691" s="25"/>
      <c r="H691" s="4"/>
      <c r="I691" s="72"/>
      <c r="J691" s="73"/>
      <c r="K691" s="4"/>
      <c r="L691" s="7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25"/>
      <c r="C692" s="25"/>
      <c r="D692" s="4"/>
      <c r="E692" s="4"/>
      <c r="F692" s="4"/>
      <c r="G692" s="25"/>
      <c r="H692" s="4"/>
      <c r="I692" s="72"/>
      <c r="J692" s="73"/>
      <c r="K692" s="4"/>
      <c r="L692" s="7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25"/>
      <c r="C693" s="25"/>
      <c r="D693" s="4"/>
      <c r="E693" s="4"/>
      <c r="F693" s="4"/>
      <c r="G693" s="25"/>
      <c r="H693" s="4"/>
      <c r="I693" s="72"/>
      <c r="J693" s="73"/>
      <c r="K693" s="4"/>
      <c r="L693" s="7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25"/>
      <c r="C694" s="25"/>
      <c r="D694" s="4"/>
      <c r="E694" s="4"/>
      <c r="F694" s="4"/>
      <c r="G694" s="25"/>
      <c r="H694" s="4"/>
      <c r="I694" s="72"/>
      <c r="J694" s="73"/>
      <c r="K694" s="4"/>
      <c r="L694" s="7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25"/>
      <c r="C695" s="25"/>
      <c r="D695" s="4"/>
      <c r="E695" s="4"/>
      <c r="F695" s="4"/>
      <c r="G695" s="25"/>
      <c r="H695" s="4"/>
      <c r="I695" s="72"/>
      <c r="J695" s="73"/>
      <c r="K695" s="4"/>
      <c r="L695" s="7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25"/>
      <c r="C696" s="25"/>
      <c r="D696" s="4"/>
      <c r="E696" s="4"/>
      <c r="F696" s="4"/>
      <c r="G696" s="25"/>
      <c r="H696" s="4"/>
      <c r="I696" s="72"/>
      <c r="J696" s="73"/>
      <c r="K696" s="4"/>
      <c r="L696" s="7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25"/>
      <c r="C697" s="25"/>
      <c r="D697" s="4"/>
      <c r="E697" s="4"/>
      <c r="F697" s="4"/>
      <c r="G697" s="25"/>
      <c r="H697" s="4"/>
      <c r="I697" s="72"/>
      <c r="J697" s="73"/>
      <c r="K697" s="4"/>
      <c r="L697" s="7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25"/>
      <c r="C698" s="25"/>
      <c r="D698" s="4"/>
      <c r="E698" s="4"/>
      <c r="F698" s="4"/>
      <c r="G698" s="25"/>
      <c r="H698" s="4"/>
      <c r="I698" s="72"/>
      <c r="J698" s="73"/>
      <c r="K698" s="4"/>
      <c r="L698" s="7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25"/>
      <c r="C699" s="25"/>
      <c r="D699" s="4"/>
      <c r="E699" s="4"/>
      <c r="F699" s="4"/>
      <c r="G699" s="25"/>
      <c r="H699" s="4"/>
      <c r="I699" s="72"/>
      <c r="J699" s="73"/>
      <c r="K699" s="4"/>
      <c r="L699" s="7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25"/>
      <c r="C700" s="25"/>
      <c r="D700" s="4"/>
      <c r="E700" s="4"/>
      <c r="F700" s="4"/>
      <c r="G700" s="25"/>
      <c r="H700" s="4"/>
      <c r="I700" s="72"/>
      <c r="J700" s="73"/>
      <c r="K700" s="4"/>
      <c r="L700" s="7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25"/>
      <c r="C701" s="25"/>
      <c r="D701" s="4"/>
      <c r="E701" s="4"/>
      <c r="F701" s="4"/>
      <c r="G701" s="25"/>
      <c r="H701" s="4"/>
      <c r="I701" s="72"/>
      <c r="J701" s="73"/>
      <c r="K701" s="4"/>
      <c r="L701" s="7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25"/>
      <c r="C702" s="25"/>
      <c r="D702" s="4"/>
      <c r="E702" s="4"/>
      <c r="F702" s="4"/>
      <c r="G702" s="25"/>
      <c r="H702" s="4"/>
      <c r="I702" s="72"/>
      <c r="J702" s="73"/>
      <c r="K702" s="4"/>
      <c r="L702" s="7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25"/>
      <c r="C703" s="25"/>
      <c r="D703" s="4"/>
      <c r="E703" s="4"/>
      <c r="F703" s="4"/>
      <c r="G703" s="25"/>
      <c r="H703" s="4"/>
      <c r="I703" s="72"/>
      <c r="J703" s="73"/>
      <c r="K703" s="4"/>
      <c r="L703" s="7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25"/>
      <c r="C704" s="25"/>
      <c r="D704" s="4"/>
      <c r="E704" s="4"/>
      <c r="F704" s="4"/>
      <c r="G704" s="25"/>
      <c r="H704" s="4"/>
      <c r="I704" s="72"/>
      <c r="J704" s="73"/>
      <c r="K704" s="4"/>
      <c r="L704" s="7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25"/>
      <c r="C705" s="25"/>
      <c r="D705" s="4"/>
      <c r="E705" s="4"/>
      <c r="F705" s="4"/>
      <c r="G705" s="25"/>
      <c r="H705" s="4"/>
      <c r="I705" s="72"/>
      <c r="J705" s="73"/>
      <c r="K705" s="4"/>
      <c r="L705" s="7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25"/>
      <c r="C706" s="25"/>
      <c r="D706" s="4"/>
      <c r="E706" s="4"/>
      <c r="F706" s="4"/>
      <c r="G706" s="25"/>
      <c r="H706" s="4"/>
      <c r="I706" s="72"/>
      <c r="J706" s="73"/>
      <c r="K706" s="4"/>
      <c r="L706" s="7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25"/>
      <c r="C707" s="25"/>
      <c r="D707" s="4"/>
      <c r="E707" s="4"/>
      <c r="F707" s="4"/>
      <c r="G707" s="25"/>
      <c r="H707" s="4"/>
      <c r="I707" s="72"/>
      <c r="J707" s="73"/>
      <c r="K707" s="4"/>
      <c r="L707" s="7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25"/>
      <c r="C708" s="25"/>
      <c r="D708" s="4"/>
      <c r="E708" s="4"/>
      <c r="F708" s="4"/>
      <c r="G708" s="25"/>
      <c r="H708" s="4"/>
      <c r="I708" s="72"/>
      <c r="J708" s="73"/>
      <c r="K708" s="4"/>
      <c r="L708" s="7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25"/>
      <c r="C709" s="25"/>
      <c r="D709" s="4"/>
      <c r="E709" s="4"/>
      <c r="F709" s="4"/>
      <c r="G709" s="25"/>
      <c r="H709" s="4"/>
      <c r="I709" s="72"/>
      <c r="J709" s="73"/>
      <c r="K709" s="4"/>
      <c r="L709" s="7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25"/>
      <c r="C710" s="25"/>
      <c r="D710" s="4"/>
      <c r="E710" s="4"/>
      <c r="F710" s="4"/>
      <c r="G710" s="25"/>
      <c r="H710" s="4"/>
      <c r="I710" s="72"/>
      <c r="J710" s="73"/>
      <c r="K710" s="4"/>
      <c r="L710" s="7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25"/>
      <c r="C711" s="25"/>
      <c r="D711" s="4"/>
      <c r="E711" s="4"/>
      <c r="F711" s="4"/>
      <c r="G711" s="25"/>
      <c r="H711" s="4"/>
      <c r="I711" s="72"/>
      <c r="J711" s="73"/>
      <c r="K711" s="4"/>
      <c r="L711" s="7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25"/>
      <c r="C712" s="25"/>
      <c r="D712" s="4"/>
      <c r="E712" s="4"/>
      <c r="F712" s="4"/>
      <c r="G712" s="25"/>
      <c r="H712" s="4"/>
      <c r="I712" s="72"/>
      <c r="J712" s="73"/>
      <c r="K712" s="4"/>
      <c r="L712" s="7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25"/>
      <c r="C713" s="25"/>
      <c r="D713" s="4"/>
      <c r="E713" s="4"/>
      <c r="F713" s="4"/>
      <c r="G713" s="25"/>
      <c r="H713" s="4"/>
      <c r="I713" s="72"/>
      <c r="J713" s="73"/>
      <c r="K713" s="4"/>
      <c r="L713" s="7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25"/>
      <c r="C714" s="25"/>
      <c r="D714" s="4"/>
      <c r="E714" s="4"/>
      <c r="F714" s="4"/>
      <c r="G714" s="25"/>
      <c r="H714" s="4"/>
      <c r="I714" s="72"/>
      <c r="J714" s="73"/>
      <c r="K714" s="4"/>
      <c r="L714" s="7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25"/>
      <c r="C715" s="25"/>
      <c r="D715" s="4"/>
      <c r="E715" s="4"/>
      <c r="F715" s="4"/>
      <c r="G715" s="25"/>
      <c r="H715" s="4"/>
      <c r="I715" s="72"/>
      <c r="J715" s="73"/>
      <c r="K715" s="4"/>
      <c r="L715" s="7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25"/>
      <c r="C716" s="25"/>
      <c r="D716" s="4"/>
      <c r="E716" s="4"/>
      <c r="F716" s="4"/>
      <c r="G716" s="25"/>
      <c r="H716" s="4"/>
      <c r="I716" s="72"/>
      <c r="J716" s="73"/>
      <c r="K716" s="4"/>
      <c r="L716" s="7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25"/>
      <c r="C717" s="25"/>
      <c r="D717" s="4"/>
      <c r="E717" s="4"/>
      <c r="F717" s="4"/>
      <c r="G717" s="25"/>
      <c r="H717" s="4"/>
      <c r="I717" s="72"/>
      <c r="J717" s="73"/>
      <c r="K717" s="4"/>
      <c r="L717" s="7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25"/>
      <c r="C718" s="25"/>
      <c r="D718" s="4"/>
      <c r="E718" s="4"/>
      <c r="F718" s="4"/>
      <c r="G718" s="25"/>
      <c r="H718" s="4"/>
      <c r="I718" s="72"/>
      <c r="J718" s="73"/>
      <c r="K718" s="4"/>
      <c r="L718" s="7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25"/>
      <c r="C719" s="25"/>
      <c r="D719" s="4"/>
      <c r="E719" s="4"/>
      <c r="F719" s="4"/>
      <c r="G719" s="25"/>
      <c r="H719" s="4"/>
      <c r="I719" s="72"/>
      <c r="J719" s="73"/>
      <c r="K719" s="4"/>
      <c r="L719" s="7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25"/>
      <c r="C720" s="25"/>
      <c r="D720" s="4"/>
      <c r="E720" s="4"/>
      <c r="F720" s="4"/>
      <c r="G720" s="25"/>
      <c r="H720" s="4"/>
      <c r="I720" s="72"/>
      <c r="J720" s="73"/>
      <c r="K720" s="4"/>
      <c r="L720" s="7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25"/>
      <c r="C721" s="25"/>
      <c r="D721" s="4"/>
      <c r="E721" s="4"/>
      <c r="F721" s="4"/>
      <c r="G721" s="25"/>
      <c r="H721" s="4"/>
      <c r="I721" s="72"/>
      <c r="J721" s="73"/>
      <c r="K721" s="4"/>
      <c r="L721" s="7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25"/>
      <c r="C722" s="25"/>
      <c r="D722" s="4"/>
      <c r="E722" s="4"/>
      <c r="F722" s="4"/>
      <c r="G722" s="25"/>
      <c r="H722" s="4"/>
      <c r="I722" s="72"/>
      <c r="J722" s="73"/>
      <c r="K722" s="4"/>
      <c r="L722" s="7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25"/>
      <c r="C723" s="25"/>
      <c r="D723" s="4"/>
      <c r="E723" s="4"/>
      <c r="F723" s="4"/>
      <c r="G723" s="25"/>
      <c r="H723" s="4"/>
      <c r="I723" s="72"/>
      <c r="J723" s="73"/>
      <c r="K723" s="4"/>
      <c r="L723" s="7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25"/>
      <c r="C724" s="25"/>
      <c r="D724" s="4"/>
      <c r="E724" s="4"/>
      <c r="F724" s="4"/>
      <c r="G724" s="25"/>
      <c r="H724" s="4"/>
      <c r="I724" s="72"/>
      <c r="J724" s="73"/>
      <c r="K724" s="4"/>
      <c r="L724" s="7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25"/>
      <c r="C725" s="25"/>
      <c r="D725" s="4"/>
      <c r="E725" s="4"/>
      <c r="F725" s="4"/>
      <c r="G725" s="25"/>
      <c r="H725" s="4"/>
      <c r="I725" s="72"/>
      <c r="J725" s="73"/>
      <c r="K725" s="4"/>
      <c r="L725" s="7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25"/>
      <c r="C726" s="25"/>
      <c r="D726" s="4"/>
      <c r="E726" s="4"/>
      <c r="F726" s="4"/>
      <c r="G726" s="25"/>
      <c r="H726" s="4"/>
      <c r="I726" s="72"/>
      <c r="J726" s="73"/>
      <c r="K726" s="4"/>
      <c r="L726" s="7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25"/>
      <c r="C727" s="25"/>
      <c r="D727" s="4"/>
      <c r="E727" s="4"/>
      <c r="F727" s="4"/>
      <c r="G727" s="25"/>
      <c r="H727" s="4"/>
      <c r="I727" s="72"/>
      <c r="J727" s="73"/>
      <c r="K727" s="4"/>
      <c r="L727" s="7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25"/>
      <c r="C728" s="25"/>
      <c r="D728" s="4"/>
      <c r="E728" s="4"/>
      <c r="F728" s="4"/>
      <c r="G728" s="25"/>
      <c r="H728" s="4"/>
      <c r="I728" s="72"/>
      <c r="J728" s="73"/>
      <c r="K728" s="4"/>
      <c r="L728" s="7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25"/>
      <c r="C729" s="25"/>
      <c r="D729" s="4"/>
      <c r="E729" s="4"/>
      <c r="F729" s="4"/>
      <c r="G729" s="25"/>
      <c r="H729" s="4"/>
      <c r="I729" s="72"/>
      <c r="J729" s="73"/>
      <c r="K729" s="4"/>
      <c r="L729" s="7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25"/>
      <c r="C730" s="25"/>
      <c r="D730" s="4"/>
      <c r="E730" s="4"/>
      <c r="F730" s="4"/>
      <c r="G730" s="25"/>
      <c r="H730" s="4"/>
      <c r="I730" s="72"/>
      <c r="J730" s="73"/>
      <c r="K730" s="4"/>
      <c r="L730" s="7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25"/>
      <c r="C731" s="25"/>
      <c r="D731" s="4"/>
      <c r="E731" s="4"/>
      <c r="F731" s="4"/>
      <c r="G731" s="25"/>
      <c r="H731" s="4"/>
      <c r="I731" s="72"/>
      <c r="J731" s="73"/>
      <c r="K731" s="4"/>
      <c r="L731" s="7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25"/>
      <c r="C732" s="25"/>
      <c r="D732" s="4"/>
      <c r="E732" s="4"/>
      <c r="F732" s="4"/>
      <c r="G732" s="25"/>
      <c r="H732" s="4"/>
      <c r="I732" s="72"/>
      <c r="J732" s="73"/>
      <c r="K732" s="4"/>
      <c r="L732" s="7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25"/>
      <c r="C733" s="25"/>
      <c r="D733" s="4"/>
      <c r="E733" s="4"/>
      <c r="F733" s="4"/>
      <c r="G733" s="25"/>
      <c r="H733" s="4"/>
      <c r="I733" s="72"/>
      <c r="J733" s="73"/>
      <c r="K733" s="4"/>
      <c r="L733" s="7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25"/>
      <c r="C734" s="25"/>
      <c r="D734" s="4"/>
      <c r="E734" s="4"/>
      <c r="F734" s="4"/>
      <c r="G734" s="25"/>
      <c r="H734" s="4"/>
      <c r="I734" s="72"/>
      <c r="J734" s="73"/>
      <c r="K734" s="4"/>
      <c r="L734" s="7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25"/>
      <c r="C735" s="25"/>
      <c r="D735" s="4"/>
      <c r="E735" s="4"/>
      <c r="F735" s="4"/>
      <c r="G735" s="25"/>
      <c r="H735" s="4"/>
      <c r="I735" s="72"/>
      <c r="J735" s="73"/>
      <c r="K735" s="4"/>
      <c r="L735" s="7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25"/>
      <c r="C736" s="25"/>
      <c r="D736" s="4"/>
      <c r="E736" s="4"/>
      <c r="F736" s="4"/>
      <c r="G736" s="25"/>
      <c r="H736" s="4"/>
      <c r="I736" s="72"/>
      <c r="J736" s="73"/>
      <c r="K736" s="4"/>
      <c r="L736" s="7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25"/>
      <c r="C737" s="25"/>
      <c r="D737" s="4"/>
      <c r="E737" s="4"/>
      <c r="F737" s="4"/>
      <c r="G737" s="25"/>
      <c r="H737" s="4"/>
      <c r="I737" s="72"/>
      <c r="J737" s="73"/>
      <c r="K737" s="4"/>
      <c r="L737" s="7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25"/>
      <c r="C738" s="25"/>
      <c r="D738" s="4"/>
      <c r="E738" s="4"/>
      <c r="F738" s="4"/>
      <c r="G738" s="25"/>
      <c r="H738" s="4"/>
      <c r="I738" s="72"/>
      <c r="J738" s="73"/>
      <c r="K738" s="4"/>
      <c r="L738" s="7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25"/>
      <c r="C739" s="25"/>
      <c r="D739" s="4"/>
      <c r="E739" s="4"/>
      <c r="F739" s="4"/>
      <c r="G739" s="25"/>
      <c r="H739" s="4"/>
      <c r="I739" s="72"/>
      <c r="J739" s="73"/>
      <c r="K739" s="4"/>
      <c r="L739" s="7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25"/>
      <c r="C740" s="25"/>
      <c r="D740" s="4"/>
      <c r="E740" s="4"/>
      <c r="F740" s="4"/>
      <c r="G740" s="25"/>
      <c r="H740" s="4"/>
      <c r="I740" s="72"/>
      <c r="J740" s="73"/>
      <c r="K740" s="4"/>
      <c r="L740" s="7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25"/>
      <c r="C741" s="25"/>
      <c r="D741" s="4"/>
      <c r="E741" s="4"/>
      <c r="F741" s="4"/>
      <c r="G741" s="25"/>
      <c r="H741" s="4"/>
      <c r="I741" s="72"/>
      <c r="J741" s="73"/>
      <c r="K741" s="4"/>
      <c r="L741" s="7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25"/>
      <c r="C742" s="25"/>
      <c r="D742" s="4"/>
      <c r="E742" s="4"/>
      <c r="F742" s="4"/>
      <c r="G742" s="25"/>
      <c r="H742" s="4"/>
      <c r="I742" s="72"/>
      <c r="J742" s="73"/>
      <c r="K742" s="4"/>
      <c r="L742" s="7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25"/>
      <c r="C743" s="25"/>
      <c r="D743" s="4"/>
      <c r="E743" s="4"/>
      <c r="F743" s="4"/>
      <c r="G743" s="25"/>
      <c r="H743" s="4"/>
      <c r="I743" s="72"/>
      <c r="J743" s="73"/>
      <c r="K743" s="4"/>
      <c r="L743" s="7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25"/>
      <c r="C744" s="25"/>
      <c r="D744" s="4"/>
      <c r="E744" s="4"/>
      <c r="F744" s="4"/>
      <c r="G744" s="25"/>
      <c r="H744" s="4"/>
      <c r="I744" s="72"/>
      <c r="J744" s="73"/>
      <c r="K744" s="4"/>
      <c r="L744" s="7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25"/>
      <c r="C745" s="25"/>
      <c r="D745" s="4"/>
      <c r="E745" s="4"/>
      <c r="F745" s="4"/>
      <c r="G745" s="25"/>
      <c r="H745" s="4"/>
      <c r="I745" s="72"/>
      <c r="J745" s="73"/>
      <c r="K745" s="4"/>
      <c r="L745" s="7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25"/>
      <c r="C746" s="25"/>
      <c r="D746" s="4"/>
      <c r="E746" s="4"/>
      <c r="F746" s="4"/>
      <c r="G746" s="25"/>
      <c r="H746" s="4"/>
      <c r="I746" s="72"/>
      <c r="J746" s="73"/>
      <c r="K746" s="4"/>
      <c r="L746" s="7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25"/>
      <c r="C747" s="25"/>
      <c r="D747" s="4"/>
      <c r="E747" s="4"/>
      <c r="F747" s="4"/>
      <c r="G747" s="25"/>
      <c r="H747" s="4"/>
      <c r="I747" s="72"/>
      <c r="J747" s="73"/>
      <c r="K747" s="4"/>
      <c r="L747" s="7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25"/>
      <c r="C748" s="25"/>
      <c r="D748" s="4"/>
      <c r="E748" s="4"/>
      <c r="F748" s="4"/>
      <c r="G748" s="25"/>
      <c r="H748" s="4"/>
      <c r="I748" s="72"/>
      <c r="J748" s="73"/>
      <c r="K748" s="4"/>
      <c r="L748" s="7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25"/>
      <c r="C749" s="25"/>
      <c r="D749" s="4"/>
      <c r="E749" s="4"/>
      <c r="F749" s="4"/>
      <c r="G749" s="25"/>
      <c r="H749" s="4"/>
      <c r="I749" s="72"/>
      <c r="J749" s="73"/>
      <c r="K749" s="4"/>
      <c r="L749" s="7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25"/>
      <c r="C750" s="25"/>
      <c r="D750" s="4"/>
      <c r="E750" s="4"/>
      <c r="F750" s="4"/>
      <c r="G750" s="25"/>
      <c r="H750" s="4"/>
      <c r="I750" s="72"/>
      <c r="J750" s="73"/>
      <c r="K750" s="4"/>
      <c r="L750" s="7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25"/>
      <c r="C751" s="25"/>
      <c r="D751" s="4"/>
      <c r="E751" s="4"/>
      <c r="F751" s="4"/>
      <c r="G751" s="25"/>
      <c r="H751" s="4"/>
      <c r="I751" s="72"/>
      <c r="J751" s="73"/>
      <c r="K751" s="4"/>
      <c r="L751" s="7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25"/>
      <c r="C752" s="25"/>
      <c r="D752" s="4"/>
      <c r="E752" s="4"/>
      <c r="F752" s="4"/>
      <c r="G752" s="25"/>
      <c r="H752" s="4"/>
      <c r="I752" s="72"/>
      <c r="J752" s="73"/>
      <c r="K752" s="4"/>
      <c r="L752" s="7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25"/>
      <c r="C753" s="25"/>
      <c r="D753" s="4"/>
      <c r="E753" s="4"/>
      <c r="F753" s="4"/>
      <c r="G753" s="25"/>
      <c r="H753" s="4"/>
      <c r="I753" s="72"/>
      <c r="J753" s="73"/>
      <c r="K753" s="4"/>
      <c r="L753" s="7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25"/>
      <c r="C754" s="25"/>
      <c r="D754" s="4"/>
      <c r="E754" s="4"/>
      <c r="F754" s="4"/>
      <c r="G754" s="25"/>
      <c r="H754" s="4"/>
      <c r="I754" s="72"/>
      <c r="J754" s="73"/>
      <c r="K754" s="4"/>
      <c r="L754" s="7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25"/>
      <c r="C755" s="25"/>
      <c r="D755" s="4"/>
      <c r="E755" s="4"/>
      <c r="F755" s="4"/>
      <c r="G755" s="25"/>
      <c r="H755" s="4"/>
      <c r="I755" s="72"/>
      <c r="J755" s="73"/>
      <c r="K755" s="4"/>
      <c r="L755" s="7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25"/>
      <c r="C756" s="25"/>
      <c r="D756" s="4"/>
      <c r="E756" s="4"/>
      <c r="F756" s="4"/>
      <c r="G756" s="25"/>
      <c r="H756" s="4"/>
      <c r="I756" s="72"/>
      <c r="J756" s="73"/>
      <c r="K756" s="4"/>
      <c r="L756" s="7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25"/>
      <c r="C757" s="25"/>
      <c r="D757" s="4"/>
      <c r="E757" s="4"/>
      <c r="F757" s="4"/>
      <c r="G757" s="25"/>
      <c r="H757" s="4"/>
      <c r="I757" s="72"/>
      <c r="J757" s="73"/>
      <c r="K757" s="4"/>
      <c r="L757" s="7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25"/>
      <c r="C758" s="25"/>
      <c r="D758" s="4"/>
      <c r="E758" s="4"/>
      <c r="F758" s="4"/>
      <c r="G758" s="25"/>
      <c r="H758" s="4"/>
      <c r="I758" s="72"/>
      <c r="J758" s="73"/>
      <c r="K758" s="4"/>
      <c r="L758" s="7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25"/>
      <c r="C759" s="25"/>
      <c r="D759" s="4"/>
      <c r="E759" s="4"/>
      <c r="F759" s="4"/>
      <c r="G759" s="25"/>
      <c r="H759" s="4"/>
      <c r="I759" s="72"/>
      <c r="J759" s="73"/>
      <c r="K759" s="4"/>
      <c r="L759" s="7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25"/>
      <c r="C760" s="25"/>
      <c r="D760" s="4"/>
      <c r="E760" s="4"/>
      <c r="F760" s="4"/>
      <c r="G760" s="25"/>
      <c r="H760" s="4"/>
      <c r="I760" s="72"/>
      <c r="J760" s="73"/>
      <c r="K760" s="4"/>
      <c r="L760" s="7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25"/>
      <c r="C761" s="25"/>
      <c r="D761" s="4"/>
      <c r="E761" s="4"/>
      <c r="F761" s="4"/>
      <c r="G761" s="25"/>
      <c r="H761" s="4"/>
      <c r="I761" s="72"/>
      <c r="J761" s="73"/>
      <c r="K761" s="4"/>
      <c r="L761" s="7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25"/>
      <c r="C762" s="25"/>
      <c r="D762" s="4"/>
      <c r="E762" s="4"/>
      <c r="F762" s="4"/>
      <c r="G762" s="25"/>
      <c r="H762" s="4"/>
      <c r="I762" s="72"/>
      <c r="J762" s="73"/>
      <c r="K762" s="4"/>
      <c r="L762" s="7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25"/>
      <c r="C763" s="25"/>
      <c r="D763" s="4"/>
      <c r="E763" s="4"/>
      <c r="F763" s="4"/>
      <c r="G763" s="25"/>
      <c r="H763" s="4"/>
      <c r="I763" s="72"/>
      <c r="J763" s="73"/>
      <c r="K763" s="4"/>
      <c r="L763" s="7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25"/>
      <c r="C764" s="25"/>
      <c r="D764" s="4"/>
      <c r="E764" s="4"/>
      <c r="F764" s="4"/>
      <c r="G764" s="25"/>
      <c r="H764" s="4"/>
      <c r="I764" s="72"/>
      <c r="J764" s="73"/>
      <c r="K764" s="4"/>
      <c r="L764" s="7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25"/>
      <c r="C765" s="25"/>
      <c r="D765" s="4"/>
      <c r="E765" s="4"/>
      <c r="F765" s="4"/>
      <c r="G765" s="25"/>
      <c r="H765" s="4"/>
      <c r="I765" s="72"/>
      <c r="J765" s="73"/>
      <c r="K765" s="4"/>
      <c r="L765" s="7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25"/>
      <c r="C766" s="25"/>
      <c r="D766" s="4"/>
      <c r="E766" s="4"/>
      <c r="F766" s="4"/>
      <c r="G766" s="25"/>
      <c r="H766" s="4"/>
      <c r="I766" s="72"/>
      <c r="J766" s="73"/>
      <c r="K766" s="4"/>
      <c r="L766" s="7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25"/>
      <c r="C767" s="25"/>
      <c r="D767" s="4"/>
      <c r="E767" s="4"/>
      <c r="F767" s="4"/>
      <c r="G767" s="25"/>
      <c r="H767" s="4"/>
      <c r="I767" s="72"/>
      <c r="J767" s="73"/>
      <c r="K767" s="4"/>
      <c r="L767" s="7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25"/>
      <c r="C768" s="25"/>
      <c r="D768" s="4"/>
      <c r="E768" s="4"/>
      <c r="F768" s="4"/>
      <c r="G768" s="25"/>
      <c r="H768" s="4"/>
      <c r="I768" s="72"/>
      <c r="J768" s="73"/>
      <c r="K768" s="4"/>
      <c r="L768" s="7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25"/>
      <c r="C769" s="25"/>
      <c r="D769" s="4"/>
      <c r="E769" s="4"/>
      <c r="F769" s="4"/>
      <c r="G769" s="25"/>
      <c r="H769" s="4"/>
      <c r="I769" s="72"/>
      <c r="J769" s="73"/>
      <c r="K769" s="4"/>
      <c r="L769" s="7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25"/>
      <c r="C770" s="25"/>
      <c r="D770" s="4"/>
      <c r="E770" s="4"/>
      <c r="F770" s="4"/>
      <c r="G770" s="25"/>
      <c r="H770" s="4"/>
      <c r="I770" s="72"/>
      <c r="J770" s="73"/>
      <c r="K770" s="4"/>
      <c r="L770" s="7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25"/>
      <c r="C771" s="25"/>
      <c r="D771" s="4"/>
      <c r="E771" s="4"/>
      <c r="F771" s="4"/>
      <c r="G771" s="25"/>
      <c r="H771" s="4"/>
      <c r="I771" s="72"/>
      <c r="J771" s="73"/>
      <c r="K771" s="4"/>
      <c r="L771" s="7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25"/>
      <c r="C772" s="25"/>
      <c r="D772" s="4"/>
      <c r="E772" s="4"/>
      <c r="F772" s="4"/>
      <c r="G772" s="25"/>
      <c r="H772" s="4"/>
      <c r="I772" s="72"/>
      <c r="J772" s="73"/>
      <c r="K772" s="4"/>
      <c r="L772" s="7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25"/>
      <c r="C773" s="25"/>
      <c r="D773" s="4"/>
      <c r="E773" s="4"/>
      <c r="F773" s="4"/>
      <c r="G773" s="25"/>
      <c r="H773" s="4"/>
      <c r="I773" s="72"/>
      <c r="J773" s="73"/>
      <c r="K773" s="4"/>
      <c r="L773" s="7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25"/>
      <c r="C774" s="25"/>
      <c r="D774" s="4"/>
      <c r="E774" s="4"/>
      <c r="F774" s="4"/>
      <c r="G774" s="25"/>
      <c r="H774" s="4"/>
      <c r="I774" s="72"/>
      <c r="J774" s="73"/>
      <c r="K774" s="4"/>
      <c r="L774" s="7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25"/>
      <c r="C775" s="25"/>
      <c r="D775" s="4"/>
      <c r="E775" s="4"/>
      <c r="F775" s="4"/>
      <c r="G775" s="25"/>
      <c r="H775" s="4"/>
      <c r="I775" s="72"/>
      <c r="J775" s="73"/>
      <c r="K775" s="4"/>
      <c r="L775" s="7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25"/>
      <c r="C776" s="25"/>
      <c r="D776" s="4"/>
      <c r="E776" s="4"/>
      <c r="F776" s="4"/>
      <c r="G776" s="25"/>
      <c r="H776" s="4"/>
      <c r="I776" s="72"/>
      <c r="J776" s="73"/>
      <c r="K776" s="4"/>
      <c r="L776" s="7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25"/>
      <c r="C777" s="25"/>
      <c r="D777" s="4"/>
      <c r="E777" s="4"/>
      <c r="F777" s="4"/>
      <c r="G777" s="25"/>
      <c r="H777" s="4"/>
      <c r="I777" s="72"/>
      <c r="J777" s="73"/>
      <c r="K777" s="4"/>
      <c r="L777" s="7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25"/>
      <c r="C778" s="25"/>
      <c r="D778" s="4"/>
      <c r="E778" s="4"/>
      <c r="F778" s="4"/>
      <c r="G778" s="25"/>
      <c r="H778" s="4"/>
      <c r="I778" s="72"/>
      <c r="J778" s="73"/>
      <c r="K778" s="4"/>
      <c r="L778" s="7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25"/>
      <c r="C779" s="25"/>
      <c r="D779" s="4"/>
      <c r="E779" s="4"/>
      <c r="F779" s="4"/>
      <c r="G779" s="25"/>
      <c r="H779" s="4"/>
      <c r="I779" s="72"/>
      <c r="J779" s="73"/>
      <c r="K779" s="4"/>
      <c r="L779" s="7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25"/>
      <c r="C780" s="25"/>
      <c r="D780" s="4"/>
      <c r="E780" s="4"/>
      <c r="F780" s="4"/>
      <c r="G780" s="25"/>
      <c r="H780" s="4"/>
      <c r="I780" s="72"/>
      <c r="J780" s="73"/>
      <c r="K780" s="4"/>
      <c r="L780" s="7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25"/>
      <c r="C781" s="25"/>
      <c r="D781" s="4"/>
      <c r="E781" s="4"/>
      <c r="F781" s="4"/>
      <c r="G781" s="25"/>
      <c r="H781" s="4"/>
      <c r="I781" s="72"/>
      <c r="J781" s="73"/>
      <c r="K781" s="4"/>
      <c r="L781" s="7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25"/>
      <c r="C782" s="25"/>
      <c r="D782" s="4"/>
      <c r="E782" s="4"/>
      <c r="F782" s="4"/>
      <c r="G782" s="25"/>
      <c r="H782" s="4"/>
      <c r="I782" s="72"/>
      <c r="J782" s="73"/>
      <c r="K782" s="4"/>
      <c r="L782" s="7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25"/>
      <c r="C783" s="25"/>
      <c r="D783" s="4"/>
      <c r="E783" s="4"/>
      <c r="F783" s="4"/>
      <c r="G783" s="25"/>
      <c r="H783" s="4"/>
      <c r="I783" s="72"/>
      <c r="J783" s="73"/>
      <c r="K783" s="4"/>
      <c r="L783" s="7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25"/>
      <c r="C784" s="25"/>
      <c r="D784" s="4"/>
      <c r="E784" s="4"/>
      <c r="F784" s="4"/>
      <c r="G784" s="25"/>
      <c r="H784" s="4"/>
      <c r="I784" s="72"/>
      <c r="J784" s="73"/>
      <c r="K784" s="4"/>
      <c r="L784" s="7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25"/>
      <c r="C785" s="25"/>
      <c r="D785" s="4"/>
      <c r="E785" s="4"/>
      <c r="F785" s="4"/>
      <c r="G785" s="25"/>
      <c r="H785" s="4"/>
      <c r="I785" s="72"/>
      <c r="J785" s="73"/>
      <c r="K785" s="4"/>
      <c r="L785" s="7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25"/>
      <c r="C786" s="25"/>
      <c r="D786" s="4"/>
      <c r="E786" s="4"/>
      <c r="F786" s="4"/>
      <c r="G786" s="25"/>
      <c r="H786" s="4"/>
      <c r="I786" s="72"/>
      <c r="J786" s="73"/>
      <c r="K786" s="4"/>
      <c r="L786" s="7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25"/>
      <c r="C787" s="25"/>
      <c r="D787" s="4"/>
      <c r="E787" s="4"/>
      <c r="F787" s="4"/>
      <c r="G787" s="25"/>
      <c r="H787" s="4"/>
      <c r="I787" s="72"/>
      <c r="J787" s="73"/>
      <c r="K787" s="4"/>
      <c r="L787" s="7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25"/>
      <c r="C788" s="25"/>
      <c r="D788" s="4"/>
      <c r="E788" s="4"/>
      <c r="F788" s="4"/>
      <c r="G788" s="25"/>
      <c r="H788" s="4"/>
      <c r="I788" s="72"/>
      <c r="J788" s="73"/>
      <c r="K788" s="4"/>
      <c r="L788" s="7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25"/>
      <c r="C789" s="25"/>
      <c r="D789" s="4"/>
      <c r="E789" s="4"/>
      <c r="F789" s="4"/>
      <c r="G789" s="25"/>
      <c r="H789" s="4"/>
      <c r="I789" s="72"/>
      <c r="J789" s="73"/>
      <c r="K789" s="4"/>
      <c r="L789" s="7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25"/>
      <c r="C790" s="25"/>
      <c r="D790" s="4"/>
      <c r="E790" s="4"/>
      <c r="F790" s="4"/>
      <c r="G790" s="25"/>
      <c r="H790" s="4"/>
      <c r="I790" s="72"/>
      <c r="J790" s="73"/>
      <c r="K790" s="4"/>
      <c r="L790" s="7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25"/>
      <c r="C791" s="25"/>
      <c r="D791" s="4"/>
      <c r="E791" s="4"/>
      <c r="F791" s="4"/>
      <c r="G791" s="25"/>
      <c r="H791" s="4"/>
      <c r="I791" s="72"/>
      <c r="J791" s="73"/>
      <c r="K791" s="4"/>
      <c r="L791" s="7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25"/>
      <c r="C792" s="25"/>
      <c r="D792" s="4"/>
      <c r="E792" s="4"/>
      <c r="F792" s="4"/>
      <c r="G792" s="25"/>
      <c r="H792" s="4"/>
      <c r="I792" s="72"/>
      <c r="J792" s="73"/>
      <c r="K792" s="4"/>
      <c r="L792" s="7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25"/>
      <c r="C793" s="25"/>
      <c r="D793" s="4"/>
      <c r="E793" s="4"/>
      <c r="F793" s="4"/>
      <c r="G793" s="25"/>
      <c r="H793" s="4"/>
      <c r="I793" s="72"/>
      <c r="J793" s="73"/>
      <c r="K793" s="4"/>
      <c r="L793" s="7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25"/>
      <c r="C794" s="25"/>
      <c r="D794" s="4"/>
      <c r="E794" s="4"/>
      <c r="F794" s="4"/>
      <c r="G794" s="25"/>
      <c r="H794" s="4"/>
      <c r="I794" s="72"/>
      <c r="J794" s="73"/>
      <c r="K794" s="4"/>
      <c r="L794" s="7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25"/>
      <c r="C795" s="25"/>
      <c r="D795" s="4"/>
      <c r="E795" s="4"/>
      <c r="F795" s="4"/>
      <c r="G795" s="25"/>
      <c r="H795" s="4"/>
      <c r="I795" s="72"/>
      <c r="J795" s="73"/>
      <c r="K795" s="4"/>
      <c r="L795" s="7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25"/>
      <c r="C796" s="25"/>
      <c r="D796" s="4"/>
      <c r="E796" s="4"/>
      <c r="F796" s="4"/>
      <c r="G796" s="25"/>
      <c r="H796" s="4"/>
      <c r="I796" s="72"/>
      <c r="J796" s="73"/>
      <c r="K796" s="4"/>
      <c r="L796" s="7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25"/>
      <c r="C797" s="25"/>
      <c r="D797" s="4"/>
      <c r="E797" s="4"/>
      <c r="F797" s="4"/>
      <c r="G797" s="25"/>
      <c r="H797" s="4"/>
      <c r="I797" s="72"/>
      <c r="J797" s="73"/>
      <c r="K797" s="4"/>
      <c r="L797" s="7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25"/>
      <c r="C798" s="25"/>
      <c r="D798" s="4"/>
      <c r="E798" s="4"/>
      <c r="F798" s="4"/>
      <c r="G798" s="25"/>
      <c r="H798" s="4"/>
      <c r="I798" s="72"/>
      <c r="J798" s="73"/>
      <c r="K798" s="4"/>
      <c r="L798" s="7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25"/>
      <c r="C799" s="25"/>
      <c r="D799" s="4"/>
      <c r="E799" s="4"/>
      <c r="F799" s="4"/>
      <c r="G799" s="25"/>
      <c r="H799" s="4"/>
      <c r="I799" s="72"/>
      <c r="J799" s="73"/>
      <c r="K799" s="4"/>
      <c r="L799" s="7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25"/>
      <c r="C800" s="25"/>
      <c r="D800" s="4"/>
      <c r="E800" s="4"/>
      <c r="F800" s="4"/>
      <c r="G800" s="25"/>
      <c r="H800" s="4"/>
      <c r="I800" s="72"/>
      <c r="J800" s="73"/>
      <c r="K800" s="4"/>
      <c r="L800" s="7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25"/>
      <c r="C801" s="25"/>
      <c r="D801" s="4"/>
      <c r="E801" s="4"/>
      <c r="F801" s="4"/>
      <c r="G801" s="25"/>
      <c r="H801" s="4"/>
      <c r="I801" s="72"/>
      <c r="J801" s="73"/>
      <c r="K801" s="4"/>
      <c r="L801" s="7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25"/>
      <c r="C802" s="25"/>
      <c r="D802" s="4"/>
      <c r="E802" s="4"/>
      <c r="F802" s="4"/>
      <c r="G802" s="25"/>
      <c r="H802" s="4"/>
      <c r="I802" s="72"/>
      <c r="J802" s="73"/>
      <c r="K802" s="4"/>
      <c r="L802" s="7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25"/>
      <c r="C803" s="25"/>
      <c r="D803" s="4"/>
      <c r="E803" s="4"/>
      <c r="F803" s="4"/>
      <c r="G803" s="25"/>
      <c r="H803" s="4"/>
      <c r="I803" s="72"/>
      <c r="J803" s="73"/>
      <c r="K803" s="4"/>
      <c r="L803" s="7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25"/>
      <c r="C804" s="25"/>
      <c r="D804" s="4"/>
      <c r="E804" s="4"/>
      <c r="F804" s="4"/>
      <c r="G804" s="25"/>
      <c r="H804" s="4"/>
      <c r="I804" s="72"/>
      <c r="J804" s="73"/>
      <c r="K804" s="4"/>
      <c r="L804" s="7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25"/>
      <c r="C805" s="25"/>
      <c r="D805" s="4"/>
      <c r="E805" s="4"/>
      <c r="F805" s="4"/>
      <c r="G805" s="25"/>
      <c r="H805" s="4"/>
      <c r="I805" s="72"/>
      <c r="J805" s="73"/>
      <c r="K805" s="4"/>
      <c r="L805" s="7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25"/>
      <c r="C806" s="25"/>
      <c r="D806" s="4"/>
      <c r="E806" s="4"/>
      <c r="F806" s="4"/>
      <c r="G806" s="25"/>
      <c r="H806" s="4"/>
      <c r="I806" s="72"/>
      <c r="J806" s="73"/>
      <c r="K806" s="4"/>
      <c r="L806" s="7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25"/>
      <c r="C807" s="25"/>
      <c r="D807" s="4"/>
      <c r="E807" s="4"/>
      <c r="F807" s="4"/>
      <c r="G807" s="25"/>
      <c r="H807" s="4"/>
      <c r="I807" s="72"/>
      <c r="J807" s="73"/>
      <c r="K807" s="4"/>
      <c r="L807" s="7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25"/>
      <c r="C808" s="25"/>
      <c r="D808" s="4"/>
      <c r="E808" s="4"/>
      <c r="F808" s="4"/>
      <c r="G808" s="25"/>
      <c r="H808" s="4"/>
      <c r="I808" s="72"/>
      <c r="J808" s="73"/>
      <c r="K808" s="4"/>
      <c r="L808" s="7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25"/>
      <c r="C809" s="25"/>
      <c r="D809" s="4"/>
      <c r="E809" s="4"/>
      <c r="F809" s="4"/>
      <c r="G809" s="25"/>
      <c r="H809" s="4"/>
      <c r="I809" s="72"/>
      <c r="J809" s="73"/>
      <c r="K809" s="4"/>
      <c r="L809" s="7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25"/>
      <c r="C810" s="25"/>
      <c r="D810" s="4"/>
      <c r="E810" s="4"/>
      <c r="F810" s="4"/>
      <c r="G810" s="25"/>
      <c r="H810" s="4"/>
      <c r="I810" s="72"/>
      <c r="J810" s="73"/>
      <c r="K810" s="4"/>
      <c r="L810" s="7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25"/>
      <c r="C811" s="25"/>
      <c r="D811" s="4"/>
      <c r="E811" s="4"/>
      <c r="F811" s="4"/>
      <c r="G811" s="25"/>
      <c r="H811" s="4"/>
      <c r="I811" s="72"/>
      <c r="J811" s="73"/>
      <c r="K811" s="4"/>
      <c r="L811" s="7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25"/>
      <c r="C812" s="25"/>
      <c r="D812" s="4"/>
      <c r="E812" s="4"/>
      <c r="F812" s="4"/>
      <c r="G812" s="25"/>
      <c r="H812" s="4"/>
      <c r="I812" s="72"/>
      <c r="J812" s="73"/>
      <c r="K812" s="4"/>
      <c r="L812" s="7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25"/>
      <c r="C813" s="25"/>
      <c r="D813" s="4"/>
      <c r="E813" s="4"/>
      <c r="F813" s="4"/>
      <c r="G813" s="25"/>
      <c r="H813" s="4"/>
      <c r="I813" s="72"/>
      <c r="J813" s="73"/>
      <c r="K813" s="4"/>
      <c r="L813" s="7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25"/>
      <c r="C814" s="25"/>
      <c r="D814" s="4"/>
      <c r="E814" s="4"/>
      <c r="F814" s="4"/>
      <c r="G814" s="25"/>
      <c r="H814" s="4"/>
      <c r="I814" s="72"/>
      <c r="J814" s="73"/>
      <c r="K814" s="4"/>
      <c r="L814" s="7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25"/>
      <c r="C815" s="25"/>
      <c r="D815" s="4"/>
      <c r="E815" s="4"/>
      <c r="F815" s="4"/>
      <c r="G815" s="25"/>
      <c r="H815" s="4"/>
      <c r="I815" s="72"/>
      <c r="J815" s="73"/>
      <c r="K815" s="4"/>
      <c r="L815" s="7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25"/>
      <c r="C816" s="25"/>
      <c r="D816" s="4"/>
      <c r="E816" s="4"/>
      <c r="F816" s="4"/>
      <c r="G816" s="25"/>
      <c r="H816" s="4"/>
      <c r="I816" s="72"/>
      <c r="J816" s="73"/>
      <c r="K816" s="4"/>
      <c r="L816" s="7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25"/>
      <c r="C817" s="25"/>
      <c r="D817" s="4"/>
      <c r="E817" s="4"/>
      <c r="F817" s="4"/>
      <c r="G817" s="25"/>
      <c r="H817" s="4"/>
      <c r="I817" s="72"/>
      <c r="J817" s="73"/>
      <c r="K817" s="4"/>
      <c r="L817" s="7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25"/>
      <c r="C818" s="25"/>
      <c r="D818" s="4"/>
      <c r="E818" s="4"/>
      <c r="F818" s="4"/>
      <c r="G818" s="25"/>
      <c r="H818" s="4"/>
      <c r="I818" s="72"/>
      <c r="J818" s="73"/>
      <c r="K818" s="4"/>
      <c r="L818" s="7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25"/>
      <c r="C819" s="25"/>
      <c r="D819" s="4"/>
      <c r="E819" s="4"/>
      <c r="F819" s="4"/>
      <c r="G819" s="25"/>
      <c r="H819" s="4"/>
      <c r="I819" s="72"/>
      <c r="J819" s="73"/>
      <c r="K819" s="4"/>
      <c r="L819" s="7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25"/>
      <c r="C820" s="25"/>
      <c r="D820" s="4"/>
      <c r="E820" s="4"/>
      <c r="F820" s="4"/>
      <c r="G820" s="25"/>
      <c r="H820" s="4"/>
      <c r="I820" s="72"/>
      <c r="J820" s="73"/>
      <c r="K820" s="4"/>
      <c r="L820" s="7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25"/>
      <c r="C821" s="25"/>
      <c r="D821" s="4"/>
      <c r="E821" s="4"/>
      <c r="F821" s="4"/>
      <c r="G821" s="25"/>
      <c r="H821" s="4"/>
      <c r="I821" s="72"/>
      <c r="J821" s="73"/>
      <c r="K821" s="4"/>
      <c r="L821" s="7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25"/>
      <c r="C822" s="25"/>
      <c r="D822" s="4"/>
      <c r="E822" s="4"/>
      <c r="F822" s="4"/>
      <c r="G822" s="25"/>
      <c r="H822" s="4"/>
      <c r="I822" s="72"/>
      <c r="J822" s="73"/>
      <c r="K822" s="4"/>
      <c r="L822" s="7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25"/>
      <c r="C823" s="25"/>
      <c r="D823" s="4"/>
      <c r="E823" s="4"/>
      <c r="F823" s="4"/>
      <c r="G823" s="25"/>
      <c r="H823" s="4"/>
      <c r="I823" s="72"/>
      <c r="J823" s="73"/>
      <c r="K823" s="4"/>
      <c r="L823" s="7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25"/>
      <c r="C824" s="25"/>
      <c r="D824" s="4"/>
      <c r="E824" s="4"/>
      <c r="F824" s="4"/>
      <c r="G824" s="25"/>
      <c r="H824" s="4"/>
      <c r="I824" s="72"/>
      <c r="J824" s="73"/>
      <c r="K824" s="4"/>
      <c r="L824" s="7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25"/>
      <c r="C825" s="25"/>
      <c r="D825" s="4"/>
      <c r="E825" s="4"/>
      <c r="F825" s="4"/>
      <c r="G825" s="25"/>
      <c r="H825" s="4"/>
      <c r="I825" s="72"/>
      <c r="J825" s="73"/>
      <c r="K825" s="4"/>
      <c r="L825" s="7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25"/>
      <c r="C826" s="25"/>
      <c r="D826" s="4"/>
      <c r="E826" s="4"/>
      <c r="F826" s="4"/>
      <c r="G826" s="25"/>
      <c r="H826" s="4"/>
      <c r="I826" s="72"/>
      <c r="J826" s="73"/>
      <c r="K826" s="4"/>
      <c r="L826" s="7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25"/>
      <c r="C827" s="25"/>
      <c r="D827" s="4"/>
      <c r="E827" s="4"/>
      <c r="F827" s="4"/>
      <c r="G827" s="25"/>
      <c r="H827" s="4"/>
      <c r="I827" s="72"/>
      <c r="J827" s="73"/>
      <c r="K827" s="4"/>
      <c r="L827" s="7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25"/>
      <c r="C828" s="25"/>
      <c r="D828" s="4"/>
      <c r="E828" s="4"/>
      <c r="F828" s="4"/>
      <c r="G828" s="25"/>
      <c r="H828" s="4"/>
      <c r="I828" s="72"/>
      <c r="J828" s="73"/>
      <c r="K828" s="4"/>
      <c r="L828" s="7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25"/>
      <c r="C829" s="25"/>
      <c r="D829" s="4"/>
      <c r="E829" s="4"/>
      <c r="F829" s="4"/>
      <c r="G829" s="25"/>
      <c r="H829" s="4"/>
      <c r="I829" s="72"/>
      <c r="J829" s="73"/>
      <c r="K829" s="4"/>
      <c r="L829" s="7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25"/>
      <c r="C830" s="25"/>
      <c r="D830" s="4"/>
      <c r="E830" s="4"/>
      <c r="F830" s="4"/>
      <c r="G830" s="25"/>
      <c r="H830" s="4"/>
      <c r="I830" s="72"/>
      <c r="J830" s="73"/>
      <c r="K830" s="4"/>
      <c r="L830" s="7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25"/>
      <c r="C831" s="25"/>
      <c r="D831" s="4"/>
      <c r="E831" s="4"/>
      <c r="F831" s="4"/>
      <c r="G831" s="25"/>
      <c r="H831" s="4"/>
      <c r="I831" s="72"/>
      <c r="J831" s="73"/>
      <c r="K831" s="4"/>
      <c r="L831" s="7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25"/>
      <c r="C832" s="25"/>
      <c r="D832" s="4"/>
      <c r="E832" s="4"/>
      <c r="F832" s="4"/>
      <c r="G832" s="25"/>
      <c r="H832" s="4"/>
      <c r="I832" s="72"/>
      <c r="J832" s="73"/>
      <c r="K832" s="4"/>
      <c r="L832" s="7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25"/>
      <c r="C833" s="25"/>
      <c r="D833" s="4"/>
      <c r="E833" s="4"/>
      <c r="F833" s="4"/>
      <c r="G833" s="25"/>
      <c r="H833" s="4"/>
      <c r="I833" s="72"/>
      <c r="J833" s="73"/>
      <c r="K833" s="4"/>
      <c r="L833" s="7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25"/>
      <c r="C834" s="25"/>
      <c r="D834" s="4"/>
      <c r="E834" s="4"/>
      <c r="F834" s="4"/>
      <c r="G834" s="25"/>
      <c r="H834" s="4"/>
      <c r="I834" s="72"/>
      <c r="J834" s="73"/>
      <c r="K834" s="4"/>
      <c r="L834" s="7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25"/>
      <c r="C835" s="25"/>
      <c r="D835" s="4"/>
      <c r="E835" s="4"/>
      <c r="F835" s="4"/>
      <c r="G835" s="25"/>
      <c r="H835" s="4"/>
      <c r="I835" s="72"/>
      <c r="J835" s="73"/>
      <c r="K835" s="4"/>
      <c r="L835" s="7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25"/>
      <c r="C836" s="25"/>
      <c r="D836" s="4"/>
      <c r="E836" s="4"/>
      <c r="F836" s="4"/>
      <c r="G836" s="25"/>
      <c r="H836" s="4"/>
      <c r="I836" s="72"/>
      <c r="J836" s="73"/>
      <c r="K836" s="4"/>
      <c r="L836" s="7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25"/>
      <c r="C837" s="25"/>
      <c r="D837" s="4"/>
      <c r="E837" s="4"/>
      <c r="F837" s="4"/>
      <c r="G837" s="25"/>
      <c r="H837" s="4"/>
      <c r="I837" s="72"/>
      <c r="J837" s="73"/>
      <c r="K837" s="4"/>
      <c r="L837" s="7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25"/>
      <c r="C838" s="25"/>
      <c r="D838" s="4"/>
      <c r="E838" s="4"/>
      <c r="F838" s="4"/>
      <c r="G838" s="25"/>
      <c r="H838" s="4"/>
      <c r="I838" s="72"/>
      <c r="J838" s="73"/>
      <c r="K838" s="4"/>
      <c r="L838" s="7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25"/>
      <c r="C839" s="25"/>
      <c r="D839" s="4"/>
      <c r="E839" s="4"/>
      <c r="F839" s="4"/>
      <c r="G839" s="25"/>
      <c r="H839" s="4"/>
      <c r="I839" s="72"/>
      <c r="J839" s="73"/>
      <c r="K839" s="4"/>
      <c r="L839" s="7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25"/>
      <c r="C840" s="25"/>
      <c r="D840" s="4"/>
      <c r="E840" s="4"/>
      <c r="F840" s="4"/>
      <c r="G840" s="25"/>
      <c r="H840" s="4"/>
      <c r="I840" s="72"/>
      <c r="J840" s="73"/>
      <c r="K840" s="4"/>
      <c r="L840" s="7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25"/>
      <c r="C841" s="25"/>
      <c r="D841" s="4"/>
      <c r="E841" s="4"/>
      <c r="F841" s="4"/>
      <c r="G841" s="25"/>
      <c r="H841" s="4"/>
      <c r="I841" s="72"/>
      <c r="J841" s="73"/>
      <c r="K841" s="4"/>
      <c r="L841" s="7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25"/>
      <c r="C842" s="25"/>
      <c r="D842" s="4"/>
      <c r="E842" s="4"/>
      <c r="F842" s="4"/>
      <c r="G842" s="25"/>
      <c r="H842" s="4"/>
      <c r="I842" s="72"/>
      <c r="J842" s="73"/>
      <c r="K842" s="4"/>
      <c r="L842" s="7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25"/>
      <c r="C843" s="25"/>
      <c r="D843" s="4"/>
      <c r="E843" s="4"/>
      <c r="F843" s="4"/>
      <c r="G843" s="25"/>
      <c r="H843" s="4"/>
      <c r="I843" s="72"/>
      <c r="J843" s="73"/>
      <c r="K843" s="4"/>
      <c r="L843" s="7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25"/>
      <c r="C844" s="25"/>
      <c r="D844" s="4"/>
      <c r="E844" s="4"/>
      <c r="F844" s="4"/>
      <c r="G844" s="25"/>
      <c r="H844" s="4"/>
      <c r="I844" s="72"/>
      <c r="J844" s="73"/>
      <c r="K844" s="4"/>
      <c r="L844" s="7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25"/>
      <c r="C845" s="25"/>
      <c r="D845" s="4"/>
      <c r="E845" s="4"/>
      <c r="F845" s="4"/>
      <c r="G845" s="25"/>
      <c r="H845" s="4"/>
      <c r="I845" s="72"/>
      <c r="J845" s="73"/>
      <c r="K845" s="4"/>
      <c r="L845" s="7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25"/>
      <c r="C846" s="25"/>
      <c r="D846" s="4"/>
      <c r="E846" s="4"/>
      <c r="F846" s="4"/>
      <c r="G846" s="25"/>
      <c r="H846" s="4"/>
      <c r="I846" s="72"/>
      <c r="J846" s="73"/>
      <c r="K846" s="4"/>
      <c r="L846" s="7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25"/>
      <c r="C847" s="25"/>
      <c r="D847" s="4"/>
      <c r="E847" s="4"/>
      <c r="F847" s="4"/>
      <c r="G847" s="25"/>
      <c r="H847" s="4"/>
      <c r="I847" s="72"/>
      <c r="J847" s="73"/>
      <c r="K847" s="4"/>
      <c r="L847" s="7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25"/>
      <c r="C848" s="25"/>
      <c r="D848" s="4"/>
      <c r="E848" s="4"/>
      <c r="F848" s="4"/>
      <c r="G848" s="25"/>
      <c r="H848" s="4"/>
      <c r="I848" s="72"/>
      <c r="J848" s="73"/>
      <c r="K848" s="4"/>
      <c r="L848" s="7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25"/>
      <c r="C849" s="25"/>
      <c r="D849" s="4"/>
      <c r="E849" s="4"/>
      <c r="F849" s="4"/>
      <c r="G849" s="25"/>
      <c r="H849" s="4"/>
      <c r="I849" s="72"/>
      <c r="J849" s="73"/>
      <c r="K849" s="4"/>
      <c r="L849" s="7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25"/>
      <c r="C850" s="25"/>
      <c r="D850" s="4"/>
      <c r="E850" s="4"/>
      <c r="F850" s="4"/>
      <c r="G850" s="25"/>
      <c r="H850" s="4"/>
      <c r="I850" s="72"/>
      <c r="J850" s="73"/>
      <c r="K850" s="4"/>
      <c r="L850" s="7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25"/>
      <c r="C851" s="25"/>
      <c r="D851" s="4"/>
      <c r="E851" s="4"/>
      <c r="F851" s="4"/>
      <c r="G851" s="25"/>
      <c r="H851" s="4"/>
      <c r="I851" s="72"/>
      <c r="J851" s="73"/>
      <c r="K851" s="4"/>
      <c r="L851" s="7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25"/>
      <c r="C852" s="25"/>
      <c r="D852" s="4"/>
      <c r="E852" s="4"/>
      <c r="F852" s="4"/>
      <c r="G852" s="25"/>
      <c r="H852" s="4"/>
      <c r="I852" s="72"/>
      <c r="J852" s="73"/>
      <c r="K852" s="4"/>
      <c r="L852" s="7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25"/>
      <c r="C853" s="25"/>
      <c r="D853" s="4"/>
      <c r="E853" s="4"/>
      <c r="F853" s="4"/>
      <c r="G853" s="25"/>
      <c r="H853" s="4"/>
      <c r="I853" s="72"/>
      <c r="J853" s="73"/>
      <c r="K853" s="4"/>
      <c r="L853" s="7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25"/>
      <c r="C854" s="25"/>
      <c r="D854" s="4"/>
      <c r="E854" s="4"/>
      <c r="F854" s="4"/>
      <c r="G854" s="25"/>
      <c r="H854" s="4"/>
      <c r="I854" s="72"/>
      <c r="J854" s="73"/>
      <c r="K854" s="4"/>
      <c r="L854" s="7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25"/>
      <c r="C855" s="25"/>
      <c r="D855" s="4"/>
      <c r="E855" s="4"/>
      <c r="F855" s="4"/>
      <c r="G855" s="25"/>
      <c r="H855" s="4"/>
      <c r="I855" s="72"/>
      <c r="J855" s="73"/>
      <c r="K855" s="4"/>
      <c r="L855" s="7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25"/>
      <c r="C856" s="25"/>
      <c r="D856" s="4"/>
      <c r="E856" s="4"/>
      <c r="F856" s="4"/>
      <c r="G856" s="25"/>
      <c r="H856" s="4"/>
      <c r="I856" s="72"/>
      <c r="J856" s="73"/>
      <c r="K856" s="4"/>
      <c r="L856" s="7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25"/>
      <c r="C857" s="25"/>
      <c r="D857" s="4"/>
      <c r="E857" s="4"/>
      <c r="F857" s="4"/>
      <c r="G857" s="25"/>
      <c r="H857" s="4"/>
      <c r="I857" s="72"/>
      <c r="J857" s="73"/>
      <c r="K857" s="4"/>
      <c r="L857" s="7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25"/>
      <c r="C858" s="25"/>
      <c r="D858" s="4"/>
      <c r="E858" s="4"/>
      <c r="F858" s="4"/>
      <c r="G858" s="25"/>
      <c r="H858" s="4"/>
      <c r="I858" s="72"/>
      <c r="J858" s="73"/>
      <c r="K858" s="4"/>
      <c r="L858" s="7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25"/>
      <c r="C859" s="25"/>
      <c r="D859" s="4"/>
      <c r="E859" s="4"/>
      <c r="F859" s="4"/>
      <c r="G859" s="25"/>
      <c r="H859" s="4"/>
      <c r="I859" s="72"/>
      <c r="J859" s="73"/>
      <c r="K859" s="4"/>
      <c r="L859" s="7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25"/>
      <c r="C860" s="25"/>
      <c r="D860" s="4"/>
      <c r="E860" s="4"/>
      <c r="F860" s="4"/>
      <c r="G860" s="25"/>
      <c r="H860" s="4"/>
      <c r="I860" s="72"/>
      <c r="J860" s="73"/>
      <c r="K860" s="4"/>
      <c r="L860" s="7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25"/>
      <c r="C861" s="25"/>
      <c r="D861" s="4"/>
      <c r="E861" s="4"/>
      <c r="F861" s="4"/>
      <c r="G861" s="25"/>
      <c r="H861" s="4"/>
      <c r="I861" s="72"/>
      <c r="J861" s="73"/>
      <c r="K861" s="4"/>
      <c r="L861" s="7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25"/>
      <c r="C862" s="25"/>
      <c r="D862" s="4"/>
      <c r="E862" s="4"/>
      <c r="F862" s="4"/>
      <c r="G862" s="25"/>
      <c r="H862" s="4"/>
      <c r="I862" s="72"/>
      <c r="J862" s="73"/>
      <c r="K862" s="4"/>
      <c r="L862" s="7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25"/>
      <c r="C863" s="25"/>
      <c r="D863" s="4"/>
      <c r="E863" s="4"/>
      <c r="F863" s="4"/>
      <c r="G863" s="25"/>
      <c r="H863" s="4"/>
      <c r="I863" s="72"/>
      <c r="J863" s="73"/>
      <c r="K863" s="4"/>
      <c r="L863" s="7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25"/>
      <c r="C864" s="25"/>
      <c r="D864" s="4"/>
      <c r="E864" s="4"/>
      <c r="F864" s="4"/>
      <c r="G864" s="25"/>
      <c r="H864" s="4"/>
      <c r="I864" s="72"/>
      <c r="J864" s="73"/>
      <c r="K864" s="4"/>
      <c r="L864" s="7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25"/>
      <c r="C865" s="25"/>
      <c r="D865" s="4"/>
      <c r="E865" s="4"/>
      <c r="F865" s="4"/>
      <c r="G865" s="25"/>
      <c r="H865" s="4"/>
      <c r="I865" s="72"/>
      <c r="J865" s="73"/>
      <c r="K865" s="4"/>
      <c r="L865" s="7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25"/>
      <c r="C866" s="25"/>
      <c r="D866" s="4"/>
      <c r="E866" s="4"/>
      <c r="F866" s="4"/>
      <c r="G866" s="25"/>
      <c r="H866" s="4"/>
      <c r="I866" s="72"/>
      <c r="J866" s="73"/>
      <c r="K866" s="4"/>
      <c r="L866" s="7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25"/>
      <c r="C867" s="25"/>
      <c r="D867" s="4"/>
      <c r="E867" s="4"/>
      <c r="F867" s="4"/>
      <c r="G867" s="25"/>
      <c r="H867" s="4"/>
      <c r="I867" s="72"/>
      <c r="J867" s="73"/>
      <c r="K867" s="4"/>
      <c r="L867" s="7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25"/>
      <c r="C868" s="25"/>
      <c r="D868" s="4"/>
      <c r="E868" s="4"/>
      <c r="F868" s="4"/>
      <c r="G868" s="25"/>
      <c r="H868" s="4"/>
      <c r="I868" s="72"/>
      <c r="J868" s="73"/>
      <c r="K868" s="4"/>
      <c r="L868" s="7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25"/>
      <c r="C869" s="25"/>
      <c r="D869" s="4"/>
      <c r="E869" s="4"/>
      <c r="F869" s="4"/>
      <c r="G869" s="25"/>
      <c r="H869" s="4"/>
      <c r="I869" s="72"/>
      <c r="J869" s="73"/>
      <c r="K869" s="4"/>
      <c r="L869" s="7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25"/>
      <c r="C870" s="25"/>
      <c r="D870" s="4"/>
      <c r="E870" s="4"/>
      <c r="F870" s="4"/>
      <c r="G870" s="25"/>
      <c r="H870" s="4"/>
      <c r="I870" s="72"/>
      <c r="J870" s="73"/>
      <c r="K870" s="4"/>
      <c r="L870" s="7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25"/>
      <c r="C871" s="25"/>
      <c r="D871" s="4"/>
      <c r="E871" s="4"/>
      <c r="F871" s="4"/>
      <c r="G871" s="25"/>
      <c r="H871" s="4"/>
      <c r="I871" s="72"/>
      <c r="J871" s="73"/>
      <c r="K871" s="4"/>
      <c r="L871" s="7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25"/>
      <c r="C872" s="25"/>
      <c r="D872" s="4"/>
      <c r="E872" s="4"/>
      <c r="F872" s="4"/>
      <c r="G872" s="25"/>
      <c r="H872" s="4"/>
      <c r="I872" s="72"/>
      <c r="J872" s="73"/>
      <c r="K872" s="4"/>
      <c r="L872" s="7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25"/>
      <c r="C873" s="25"/>
      <c r="D873" s="4"/>
      <c r="E873" s="4"/>
      <c r="F873" s="4"/>
      <c r="G873" s="25"/>
      <c r="H873" s="4"/>
      <c r="I873" s="72"/>
      <c r="J873" s="73"/>
      <c r="K873" s="4"/>
      <c r="L873" s="7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25"/>
      <c r="C874" s="25"/>
      <c r="D874" s="4"/>
      <c r="E874" s="4"/>
      <c r="F874" s="4"/>
      <c r="G874" s="25"/>
      <c r="H874" s="4"/>
      <c r="I874" s="72"/>
      <c r="J874" s="73"/>
      <c r="K874" s="4"/>
      <c r="L874" s="7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25"/>
      <c r="C875" s="25"/>
      <c r="D875" s="4"/>
      <c r="E875" s="4"/>
      <c r="F875" s="4"/>
      <c r="G875" s="25"/>
      <c r="H875" s="4"/>
      <c r="I875" s="72"/>
      <c r="J875" s="73"/>
      <c r="K875" s="4"/>
      <c r="L875" s="7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25"/>
      <c r="C876" s="25"/>
      <c r="D876" s="4"/>
      <c r="E876" s="4"/>
      <c r="F876" s="4"/>
      <c r="G876" s="25"/>
      <c r="H876" s="4"/>
      <c r="I876" s="72"/>
      <c r="J876" s="73"/>
      <c r="K876" s="4"/>
      <c r="L876" s="7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25"/>
      <c r="C877" s="25"/>
      <c r="D877" s="4"/>
      <c r="E877" s="4"/>
      <c r="F877" s="4"/>
      <c r="G877" s="25"/>
      <c r="H877" s="4"/>
      <c r="I877" s="72"/>
      <c r="J877" s="73"/>
      <c r="K877" s="4"/>
      <c r="L877" s="7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25"/>
      <c r="C878" s="25"/>
      <c r="D878" s="4"/>
      <c r="E878" s="4"/>
      <c r="F878" s="4"/>
      <c r="G878" s="25"/>
      <c r="H878" s="4"/>
      <c r="I878" s="72"/>
      <c r="J878" s="73"/>
      <c r="K878" s="4"/>
      <c r="L878" s="7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25"/>
      <c r="C879" s="25"/>
      <c r="D879" s="4"/>
      <c r="E879" s="4"/>
      <c r="F879" s="4"/>
      <c r="G879" s="25"/>
      <c r="H879" s="4"/>
      <c r="I879" s="72"/>
      <c r="J879" s="73"/>
      <c r="K879" s="4"/>
      <c r="L879" s="7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25"/>
      <c r="C880" s="25"/>
      <c r="D880" s="4"/>
      <c r="E880" s="4"/>
      <c r="F880" s="4"/>
      <c r="G880" s="25"/>
      <c r="H880" s="4"/>
      <c r="I880" s="72"/>
      <c r="J880" s="73"/>
      <c r="K880" s="4"/>
      <c r="L880" s="7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25"/>
      <c r="C881" s="25"/>
      <c r="D881" s="4"/>
      <c r="E881" s="4"/>
      <c r="F881" s="4"/>
      <c r="G881" s="25"/>
      <c r="H881" s="4"/>
      <c r="I881" s="72"/>
      <c r="J881" s="73"/>
      <c r="K881" s="4"/>
      <c r="L881" s="7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25"/>
      <c r="C882" s="25"/>
      <c r="D882" s="4"/>
      <c r="E882" s="4"/>
      <c r="F882" s="4"/>
      <c r="G882" s="25"/>
      <c r="H882" s="4"/>
      <c r="I882" s="72"/>
      <c r="J882" s="73"/>
      <c r="K882" s="4"/>
      <c r="L882" s="7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25"/>
      <c r="C883" s="25"/>
      <c r="D883" s="4"/>
      <c r="E883" s="4"/>
      <c r="F883" s="4"/>
      <c r="G883" s="25"/>
      <c r="H883" s="4"/>
      <c r="I883" s="72"/>
      <c r="J883" s="73"/>
      <c r="K883" s="4"/>
      <c r="L883" s="7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25"/>
      <c r="C884" s="25"/>
      <c r="D884" s="4"/>
      <c r="E884" s="4"/>
      <c r="F884" s="4"/>
      <c r="G884" s="25"/>
      <c r="H884" s="4"/>
      <c r="I884" s="72"/>
      <c r="J884" s="73"/>
      <c r="K884" s="4"/>
      <c r="L884" s="7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25"/>
      <c r="C885" s="25"/>
      <c r="D885" s="4"/>
      <c r="E885" s="4"/>
      <c r="F885" s="4"/>
      <c r="G885" s="25"/>
      <c r="H885" s="4"/>
      <c r="I885" s="72"/>
      <c r="J885" s="73"/>
      <c r="K885" s="4"/>
      <c r="L885" s="7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25"/>
      <c r="C886" s="25"/>
      <c r="D886" s="4"/>
      <c r="E886" s="4"/>
      <c r="F886" s="4"/>
      <c r="G886" s="25"/>
      <c r="H886" s="4"/>
      <c r="I886" s="72"/>
      <c r="J886" s="73"/>
      <c r="K886" s="4"/>
      <c r="L886" s="7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25"/>
      <c r="C887" s="25"/>
      <c r="D887" s="4"/>
      <c r="E887" s="4"/>
      <c r="F887" s="4"/>
      <c r="G887" s="25"/>
      <c r="H887" s="4"/>
      <c r="I887" s="72"/>
      <c r="J887" s="73"/>
      <c r="K887" s="4"/>
      <c r="L887" s="7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25"/>
      <c r="C888" s="25"/>
      <c r="D888" s="4"/>
      <c r="E888" s="4"/>
      <c r="F888" s="4"/>
      <c r="G888" s="25"/>
      <c r="H888" s="4"/>
      <c r="I888" s="72"/>
      <c r="J888" s="73"/>
      <c r="K888" s="4"/>
      <c r="L888" s="7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25"/>
      <c r="C889" s="25"/>
      <c r="D889" s="4"/>
      <c r="E889" s="4"/>
      <c r="F889" s="4"/>
      <c r="G889" s="25"/>
      <c r="H889" s="4"/>
      <c r="I889" s="72"/>
      <c r="J889" s="73"/>
      <c r="K889" s="4"/>
      <c r="L889" s="7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25"/>
      <c r="C890" s="25"/>
      <c r="D890" s="4"/>
      <c r="E890" s="4"/>
      <c r="F890" s="4"/>
      <c r="G890" s="25"/>
      <c r="H890" s="4"/>
      <c r="I890" s="72"/>
      <c r="J890" s="73"/>
      <c r="K890" s="4"/>
      <c r="L890" s="7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25"/>
      <c r="C891" s="25"/>
      <c r="D891" s="4"/>
      <c r="E891" s="4"/>
      <c r="F891" s="4"/>
      <c r="G891" s="25"/>
      <c r="H891" s="4"/>
      <c r="I891" s="72"/>
      <c r="J891" s="73"/>
      <c r="K891" s="4"/>
      <c r="L891" s="7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25"/>
      <c r="C892" s="25"/>
      <c r="D892" s="4"/>
      <c r="E892" s="4"/>
      <c r="F892" s="4"/>
      <c r="G892" s="25"/>
      <c r="H892" s="4"/>
      <c r="I892" s="72"/>
      <c r="J892" s="73"/>
      <c r="K892" s="4"/>
      <c r="L892" s="7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25"/>
      <c r="C893" s="25"/>
      <c r="D893" s="4"/>
      <c r="E893" s="4"/>
      <c r="F893" s="4"/>
      <c r="G893" s="25"/>
      <c r="H893" s="4"/>
      <c r="I893" s="72"/>
      <c r="J893" s="73"/>
      <c r="K893" s="4"/>
      <c r="L893" s="7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25"/>
      <c r="C894" s="25"/>
      <c r="D894" s="4"/>
      <c r="E894" s="4"/>
      <c r="F894" s="4"/>
      <c r="G894" s="25"/>
      <c r="H894" s="4"/>
      <c r="I894" s="72"/>
      <c r="J894" s="73"/>
      <c r="K894" s="4"/>
      <c r="L894" s="7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25"/>
      <c r="C895" s="25"/>
      <c r="D895" s="4"/>
      <c r="E895" s="4"/>
      <c r="F895" s="4"/>
      <c r="G895" s="25"/>
      <c r="H895" s="4"/>
      <c r="I895" s="72"/>
      <c r="J895" s="73"/>
      <c r="K895" s="4"/>
      <c r="L895" s="7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25"/>
      <c r="C896" s="25"/>
      <c r="D896" s="4"/>
      <c r="E896" s="4"/>
      <c r="F896" s="4"/>
      <c r="G896" s="25"/>
      <c r="H896" s="4"/>
      <c r="I896" s="72"/>
      <c r="J896" s="73"/>
      <c r="K896" s="4"/>
      <c r="L896" s="7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25"/>
      <c r="C897" s="25"/>
      <c r="D897" s="4"/>
      <c r="E897" s="4"/>
      <c r="F897" s="4"/>
      <c r="G897" s="25"/>
      <c r="H897" s="4"/>
      <c r="I897" s="72"/>
      <c r="J897" s="73"/>
      <c r="K897" s="4"/>
      <c r="L897" s="7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25"/>
      <c r="C898" s="25"/>
      <c r="D898" s="4"/>
      <c r="E898" s="4"/>
      <c r="F898" s="4"/>
      <c r="G898" s="25"/>
      <c r="H898" s="4"/>
      <c r="I898" s="72"/>
      <c r="J898" s="73"/>
      <c r="K898" s="4"/>
      <c r="L898" s="7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25"/>
      <c r="C899" s="25"/>
      <c r="D899" s="4"/>
      <c r="E899" s="4"/>
      <c r="F899" s="4"/>
      <c r="G899" s="25"/>
      <c r="H899" s="4"/>
      <c r="I899" s="72"/>
      <c r="J899" s="73"/>
      <c r="K899" s="4"/>
      <c r="L899" s="7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25"/>
      <c r="C900" s="25"/>
      <c r="D900" s="4"/>
      <c r="E900" s="4"/>
      <c r="F900" s="4"/>
      <c r="G900" s="25"/>
      <c r="H900" s="4"/>
      <c r="I900" s="72"/>
      <c r="J900" s="73"/>
      <c r="K900" s="4"/>
      <c r="L900" s="7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25"/>
      <c r="C901" s="25"/>
      <c r="D901" s="4"/>
      <c r="E901" s="4"/>
      <c r="F901" s="4"/>
      <c r="G901" s="25"/>
      <c r="H901" s="4"/>
      <c r="I901" s="72"/>
      <c r="J901" s="73"/>
      <c r="K901" s="4"/>
      <c r="L901" s="7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25"/>
      <c r="C902" s="25"/>
      <c r="D902" s="4"/>
      <c r="E902" s="4"/>
      <c r="F902" s="4"/>
      <c r="G902" s="25"/>
      <c r="H902" s="4"/>
      <c r="I902" s="72"/>
      <c r="J902" s="73"/>
      <c r="K902" s="4"/>
      <c r="L902" s="7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25"/>
      <c r="C903" s="25"/>
      <c r="D903" s="4"/>
      <c r="E903" s="4"/>
      <c r="F903" s="4"/>
      <c r="G903" s="25"/>
      <c r="H903" s="4"/>
      <c r="I903" s="72"/>
      <c r="J903" s="73"/>
      <c r="K903" s="4"/>
      <c r="L903" s="7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25"/>
      <c r="C904" s="25"/>
      <c r="D904" s="4"/>
      <c r="E904" s="4"/>
      <c r="F904" s="4"/>
      <c r="G904" s="25"/>
      <c r="H904" s="4"/>
      <c r="I904" s="72"/>
      <c r="J904" s="73"/>
      <c r="K904" s="4"/>
      <c r="L904" s="7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25"/>
      <c r="C905" s="25"/>
      <c r="D905" s="4"/>
      <c r="E905" s="4"/>
      <c r="F905" s="4"/>
      <c r="G905" s="25"/>
      <c r="H905" s="4"/>
      <c r="I905" s="72"/>
      <c r="J905" s="73"/>
      <c r="K905" s="4"/>
      <c r="L905" s="7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25"/>
      <c r="C906" s="25"/>
      <c r="D906" s="4"/>
      <c r="E906" s="4"/>
      <c r="F906" s="4"/>
      <c r="G906" s="25"/>
      <c r="H906" s="4"/>
      <c r="I906" s="72"/>
      <c r="J906" s="73"/>
      <c r="K906" s="4"/>
      <c r="L906" s="7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25"/>
      <c r="C907" s="25"/>
      <c r="D907" s="4"/>
      <c r="E907" s="4"/>
      <c r="F907" s="4"/>
      <c r="G907" s="25"/>
      <c r="H907" s="4"/>
      <c r="I907" s="72"/>
      <c r="J907" s="73"/>
      <c r="K907" s="4"/>
      <c r="L907" s="7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25"/>
      <c r="C908" s="25"/>
      <c r="D908" s="4"/>
      <c r="E908" s="4"/>
      <c r="F908" s="4"/>
      <c r="G908" s="25"/>
      <c r="H908" s="4"/>
      <c r="I908" s="72"/>
      <c r="J908" s="73"/>
      <c r="K908" s="4"/>
      <c r="L908" s="7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25"/>
      <c r="C909" s="25"/>
      <c r="D909" s="4"/>
      <c r="E909" s="4"/>
      <c r="F909" s="4"/>
      <c r="G909" s="25"/>
      <c r="H909" s="4"/>
      <c r="I909" s="72"/>
      <c r="J909" s="73"/>
      <c r="K909" s="4"/>
      <c r="L909" s="7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25"/>
      <c r="C910" s="25"/>
      <c r="D910" s="4"/>
      <c r="E910" s="4"/>
      <c r="F910" s="4"/>
      <c r="G910" s="25"/>
      <c r="H910" s="4"/>
      <c r="I910" s="72"/>
      <c r="J910" s="73"/>
      <c r="K910" s="4"/>
      <c r="L910" s="7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25"/>
      <c r="C911" s="25"/>
      <c r="D911" s="4"/>
      <c r="E911" s="4"/>
      <c r="F911" s="4"/>
      <c r="G911" s="25"/>
      <c r="H911" s="4"/>
      <c r="I911" s="72"/>
      <c r="J911" s="73"/>
      <c r="K911" s="4"/>
      <c r="L911" s="7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25"/>
      <c r="C912" s="25"/>
      <c r="D912" s="4"/>
      <c r="E912" s="4"/>
      <c r="F912" s="4"/>
      <c r="G912" s="25"/>
      <c r="H912" s="4"/>
      <c r="I912" s="72"/>
      <c r="J912" s="73"/>
      <c r="K912" s="4"/>
      <c r="L912" s="7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25"/>
      <c r="C913" s="25"/>
      <c r="D913" s="4"/>
      <c r="E913" s="4"/>
      <c r="F913" s="4"/>
      <c r="G913" s="25"/>
      <c r="H913" s="4"/>
      <c r="I913" s="72"/>
      <c r="J913" s="73"/>
      <c r="K913" s="4"/>
      <c r="L913" s="7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25"/>
      <c r="C914" s="25"/>
      <c r="D914" s="4"/>
      <c r="E914" s="4"/>
      <c r="F914" s="4"/>
      <c r="G914" s="25"/>
      <c r="H914" s="4"/>
      <c r="I914" s="72"/>
      <c r="J914" s="73"/>
      <c r="K914" s="4"/>
      <c r="L914" s="7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25"/>
      <c r="C915" s="25"/>
      <c r="D915" s="4"/>
      <c r="E915" s="4"/>
      <c r="F915" s="4"/>
      <c r="G915" s="25"/>
      <c r="H915" s="4"/>
      <c r="I915" s="72"/>
      <c r="J915" s="73"/>
      <c r="K915" s="4"/>
      <c r="L915" s="7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25"/>
      <c r="C916" s="25"/>
      <c r="D916" s="4"/>
      <c r="E916" s="4"/>
      <c r="F916" s="4"/>
      <c r="G916" s="25"/>
      <c r="H916" s="4"/>
      <c r="I916" s="72"/>
      <c r="J916" s="73"/>
      <c r="K916" s="4"/>
      <c r="L916" s="7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25"/>
      <c r="C917" s="25"/>
      <c r="D917" s="4"/>
      <c r="E917" s="4"/>
      <c r="F917" s="4"/>
      <c r="G917" s="25"/>
      <c r="H917" s="4"/>
      <c r="I917" s="72"/>
      <c r="J917" s="73"/>
      <c r="K917" s="4"/>
      <c r="L917" s="7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25"/>
      <c r="C918" s="25"/>
      <c r="D918" s="4"/>
      <c r="E918" s="4"/>
      <c r="F918" s="4"/>
      <c r="G918" s="25"/>
      <c r="H918" s="4"/>
      <c r="I918" s="72"/>
      <c r="J918" s="73"/>
      <c r="K918" s="4"/>
      <c r="L918" s="7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25"/>
      <c r="C919" s="25"/>
      <c r="D919" s="4"/>
      <c r="E919" s="4"/>
      <c r="F919" s="4"/>
      <c r="G919" s="25"/>
      <c r="H919" s="4"/>
      <c r="I919" s="72"/>
      <c r="J919" s="73"/>
      <c r="K919" s="4"/>
      <c r="L919" s="7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25"/>
      <c r="C920" s="25"/>
      <c r="D920" s="4"/>
      <c r="E920" s="4"/>
      <c r="F920" s="4"/>
      <c r="G920" s="25"/>
      <c r="H920" s="4"/>
      <c r="I920" s="72"/>
      <c r="J920" s="73"/>
      <c r="K920" s="4"/>
      <c r="L920" s="7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25"/>
      <c r="C921" s="25"/>
      <c r="D921" s="4"/>
      <c r="E921" s="4"/>
      <c r="F921" s="4"/>
      <c r="G921" s="25"/>
      <c r="H921" s="4"/>
      <c r="I921" s="72"/>
      <c r="J921" s="73"/>
      <c r="K921" s="4"/>
      <c r="L921" s="7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25"/>
      <c r="C922" s="25"/>
      <c r="D922" s="4"/>
      <c r="E922" s="4"/>
      <c r="F922" s="4"/>
      <c r="G922" s="25"/>
      <c r="H922" s="4"/>
      <c r="I922" s="72"/>
      <c r="J922" s="73"/>
      <c r="K922" s="4"/>
      <c r="L922" s="7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25"/>
      <c r="C923" s="25"/>
      <c r="D923" s="4"/>
      <c r="E923" s="4"/>
      <c r="F923" s="4"/>
      <c r="G923" s="25"/>
      <c r="H923" s="4"/>
      <c r="I923" s="72"/>
      <c r="J923" s="73"/>
      <c r="K923" s="4"/>
      <c r="L923" s="7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25"/>
      <c r="C924" s="25"/>
      <c r="D924" s="4"/>
      <c r="E924" s="4"/>
      <c r="F924" s="4"/>
      <c r="G924" s="25"/>
      <c r="H924" s="4"/>
      <c r="I924" s="72"/>
      <c r="J924" s="73"/>
      <c r="K924" s="4"/>
      <c r="L924" s="7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25"/>
      <c r="C925" s="25"/>
      <c r="D925" s="4"/>
      <c r="E925" s="4"/>
      <c r="F925" s="4"/>
      <c r="G925" s="25"/>
      <c r="H925" s="4"/>
      <c r="I925" s="72"/>
      <c r="J925" s="73"/>
      <c r="K925" s="4"/>
      <c r="L925" s="7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25"/>
      <c r="C926" s="25"/>
      <c r="D926" s="4"/>
      <c r="E926" s="4"/>
      <c r="F926" s="4"/>
      <c r="G926" s="25"/>
      <c r="H926" s="4"/>
      <c r="I926" s="72"/>
      <c r="J926" s="73"/>
      <c r="K926" s="4"/>
      <c r="L926" s="7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25"/>
      <c r="C927" s="25"/>
      <c r="D927" s="4"/>
      <c r="E927" s="4"/>
      <c r="F927" s="4"/>
      <c r="G927" s="25"/>
      <c r="H927" s="4"/>
      <c r="I927" s="72"/>
      <c r="J927" s="73"/>
      <c r="K927" s="4"/>
      <c r="L927" s="7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25"/>
      <c r="C928" s="25"/>
      <c r="D928" s="4"/>
      <c r="E928" s="4"/>
      <c r="F928" s="4"/>
      <c r="G928" s="25"/>
      <c r="H928" s="4"/>
      <c r="I928" s="72"/>
      <c r="J928" s="73"/>
      <c r="K928" s="4"/>
      <c r="L928" s="7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25"/>
      <c r="C929" s="25"/>
      <c r="D929" s="4"/>
      <c r="E929" s="4"/>
      <c r="F929" s="4"/>
      <c r="G929" s="25"/>
      <c r="H929" s="4"/>
      <c r="I929" s="72"/>
      <c r="J929" s="73"/>
      <c r="K929" s="4"/>
      <c r="L929" s="7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25"/>
      <c r="C930" s="25"/>
      <c r="D930" s="4"/>
      <c r="E930" s="4"/>
      <c r="F930" s="4"/>
      <c r="G930" s="25"/>
      <c r="H930" s="4"/>
      <c r="I930" s="72"/>
      <c r="J930" s="73"/>
      <c r="K930" s="4"/>
      <c r="L930" s="7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25"/>
      <c r="C931" s="25"/>
      <c r="D931" s="4"/>
      <c r="E931" s="4"/>
      <c r="F931" s="4"/>
      <c r="G931" s="25"/>
      <c r="H931" s="4"/>
      <c r="I931" s="72"/>
      <c r="J931" s="73"/>
      <c r="K931" s="4"/>
      <c r="L931" s="7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25"/>
      <c r="C932" s="25"/>
      <c r="D932" s="4"/>
      <c r="E932" s="4"/>
      <c r="F932" s="4"/>
      <c r="G932" s="25"/>
      <c r="H932" s="4"/>
      <c r="I932" s="72"/>
      <c r="J932" s="73"/>
      <c r="K932" s="4"/>
      <c r="L932" s="7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25"/>
      <c r="C933" s="25"/>
      <c r="D933" s="4"/>
      <c r="E933" s="4"/>
      <c r="F933" s="4"/>
      <c r="G933" s="25"/>
      <c r="H933" s="4"/>
      <c r="I933" s="72"/>
      <c r="J933" s="73"/>
      <c r="K933" s="4"/>
      <c r="L933" s="7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25"/>
      <c r="C934" s="25"/>
      <c r="D934" s="4"/>
      <c r="E934" s="4"/>
      <c r="F934" s="4"/>
      <c r="G934" s="25"/>
      <c r="H934" s="4"/>
      <c r="I934" s="72"/>
      <c r="J934" s="73"/>
      <c r="K934" s="4"/>
      <c r="L934" s="7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25"/>
      <c r="C935" s="25"/>
      <c r="D935" s="4"/>
      <c r="E935" s="4"/>
      <c r="F935" s="4"/>
      <c r="G935" s="25"/>
      <c r="H935" s="4"/>
      <c r="I935" s="72"/>
      <c r="J935" s="73"/>
      <c r="K935" s="4"/>
      <c r="L935" s="7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25"/>
      <c r="C936" s="25"/>
      <c r="D936" s="4"/>
      <c r="E936" s="4"/>
      <c r="F936" s="4"/>
      <c r="G936" s="25"/>
      <c r="H936" s="4"/>
      <c r="I936" s="72"/>
      <c r="J936" s="73"/>
      <c r="K936" s="4"/>
      <c r="L936" s="7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25"/>
      <c r="C937" s="25"/>
      <c r="D937" s="4"/>
      <c r="E937" s="4"/>
      <c r="F937" s="4"/>
      <c r="G937" s="25"/>
      <c r="H937" s="4"/>
      <c r="I937" s="72"/>
      <c r="J937" s="73"/>
      <c r="K937" s="4"/>
      <c r="L937" s="7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25"/>
      <c r="C938" s="25"/>
      <c r="D938" s="4"/>
      <c r="E938" s="4"/>
      <c r="F938" s="4"/>
      <c r="G938" s="25"/>
      <c r="H938" s="4"/>
      <c r="I938" s="72"/>
      <c r="J938" s="73"/>
      <c r="K938" s="4"/>
      <c r="L938" s="7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25"/>
      <c r="C939" s="25"/>
      <c r="D939" s="4"/>
      <c r="E939" s="4"/>
      <c r="F939" s="4"/>
      <c r="G939" s="25"/>
      <c r="H939" s="4"/>
      <c r="I939" s="72"/>
      <c r="J939" s="73"/>
      <c r="K939" s="4"/>
      <c r="L939" s="7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25"/>
      <c r="C940" s="25"/>
      <c r="D940" s="4"/>
      <c r="E940" s="4"/>
      <c r="F940" s="4"/>
      <c r="G940" s="25"/>
      <c r="H940" s="4"/>
      <c r="I940" s="72"/>
      <c r="J940" s="73"/>
      <c r="K940" s="4"/>
      <c r="L940" s="7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25"/>
      <c r="C941" s="25"/>
      <c r="D941" s="4"/>
      <c r="E941" s="4"/>
      <c r="F941" s="4"/>
      <c r="G941" s="25"/>
      <c r="H941" s="4"/>
      <c r="I941" s="72"/>
      <c r="J941" s="73"/>
      <c r="K941" s="4"/>
      <c r="L941" s="7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25"/>
      <c r="C942" s="25"/>
      <c r="D942" s="4"/>
      <c r="E942" s="4"/>
      <c r="F942" s="4"/>
      <c r="G942" s="25"/>
      <c r="H942" s="4"/>
      <c r="I942" s="72"/>
      <c r="J942" s="73"/>
      <c r="K942" s="4"/>
      <c r="L942" s="7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25"/>
      <c r="C943" s="25"/>
      <c r="D943" s="4"/>
      <c r="E943" s="4"/>
      <c r="F943" s="4"/>
      <c r="G943" s="25"/>
      <c r="H943" s="4"/>
      <c r="I943" s="72"/>
      <c r="J943" s="73"/>
      <c r="K943" s="4"/>
      <c r="L943" s="7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25"/>
      <c r="C944" s="25"/>
      <c r="D944" s="4"/>
      <c r="E944" s="4"/>
      <c r="F944" s="4"/>
      <c r="G944" s="25"/>
      <c r="H944" s="4"/>
      <c r="I944" s="72"/>
      <c r="J944" s="73"/>
      <c r="K944" s="4"/>
      <c r="L944" s="7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25"/>
      <c r="C945" s="25"/>
      <c r="D945" s="4"/>
      <c r="E945" s="4"/>
      <c r="F945" s="4"/>
      <c r="G945" s="25"/>
      <c r="H945" s="4"/>
      <c r="I945" s="72"/>
      <c r="J945" s="73"/>
      <c r="K945" s="4"/>
      <c r="L945" s="7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25"/>
      <c r="C946" s="25"/>
      <c r="D946" s="4"/>
      <c r="E946" s="4"/>
      <c r="F946" s="4"/>
      <c r="G946" s="25"/>
      <c r="H946" s="4"/>
      <c r="I946" s="72"/>
      <c r="J946" s="73"/>
      <c r="K946" s="4"/>
      <c r="L946" s="7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25"/>
      <c r="C947" s="25"/>
      <c r="D947" s="4"/>
      <c r="E947" s="4"/>
      <c r="F947" s="4"/>
      <c r="G947" s="25"/>
      <c r="H947" s="4"/>
      <c r="I947" s="72"/>
      <c r="J947" s="73"/>
      <c r="K947" s="4"/>
      <c r="L947" s="7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25"/>
      <c r="C948" s="25"/>
      <c r="D948" s="4"/>
      <c r="E948" s="4"/>
      <c r="F948" s="4"/>
      <c r="G948" s="25"/>
      <c r="H948" s="4"/>
      <c r="I948" s="72"/>
      <c r="J948" s="73"/>
      <c r="K948" s="4"/>
      <c r="L948" s="7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25"/>
      <c r="C949" s="25"/>
      <c r="D949" s="4"/>
      <c r="E949" s="4"/>
      <c r="F949" s="4"/>
      <c r="G949" s="25"/>
      <c r="H949" s="4"/>
      <c r="I949" s="72"/>
      <c r="J949" s="73"/>
      <c r="K949" s="4"/>
      <c r="L949" s="7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25"/>
      <c r="C950" s="25"/>
      <c r="D950" s="4"/>
      <c r="E950" s="4"/>
      <c r="F950" s="4"/>
      <c r="G950" s="25"/>
      <c r="H950" s="4"/>
      <c r="I950" s="72"/>
      <c r="J950" s="73"/>
      <c r="K950" s="4"/>
      <c r="L950" s="7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25"/>
      <c r="C951" s="25"/>
      <c r="D951" s="4"/>
      <c r="E951" s="4"/>
      <c r="F951" s="4"/>
      <c r="G951" s="25"/>
      <c r="H951" s="4"/>
      <c r="I951" s="72"/>
      <c r="J951" s="73"/>
      <c r="K951" s="4"/>
      <c r="L951" s="7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25"/>
      <c r="C952" s="25"/>
      <c r="D952" s="4"/>
      <c r="E952" s="4"/>
      <c r="F952" s="4"/>
      <c r="G952" s="25"/>
      <c r="H952" s="4"/>
      <c r="I952" s="72"/>
      <c r="J952" s="73"/>
      <c r="K952" s="4"/>
      <c r="L952" s="7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25"/>
      <c r="C953" s="25"/>
      <c r="D953" s="4"/>
      <c r="E953" s="4"/>
      <c r="F953" s="4"/>
      <c r="G953" s="25"/>
      <c r="H953" s="4"/>
      <c r="I953" s="72"/>
      <c r="J953" s="73"/>
      <c r="K953" s="4"/>
      <c r="L953" s="7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25"/>
      <c r="C954" s="25"/>
      <c r="D954" s="4"/>
      <c r="E954" s="4"/>
      <c r="F954" s="4"/>
      <c r="G954" s="25"/>
      <c r="H954" s="4"/>
      <c r="I954" s="72"/>
      <c r="J954" s="73"/>
      <c r="K954" s="4"/>
      <c r="L954" s="7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25"/>
      <c r="C955" s="25"/>
      <c r="D955" s="4"/>
      <c r="E955" s="4"/>
      <c r="F955" s="4"/>
      <c r="G955" s="25"/>
      <c r="H955" s="4"/>
      <c r="I955" s="72"/>
      <c r="J955" s="73"/>
      <c r="K955" s="4"/>
      <c r="L955" s="7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25"/>
      <c r="C956" s="25"/>
      <c r="D956" s="4"/>
      <c r="E956" s="4"/>
      <c r="F956" s="4"/>
      <c r="G956" s="25"/>
      <c r="H956" s="4"/>
      <c r="I956" s="72"/>
      <c r="J956" s="73"/>
      <c r="K956" s="4"/>
      <c r="L956" s="7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25"/>
      <c r="C957" s="25"/>
      <c r="D957" s="4"/>
      <c r="E957" s="4"/>
      <c r="F957" s="4"/>
      <c r="G957" s="25"/>
      <c r="H957" s="4"/>
      <c r="I957" s="72"/>
      <c r="J957" s="73"/>
      <c r="K957" s="4"/>
      <c r="L957" s="7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25"/>
      <c r="C958" s="25"/>
      <c r="D958" s="4"/>
      <c r="E958" s="4"/>
      <c r="F958" s="4"/>
      <c r="G958" s="25"/>
      <c r="H958" s="4"/>
      <c r="I958" s="72"/>
      <c r="J958" s="73"/>
      <c r="K958" s="4"/>
      <c r="L958" s="7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25"/>
      <c r="C959" s="25"/>
      <c r="D959" s="4"/>
      <c r="E959" s="4"/>
      <c r="F959" s="4"/>
      <c r="G959" s="25"/>
      <c r="H959" s="4"/>
      <c r="I959" s="72"/>
      <c r="J959" s="73"/>
      <c r="K959" s="4"/>
      <c r="L959" s="7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25"/>
      <c r="C960" s="25"/>
      <c r="D960" s="4"/>
      <c r="E960" s="4"/>
      <c r="F960" s="4"/>
      <c r="G960" s="25"/>
      <c r="H960" s="4"/>
      <c r="I960" s="72"/>
      <c r="J960" s="73"/>
      <c r="K960" s="4"/>
      <c r="L960" s="7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25"/>
      <c r="C961" s="25"/>
      <c r="D961" s="4"/>
      <c r="E961" s="4"/>
      <c r="F961" s="4"/>
      <c r="G961" s="25"/>
      <c r="H961" s="4"/>
      <c r="I961" s="72"/>
      <c r="J961" s="73"/>
      <c r="K961" s="4"/>
      <c r="L961" s="7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25"/>
      <c r="C962" s="25"/>
      <c r="D962" s="4"/>
      <c r="E962" s="4"/>
      <c r="F962" s="4"/>
      <c r="G962" s="25"/>
      <c r="H962" s="4"/>
      <c r="I962" s="72"/>
      <c r="J962" s="73"/>
      <c r="K962" s="4"/>
      <c r="L962" s="7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25"/>
      <c r="C963" s="25"/>
      <c r="D963" s="4"/>
      <c r="E963" s="4"/>
      <c r="F963" s="4"/>
      <c r="G963" s="25"/>
      <c r="H963" s="4"/>
      <c r="I963" s="72"/>
      <c r="J963" s="73"/>
      <c r="K963" s="4"/>
      <c r="L963" s="7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25"/>
      <c r="C964" s="25"/>
      <c r="D964" s="4"/>
      <c r="E964" s="4"/>
      <c r="F964" s="4"/>
      <c r="G964" s="25"/>
      <c r="H964" s="4"/>
      <c r="I964" s="72"/>
      <c r="J964" s="73"/>
      <c r="K964" s="4"/>
      <c r="L964" s="7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25"/>
      <c r="C965" s="25"/>
      <c r="D965" s="4"/>
      <c r="E965" s="4"/>
      <c r="F965" s="4"/>
      <c r="G965" s="25"/>
      <c r="H965" s="4"/>
      <c r="I965" s="72"/>
      <c r="J965" s="73"/>
      <c r="K965" s="4"/>
      <c r="L965" s="7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25"/>
      <c r="C966" s="25"/>
      <c r="D966" s="4"/>
      <c r="E966" s="4"/>
      <c r="F966" s="4"/>
      <c r="G966" s="25"/>
      <c r="H966" s="4"/>
      <c r="I966" s="72"/>
      <c r="J966" s="73"/>
      <c r="K966" s="4"/>
      <c r="L966" s="7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25"/>
      <c r="C967" s="25"/>
      <c r="D967" s="4"/>
      <c r="E967" s="4"/>
      <c r="F967" s="4"/>
      <c r="G967" s="25"/>
      <c r="H967" s="4"/>
      <c r="I967" s="72"/>
      <c r="J967" s="73"/>
      <c r="K967" s="4"/>
      <c r="L967" s="7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25"/>
      <c r="C968" s="25"/>
      <c r="D968" s="4"/>
      <c r="E968" s="4"/>
      <c r="F968" s="4"/>
      <c r="G968" s="25"/>
      <c r="H968" s="4"/>
      <c r="I968" s="72"/>
      <c r="J968" s="73"/>
      <c r="K968" s="4"/>
      <c r="L968" s="7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25"/>
      <c r="C969" s="25"/>
      <c r="D969" s="4"/>
      <c r="E969" s="4"/>
      <c r="F969" s="4"/>
      <c r="G969" s="25"/>
      <c r="H969" s="4"/>
      <c r="I969" s="72"/>
      <c r="J969" s="73"/>
      <c r="K969" s="4"/>
      <c r="L969" s="7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25"/>
      <c r="C970" s="25"/>
      <c r="D970" s="4"/>
      <c r="E970" s="4"/>
      <c r="F970" s="4"/>
      <c r="G970" s="25"/>
      <c r="H970" s="4"/>
      <c r="I970" s="72"/>
      <c r="J970" s="73"/>
      <c r="K970" s="4"/>
      <c r="L970" s="7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25"/>
      <c r="C971" s="25"/>
      <c r="D971" s="4"/>
      <c r="E971" s="4"/>
      <c r="F971" s="4"/>
      <c r="G971" s="25"/>
      <c r="H971" s="4"/>
      <c r="I971" s="72"/>
      <c r="J971" s="73"/>
      <c r="K971" s="4"/>
      <c r="L971" s="7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25"/>
      <c r="C972" s="25"/>
      <c r="D972" s="4"/>
      <c r="E972" s="4"/>
      <c r="F972" s="4"/>
      <c r="G972" s="25"/>
      <c r="H972" s="4"/>
      <c r="I972" s="72"/>
      <c r="J972" s="73"/>
      <c r="K972" s="4"/>
      <c r="L972" s="7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25"/>
      <c r="C973" s="25"/>
      <c r="D973" s="4"/>
      <c r="E973" s="4"/>
      <c r="F973" s="4"/>
      <c r="G973" s="25"/>
      <c r="H973" s="4"/>
      <c r="I973" s="72"/>
      <c r="J973" s="73"/>
      <c r="K973" s="4"/>
      <c r="L973" s="7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25"/>
      <c r="C974" s="25"/>
      <c r="D974" s="4"/>
      <c r="E974" s="4"/>
      <c r="F974" s="4"/>
      <c r="G974" s="25"/>
      <c r="H974" s="4"/>
      <c r="I974" s="72"/>
      <c r="J974" s="73"/>
      <c r="K974" s="4"/>
      <c r="L974" s="7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25"/>
      <c r="C975" s="25"/>
      <c r="D975" s="4"/>
      <c r="E975" s="4"/>
      <c r="F975" s="4"/>
      <c r="G975" s="25"/>
      <c r="H975" s="4"/>
      <c r="I975" s="72"/>
      <c r="J975" s="73"/>
      <c r="K975" s="4"/>
      <c r="L975" s="7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25"/>
      <c r="C976" s="25"/>
      <c r="D976" s="4"/>
      <c r="E976" s="4"/>
      <c r="F976" s="4"/>
      <c r="G976" s="25"/>
      <c r="H976" s="4"/>
      <c r="I976" s="72"/>
      <c r="J976" s="73"/>
      <c r="K976" s="4"/>
      <c r="L976" s="7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25"/>
      <c r="C977" s="25"/>
      <c r="D977" s="4"/>
      <c r="E977" s="4"/>
      <c r="F977" s="4"/>
      <c r="G977" s="25"/>
      <c r="H977" s="4"/>
      <c r="I977" s="72"/>
      <c r="J977" s="73"/>
      <c r="K977" s="4"/>
      <c r="L977" s="7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25"/>
      <c r="C978" s="25"/>
      <c r="D978" s="4"/>
      <c r="E978" s="4"/>
      <c r="F978" s="4"/>
      <c r="G978" s="25"/>
      <c r="H978" s="4"/>
      <c r="I978" s="72"/>
      <c r="J978" s="73"/>
      <c r="K978" s="4"/>
      <c r="L978" s="7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25"/>
      <c r="C979" s="25"/>
      <c r="D979" s="4"/>
      <c r="E979" s="4"/>
      <c r="F979" s="4"/>
      <c r="G979" s="25"/>
      <c r="H979" s="4"/>
      <c r="I979" s="72"/>
      <c r="J979" s="73"/>
      <c r="K979" s="4"/>
      <c r="L979" s="7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25"/>
      <c r="C980" s="25"/>
      <c r="D980" s="4"/>
      <c r="E980" s="4"/>
      <c r="F980" s="4"/>
      <c r="G980" s="25"/>
      <c r="H980" s="4"/>
      <c r="I980" s="72"/>
      <c r="J980" s="73"/>
      <c r="K980" s="4"/>
      <c r="L980" s="7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25"/>
      <c r="C981" s="25"/>
      <c r="D981" s="4"/>
      <c r="E981" s="4"/>
      <c r="F981" s="4"/>
      <c r="G981" s="25"/>
      <c r="H981" s="4"/>
      <c r="I981" s="72"/>
      <c r="J981" s="73"/>
      <c r="K981" s="4"/>
      <c r="L981" s="7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25"/>
      <c r="C982" s="25"/>
      <c r="D982" s="4"/>
      <c r="E982" s="4"/>
      <c r="F982" s="4"/>
      <c r="G982" s="25"/>
      <c r="H982" s="4"/>
      <c r="I982" s="72"/>
      <c r="J982" s="73"/>
      <c r="K982" s="4"/>
      <c r="L982" s="7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25"/>
      <c r="C983" s="25"/>
      <c r="D983" s="4"/>
      <c r="E983" s="4"/>
      <c r="F983" s="4"/>
      <c r="G983" s="25"/>
      <c r="H983" s="4"/>
      <c r="I983" s="72"/>
      <c r="J983" s="73"/>
      <c r="K983" s="4"/>
      <c r="L983" s="7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25"/>
      <c r="C984" s="25"/>
      <c r="D984" s="4"/>
      <c r="E984" s="4"/>
      <c r="F984" s="4"/>
      <c r="G984" s="25"/>
      <c r="H984" s="4"/>
      <c r="I984" s="72"/>
      <c r="J984" s="73"/>
      <c r="K984" s="4"/>
      <c r="L984" s="7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25"/>
      <c r="C985" s="25"/>
      <c r="D985" s="4"/>
      <c r="E985" s="4"/>
      <c r="F985" s="4"/>
      <c r="G985" s="25"/>
      <c r="H985" s="4"/>
      <c r="I985" s="72"/>
      <c r="J985" s="73"/>
      <c r="K985" s="4"/>
      <c r="L985" s="7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25"/>
      <c r="C986" s="25"/>
      <c r="D986" s="4"/>
      <c r="E986" s="4"/>
      <c r="F986" s="4"/>
      <c r="G986" s="25"/>
      <c r="H986" s="4"/>
      <c r="I986" s="72"/>
      <c r="J986" s="73"/>
      <c r="K986" s="4"/>
      <c r="L986" s="7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25"/>
      <c r="C987" s="25"/>
      <c r="D987" s="4"/>
      <c r="E987" s="4"/>
      <c r="F987" s="4"/>
      <c r="G987" s="25"/>
      <c r="H987" s="4"/>
      <c r="I987" s="72"/>
      <c r="J987" s="73"/>
      <c r="K987" s="4"/>
      <c r="L987" s="7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25"/>
      <c r="C988" s="25"/>
      <c r="D988" s="4"/>
      <c r="E988" s="4"/>
      <c r="F988" s="4"/>
      <c r="G988" s="25"/>
      <c r="H988" s="4"/>
      <c r="I988" s="72"/>
      <c r="J988" s="73"/>
      <c r="K988" s="4"/>
      <c r="L988" s="7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25"/>
      <c r="C989" s="25"/>
      <c r="D989" s="4"/>
      <c r="E989" s="4"/>
      <c r="F989" s="4"/>
      <c r="G989" s="25"/>
      <c r="H989" s="4"/>
      <c r="I989" s="72"/>
      <c r="J989" s="73"/>
      <c r="K989" s="4"/>
      <c r="L989" s="7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25"/>
      <c r="C990" s="25"/>
      <c r="D990" s="4"/>
      <c r="E990" s="4"/>
      <c r="F990" s="4"/>
      <c r="G990" s="25"/>
      <c r="H990" s="4"/>
      <c r="I990" s="72"/>
      <c r="J990" s="73"/>
      <c r="K990" s="4"/>
      <c r="L990" s="7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25"/>
      <c r="C991" s="25"/>
      <c r="D991" s="4"/>
      <c r="E991" s="4"/>
      <c r="F991" s="4"/>
      <c r="G991" s="25"/>
      <c r="H991" s="4"/>
      <c r="I991" s="72"/>
      <c r="J991" s="73"/>
      <c r="K991" s="4"/>
      <c r="L991" s="7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25"/>
      <c r="C992" s="25"/>
      <c r="D992" s="4"/>
      <c r="E992" s="4"/>
      <c r="F992" s="4"/>
      <c r="G992" s="25"/>
      <c r="H992" s="4"/>
      <c r="I992" s="72"/>
      <c r="J992" s="73"/>
      <c r="K992" s="4"/>
      <c r="L992" s="7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25"/>
      <c r="C993" s="25"/>
      <c r="D993" s="4"/>
      <c r="E993" s="4"/>
      <c r="F993" s="4"/>
      <c r="G993" s="25"/>
      <c r="H993" s="4"/>
      <c r="I993" s="72"/>
      <c r="J993" s="73"/>
      <c r="K993" s="4"/>
      <c r="L993" s="7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25"/>
      <c r="C994" s="25"/>
      <c r="D994" s="4"/>
      <c r="E994" s="4"/>
      <c r="F994" s="4"/>
      <c r="G994" s="25"/>
      <c r="H994" s="4"/>
      <c r="I994" s="72"/>
      <c r="J994" s="73"/>
      <c r="K994" s="4"/>
      <c r="L994" s="7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</sheetData>
  <mergeCells count="12">
    <mergeCell ref="L20:L21"/>
    <mergeCell ref="B24:F24"/>
    <mergeCell ref="D25:F25"/>
    <mergeCell ref="D26:F26"/>
    <mergeCell ref="D27:F27"/>
    <mergeCell ref="B2:D2"/>
    <mergeCell ref="B6:B7"/>
    <mergeCell ref="C6:C7"/>
    <mergeCell ref="L6:L7"/>
    <mergeCell ref="B8:B9"/>
    <mergeCell ref="C8:C9"/>
    <mergeCell ref="L8:L9"/>
  </mergeCells>
  <hyperlinks>
    <hyperlink r:id="rId1" ref="L4"/>
    <hyperlink r:id="rId2" ref="L5"/>
    <hyperlink r:id="rId3" ref="L6"/>
    <hyperlink r:id="rId4" ref="L8"/>
    <hyperlink r:id="rId5" ref="L10"/>
    <hyperlink r:id="rId6" ref="L11"/>
    <hyperlink r:id="rId7" ref="L12"/>
    <hyperlink r:id="rId8" ref="L13"/>
    <hyperlink r:id="rId9" ref="L14"/>
    <hyperlink r:id="rId10" ref="L15"/>
    <hyperlink r:id="rId11" ref="L16"/>
    <hyperlink r:id="rId12" ref="L17"/>
    <hyperlink r:id="rId13" ref="L18"/>
    <hyperlink r:id="rId14" ref="L19"/>
  </hyperlinks>
  <printOptions/>
  <pageMargins bottom="1.0" footer="0.0" header="0.0" left="0.75" right="0.75" top="1.0"/>
  <pageSetup orientation="landscape"/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8.88"/>
    <col customWidth="1" min="3" max="3" width="21.75"/>
    <col customWidth="1" min="4" max="4" width="19.63"/>
    <col customWidth="1" min="5" max="5" width="7.25"/>
    <col customWidth="1" min="6" max="7" width="12.88"/>
    <col customWidth="1" min="8" max="8" width="33.25"/>
    <col customWidth="1" min="9" max="10" width="16.88"/>
    <col customWidth="1" min="11" max="28" width="7.63"/>
  </cols>
  <sheetData>
    <row r="1">
      <c r="A1" s="32"/>
      <c r="B1" s="65"/>
      <c r="C1" s="32"/>
      <c r="D1" s="32"/>
      <c r="E1" s="32"/>
      <c r="F1" s="67"/>
      <c r="G1" s="118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>
      <c r="A2" s="32"/>
      <c r="B2" s="119" t="s">
        <v>148</v>
      </c>
      <c r="C2" s="32"/>
      <c r="D2" s="32"/>
      <c r="E2" s="32"/>
      <c r="F2" s="67"/>
      <c r="G2" s="118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>
      <c r="A3" s="120"/>
      <c r="B3" s="121" t="s">
        <v>20</v>
      </c>
      <c r="C3" s="121" t="s">
        <v>24</v>
      </c>
      <c r="D3" s="121" t="s">
        <v>26</v>
      </c>
      <c r="E3" s="121" t="s">
        <v>30</v>
      </c>
      <c r="F3" s="122" t="s">
        <v>149</v>
      </c>
      <c r="G3" s="80" t="s">
        <v>36</v>
      </c>
      <c r="H3" s="79" t="s">
        <v>41</v>
      </c>
      <c r="I3" s="123" t="s">
        <v>38</v>
      </c>
      <c r="J3" s="121" t="s">
        <v>16</v>
      </c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>
      <c r="A4" s="32"/>
      <c r="B4" s="124">
        <v>1.0</v>
      </c>
      <c r="C4" s="125" t="s">
        <v>150</v>
      </c>
      <c r="D4" s="125" t="s">
        <v>150</v>
      </c>
      <c r="E4" s="125" t="s">
        <v>151</v>
      </c>
      <c r="F4" s="126">
        <v>14.9</v>
      </c>
      <c r="G4" s="88">
        <f t="shared" ref="G4:G5" si="1">roundup(F4*1.15,0)</f>
        <v>18</v>
      </c>
      <c r="H4" s="127">
        <v>17.0</v>
      </c>
      <c r="I4" s="100" t="s">
        <v>152</v>
      </c>
      <c r="J4" s="128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>
      <c r="A5" s="32"/>
      <c r="B5" s="124">
        <v>2.0</v>
      </c>
      <c r="C5" s="125" t="s">
        <v>150</v>
      </c>
      <c r="D5" s="125" t="s">
        <v>150</v>
      </c>
      <c r="E5" s="125" t="s">
        <v>52</v>
      </c>
      <c r="F5" s="126">
        <v>17.9</v>
      </c>
      <c r="G5" s="88">
        <f t="shared" si="1"/>
        <v>21</v>
      </c>
      <c r="H5" s="93"/>
      <c r="I5" s="100" t="s">
        <v>152</v>
      </c>
      <c r="J5" s="128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>
      <c r="A6" s="32"/>
      <c r="B6" s="129" t="s">
        <v>153</v>
      </c>
      <c r="C6" s="130"/>
      <c r="D6" s="130"/>
      <c r="E6" s="130"/>
      <c r="F6" s="131"/>
      <c r="G6" s="88"/>
      <c r="H6" s="130"/>
      <c r="I6" s="130"/>
      <c r="J6" s="130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</row>
    <row r="7">
      <c r="A7" s="32"/>
      <c r="B7" s="132"/>
      <c r="C7" s="133" t="s">
        <v>154</v>
      </c>
      <c r="D7" s="133" t="s">
        <v>155</v>
      </c>
      <c r="E7" s="134"/>
      <c r="F7" s="135">
        <v>2.0</v>
      </c>
      <c r="G7" s="88">
        <f t="shared" ref="G7:G25" si="2">F7</f>
        <v>2</v>
      </c>
      <c r="H7" s="125"/>
      <c r="I7" s="125"/>
      <c r="J7" s="125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>
      <c r="A8" s="32"/>
      <c r="B8" s="132"/>
      <c r="C8" s="133" t="s">
        <v>156</v>
      </c>
      <c r="D8" s="133" t="s">
        <v>157</v>
      </c>
      <c r="E8" s="134"/>
      <c r="F8" s="135">
        <v>2.0</v>
      </c>
      <c r="G8" s="88">
        <f t="shared" si="2"/>
        <v>2</v>
      </c>
      <c r="H8" s="125"/>
      <c r="I8" s="125"/>
      <c r="J8" s="125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>
      <c r="A9" s="32"/>
      <c r="B9" s="132"/>
      <c r="C9" s="133" t="s">
        <v>158</v>
      </c>
      <c r="D9" s="133" t="s">
        <v>159</v>
      </c>
      <c r="E9" s="134"/>
      <c r="F9" s="135">
        <v>2.0</v>
      </c>
      <c r="G9" s="88">
        <f t="shared" si="2"/>
        <v>2</v>
      </c>
      <c r="H9" s="125"/>
      <c r="I9" s="125"/>
      <c r="J9" s="125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>
      <c r="A10" s="32"/>
      <c r="B10" s="132"/>
      <c r="C10" s="133" t="s">
        <v>160</v>
      </c>
      <c r="D10" s="133" t="s">
        <v>161</v>
      </c>
      <c r="E10" s="134"/>
      <c r="F10" s="135">
        <v>2.0</v>
      </c>
      <c r="G10" s="88">
        <f t="shared" si="2"/>
        <v>2</v>
      </c>
      <c r="H10" s="125"/>
      <c r="I10" s="125"/>
      <c r="J10" s="125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>
      <c r="A11" s="32"/>
      <c r="B11" s="132"/>
      <c r="C11" s="133" t="s">
        <v>162</v>
      </c>
      <c r="D11" s="133" t="s">
        <v>163</v>
      </c>
      <c r="E11" s="134"/>
      <c r="F11" s="135">
        <v>2.0</v>
      </c>
      <c r="G11" s="88">
        <f t="shared" si="2"/>
        <v>2</v>
      </c>
      <c r="H11" s="125"/>
      <c r="I11" s="125"/>
      <c r="J11" s="125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>
      <c r="A12" s="32"/>
      <c r="B12" s="132"/>
      <c r="C12" s="133" t="s">
        <v>164</v>
      </c>
      <c r="D12" s="133" t="s">
        <v>165</v>
      </c>
      <c r="E12" s="134"/>
      <c r="F12" s="135">
        <v>2.0</v>
      </c>
      <c r="G12" s="88">
        <f t="shared" si="2"/>
        <v>2</v>
      </c>
      <c r="H12" s="125"/>
      <c r="I12" s="125"/>
      <c r="J12" s="125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>
      <c r="A13" s="32"/>
      <c r="B13" s="132"/>
      <c r="C13" s="133" t="s">
        <v>166</v>
      </c>
      <c r="D13" s="133" t="s">
        <v>167</v>
      </c>
      <c r="E13" s="134"/>
      <c r="F13" s="135">
        <v>2.0</v>
      </c>
      <c r="G13" s="88">
        <f t="shared" si="2"/>
        <v>2</v>
      </c>
      <c r="H13" s="125"/>
      <c r="I13" s="125"/>
      <c r="J13" s="125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>
      <c r="A14" s="32"/>
      <c r="B14" s="132"/>
      <c r="C14" s="133" t="s">
        <v>168</v>
      </c>
      <c r="D14" s="133" t="s">
        <v>169</v>
      </c>
      <c r="E14" s="134"/>
      <c r="F14" s="135">
        <v>2.0</v>
      </c>
      <c r="G14" s="88">
        <f t="shared" si="2"/>
        <v>2</v>
      </c>
      <c r="H14" s="125"/>
      <c r="I14" s="125"/>
      <c r="J14" s="125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>
      <c r="A15" s="32"/>
      <c r="B15" s="132"/>
      <c r="C15" s="133" t="s">
        <v>170</v>
      </c>
      <c r="D15" s="133" t="s">
        <v>171</v>
      </c>
      <c r="E15" s="134"/>
      <c r="F15" s="135">
        <v>2.0</v>
      </c>
      <c r="G15" s="88">
        <f t="shared" si="2"/>
        <v>2</v>
      </c>
      <c r="H15" s="125"/>
      <c r="I15" s="125"/>
      <c r="J15" s="125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>
      <c r="A16" s="32"/>
      <c r="B16" s="132"/>
      <c r="C16" s="133" t="s">
        <v>172</v>
      </c>
      <c r="D16" s="133" t="s">
        <v>173</v>
      </c>
      <c r="E16" s="134"/>
      <c r="F16" s="135">
        <v>1.0</v>
      </c>
      <c r="G16" s="88">
        <f t="shared" si="2"/>
        <v>1</v>
      </c>
      <c r="H16" s="125"/>
      <c r="I16" s="125"/>
      <c r="J16" s="125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>
      <c r="A17" s="32"/>
      <c r="B17" s="132"/>
      <c r="C17" s="133" t="s">
        <v>174</v>
      </c>
      <c r="D17" s="133" t="s">
        <v>175</v>
      </c>
      <c r="E17" s="134"/>
      <c r="F17" s="135">
        <v>1.0</v>
      </c>
      <c r="G17" s="88">
        <f t="shared" si="2"/>
        <v>1</v>
      </c>
      <c r="H17" s="125"/>
      <c r="I17" s="125"/>
      <c r="J17" s="125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>
      <c r="A18" s="32"/>
      <c r="B18" s="132"/>
      <c r="C18" s="133" t="s">
        <v>176</v>
      </c>
      <c r="D18" s="133" t="s">
        <v>177</v>
      </c>
      <c r="E18" s="134"/>
      <c r="F18" s="135">
        <v>1.0</v>
      </c>
      <c r="G18" s="88">
        <f t="shared" si="2"/>
        <v>1</v>
      </c>
      <c r="H18" s="125"/>
      <c r="I18" s="125"/>
      <c r="J18" s="125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>
      <c r="A19" s="32"/>
      <c r="B19" s="132"/>
      <c r="C19" s="133" t="s">
        <v>178</v>
      </c>
      <c r="D19" s="133" t="s">
        <v>179</v>
      </c>
      <c r="E19" s="134"/>
      <c r="F19" s="135">
        <v>1.0</v>
      </c>
      <c r="G19" s="88">
        <f t="shared" si="2"/>
        <v>1</v>
      </c>
      <c r="H19" s="125"/>
      <c r="I19" s="125"/>
      <c r="J19" s="125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 ht="15.75" customHeight="1">
      <c r="A20" s="32"/>
      <c r="B20" s="132"/>
      <c r="C20" s="133" t="s">
        <v>180</v>
      </c>
      <c r="D20" s="133" t="s">
        <v>181</v>
      </c>
      <c r="E20" s="134"/>
      <c r="F20" s="135">
        <v>2.0</v>
      </c>
      <c r="G20" s="88">
        <f t="shared" si="2"/>
        <v>2</v>
      </c>
      <c r="H20" s="125"/>
      <c r="I20" s="125"/>
      <c r="J20" s="125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 ht="15.75" customHeight="1">
      <c r="A21" s="32"/>
      <c r="B21" s="132"/>
      <c r="C21" s="133" t="s">
        <v>182</v>
      </c>
      <c r="D21" s="133" t="s">
        <v>183</v>
      </c>
      <c r="E21" s="134"/>
      <c r="F21" s="135">
        <v>2.0</v>
      </c>
      <c r="G21" s="88">
        <f t="shared" si="2"/>
        <v>2</v>
      </c>
      <c r="H21" s="125"/>
      <c r="I21" s="125"/>
      <c r="J21" s="125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 ht="15.75" customHeight="1">
      <c r="A22" s="32"/>
      <c r="B22" s="132"/>
      <c r="C22" s="133" t="s">
        <v>184</v>
      </c>
      <c r="D22" s="133" t="s">
        <v>184</v>
      </c>
      <c r="E22" s="134"/>
      <c r="F22" s="135">
        <v>2.0</v>
      </c>
      <c r="G22" s="88">
        <f t="shared" si="2"/>
        <v>2</v>
      </c>
      <c r="H22" s="125"/>
      <c r="I22" s="125"/>
      <c r="J22" s="125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ht="15.75" customHeight="1">
      <c r="A23" s="32"/>
      <c r="B23" s="132"/>
      <c r="C23" s="133" t="s">
        <v>185</v>
      </c>
      <c r="D23" s="133" t="s">
        <v>186</v>
      </c>
      <c r="E23" s="134"/>
      <c r="F23" s="135">
        <v>2.0</v>
      </c>
      <c r="G23" s="88">
        <f t="shared" si="2"/>
        <v>2</v>
      </c>
      <c r="H23" s="125"/>
      <c r="I23" s="125"/>
      <c r="J23" s="125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 ht="15.75" customHeight="1">
      <c r="A24" s="32"/>
      <c r="B24" s="132"/>
      <c r="C24" s="133" t="s">
        <v>187</v>
      </c>
      <c r="D24" s="133" t="s">
        <v>188</v>
      </c>
      <c r="E24" s="134"/>
      <c r="F24" s="135">
        <v>2.0</v>
      </c>
      <c r="G24" s="88">
        <f t="shared" si="2"/>
        <v>2</v>
      </c>
      <c r="H24" s="125"/>
      <c r="I24" s="125"/>
      <c r="J24" s="125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 ht="15.75" customHeight="1">
      <c r="A25" s="32"/>
      <c r="B25" s="132"/>
      <c r="C25" s="133" t="s">
        <v>189</v>
      </c>
      <c r="D25" s="133" t="s">
        <v>190</v>
      </c>
      <c r="E25" s="134"/>
      <c r="F25" s="135">
        <v>2.0</v>
      </c>
      <c r="G25" s="88">
        <f t="shared" si="2"/>
        <v>2</v>
      </c>
      <c r="H25" s="125"/>
      <c r="I25" s="125"/>
      <c r="J25" s="125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>
      <c r="A26" s="32"/>
      <c r="B26" s="32"/>
      <c r="C26" s="32"/>
      <c r="D26" s="32"/>
      <c r="E26" s="32"/>
      <c r="F26" s="65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 ht="15.75" customHeight="1">
      <c r="A27" s="32"/>
      <c r="B27" s="65"/>
      <c r="C27" s="32"/>
      <c r="D27" s="32"/>
      <c r="E27" s="32"/>
      <c r="F27" s="67"/>
      <c r="G27" s="118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ht="15.75" customHeight="1">
      <c r="A28" s="32"/>
      <c r="B28" s="65"/>
      <c r="C28" s="32"/>
      <c r="D28" s="32"/>
      <c r="E28" s="32"/>
      <c r="F28" s="67"/>
      <c r="G28" s="118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ht="15.75" customHeight="1">
      <c r="A29" s="32"/>
      <c r="B29" s="65"/>
      <c r="C29" s="32"/>
      <c r="D29" s="32"/>
      <c r="E29" s="32"/>
      <c r="F29" s="67"/>
      <c r="G29" s="118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ht="15.75" customHeight="1">
      <c r="A30" s="32"/>
      <c r="B30" s="65"/>
      <c r="C30" s="32"/>
      <c r="D30" s="32"/>
      <c r="E30" s="32"/>
      <c r="F30" s="67"/>
      <c r="G30" s="118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ht="15.75" customHeight="1">
      <c r="A31" s="32"/>
      <c r="B31" s="65"/>
      <c r="C31" s="32"/>
      <c r="D31" s="32"/>
      <c r="E31" s="32"/>
      <c r="F31" s="67"/>
      <c r="G31" s="118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ht="15.75" customHeight="1">
      <c r="A32" s="32"/>
      <c r="B32" s="65"/>
      <c r="C32" s="32"/>
      <c r="D32" s="32"/>
      <c r="E32" s="32"/>
      <c r="F32" s="67"/>
      <c r="G32" s="118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5.75" customHeight="1">
      <c r="A33" s="32"/>
      <c r="B33" s="65"/>
      <c r="C33" s="32"/>
      <c r="D33" s="32"/>
      <c r="E33" s="32"/>
      <c r="F33" s="67"/>
      <c r="G33" s="118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5.75" customHeight="1">
      <c r="A34" s="32"/>
      <c r="B34" s="65"/>
      <c r="C34" s="32"/>
      <c r="D34" s="32"/>
      <c r="E34" s="32"/>
      <c r="F34" s="67"/>
      <c r="G34" s="118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5.75" customHeight="1">
      <c r="A35" s="32"/>
      <c r="B35" s="65"/>
      <c r="C35" s="32"/>
      <c r="D35" s="32"/>
      <c r="E35" s="32"/>
      <c r="F35" s="67"/>
      <c r="G35" s="118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5.75" customHeight="1">
      <c r="A36" s="32"/>
      <c r="B36" s="65"/>
      <c r="C36" s="32"/>
      <c r="D36" s="32"/>
      <c r="E36" s="32"/>
      <c r="F36" s="67"/>
      <c r="G36" s="118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ht="15.75" customHeight="1">
      <c r="A37" s="32"/>
      <c r="B37" s="65"/>
      <c r="C37" s="32"/>
      <c r="D37" s="32"/>
      <c r="E37" s="32"/>
      <c r="F37" s="67"/>
      <c r="G37" s="118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ht="15.75" customHeight="1">
      <c r="A38" s="32"/>
      <c r="B38" s="65"/>
      <c r="C38" s="32"/>
      <c r="D38" s="32"/>
      <c r="E38" s="32"/>
      <c r="F38" s="67"/>
      <c r="G38" s="118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ht="15.75" customHeight="1">
      <c r="A39" s="32"/>
      <c r="B39" s="65"/>
      <c r="C39" s="32"/>
      <c r="D39" s="32"/>
      <c r="E39" s="32"/>
      <c r="F39" s="67"/>
      <c r="G39" s="118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ht="15.75" customHeight="1">
      <c r="A40" s="32"/>
      <c r="B40" s="65"/>
      <c r="C40" s="32"/>
      <c r="D40" s="32"/>
      <c r="E40" s="32"/>
      <c r="F40" s="67"/>
      <c r="G40" s="118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 ht="15.75" customHeight="1">
      <c r="A41" s="32"/>
      <c r="B41" s="65"/>
      <c r="C41" s="32"/>
      <c r="D41" s="32"/>
      <c r="E41" s="32"/>
      <c r="F41" s="67"/>
      <c r="G41" s="118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ht="15.75" customHeight="1">
      <c r="A42" s="32"/>
      <c r="B42" s="65"/>
      <c r="C42" s="32"/>
      <c r="D42" s="32"/>
      <c r="E42" s="32"/>
      <c r="F42" s="67"/>
      <c r="G42" s="118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ht="15.75" customHeight="1">
      <c r="A43" s="32"/>
      <c r="B43" s="65"/>
      <c r="C43" s="32"/>
      <c r="D43" s="32"/>
      <c r="E43" s="32"/>
      <c r="F43" s="67"/>
      <c r="G43" s="118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ht="15.75" customHeight="1">
      <c r="A44" s="32"/>
      <c r="B44" s="65"/>
      <c r="C44" s="32"/>
      <c r="D44" s="32"/>
      <c r="E44" s="32"/>
      <c r="F44" s="67"/>
      <c r="G44" s="118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ht="15.75" customHeight="1">
      <c r="A45" s="32"/>
      <c r="B45" s="65"/>
      <c r="C45" s="32"/>
      <c r="D45" s="32"/>
      <c r="E45" s="32"/>
      <c r="F45" s="67"/>
      <c r="G45" s="118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ht="15.75" customHeight="1">
      <c r="A46" s="32"/>
      <c r="B46" s="65"/>
      <c r="C46" s="32"/>
      <c r="D46" s="32"/>
      <c r="E46" s="32"/>
      <c r="F46" s="67"/>
      <c r="G46" s="118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 ht="15.75" customHeight="1">
      <c r="A47" s="32"/>
      <c r="B47" s="65"/>
      <c r="C47" s="32"/>
      <c r="D47" s="32"/>
      <c r="E47" s="32"/>
      <c r="F47" s="67"/>
      <c r="G47" s="118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ht="15.75" customHeight="1">
      <c r="A48" s="32"/>
      <c r="B48" s="65"/>
      <c r="C48" s="32"/>
      <c r="D48" s="32"/>
      <c r="E48" s="32"/>
      <c r="F48" s="67"/>
      <c r="G48" s="118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ht="15.75" customHeight="1">
      <c r="A49" s="32"/>
      <c r="B49" s="65"/>
      <c r="C49" s="32"/>
      <c r="D49" s="32"/>
      <c r="E49" s="32"/>
      <c r="F49" s="67"/>
      <c r="G49" s="118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ht="15.75" customHeight="1">
      <c r="A50" s="32"/>
      <c r="B50" s="65"/>
      <c r="C50" s="32"/>
      <c r="D50" s="32"/>
      <c r="E50" s="32"/>
      <c r="F50" s="67"/>
      <c r="G50" s="118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ht="15.75" customHeight="1">
      <c r="A51" s="32"/>
      <c r="B51" s="65"/>
      <c r="C51" s="32"/>
      <c r="D51" s="32"/>
      <c r="E51" s="32"/>
      <c r="F51" s="67"/>
      <c r="G51" s="118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ht="15.75" customHeight="1">
      <c r="A52" s="32"/>
      <c r="B52" s="65"/>
      <c r="C52" s="32"/>
      <c r="D52" s="32"/>
      <c r="E52" s="32"/>
      <c r="F52" s="67"/>
      <c r="G52" s="118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ht="15.75" customHeight="1">
      <c r="A53" s="32"/>
      <c r="B53" s="65"/>
      <c r="C53" s="32"/>
      <c r="D53" s="32"/>
      <c r="E53" s="32"/>
      <c r="F53" s="67"/>
      <c r="G53" s="118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ht="15.75" customHeight="1">
      <c r="A54" s="32"/>
      <c r="B54" s="65"/>
      <c r="C54" s="32"/>
      <c r="D54" s="32"/>
      <c r="E54" s="32"/>
      <c r="F54" s="67"/>
      <c r="G54" s="118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ht="15.75" customHeight="1">
      <c r="A55" s="32"/>
      <c r="B55" s="65"/>
      <c r="C55" s="32"/>
      <c r="D55" s="32"/>
      <c r="E55" s="32"/>
      <c r="F55" s="67"/>
      <c r="G55" s="118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ht="15.75" customHeight="1">
      <c r="A56" s="32"/>
      <c r="B56" s="65"/>
      <c r="C56" s="32"/>
      <c r="D56" s="32"/>
      <c r="E56" s="32"/>
      <c r="F56" s="67"/>
      <c r="G56" s="118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ht="15.75" customHeight="1">
      <c r="A57" s="32"/>
      <c r="B57" s="65"/>
      <c r="C57" s="32"/>
      <c r="D57" s="32"/>
      <c r="E57" s="32"/>
      <c r="F57" s="67"/>
      <c r="G57" s="118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ht="15.75" customHeight="1">
      <c r="A58" s="32"/>
      <c r="B58" s="65"/>
      <c r="C58" s="32"/>
      <c r="D58" s="32"/>
      <c r="E58" s="32"/>
      <c r="F58" s="67"/>
      <c r="G58" s="118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ht="15.75" customHeight="1">
      <c r="A59" s="32"/>
      <c r="B59" s="65"/>
      <c r="C59" s="32"/>
      <c r="D59" s="32"/>
      <c r="E59" s="32"/>
      <c r="F59" s="67"/>
      <c r="G59" s="118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 ht="15.75" customHeight="1">
      <c r="A60" s="32"/>
      <c r="B60" s="65"/>
      <c r="C60" s="32"/>
      <c r="D60" s="32"/>
      <c r="E60" s="32"/>
      <c r="F60" s="67"/>
      <c r="G60" s="118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ht="15.75" customHeight="1">
      <c r="A61" s="32"/>
      <c r="B61" s="65"/>
      <c r="C61" s="32"/>
      <c r="D61" s="32"/>
      <c r="E61" s="32"/>
      <c r="F61" s="67"/>
      <c r="G61" s="118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ht="15.75" customHeight="1">
      <c r="A62" s="32"/>
      <c r="B62" s="65"/>
      <c r="C62" s="32"/>
      <c r="D62" s="32"/>
      <c r="E62" s="32"/>
      <c r="F62" s="67"/>
      <c r="G62" s="118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 ht="15.75" customHeight="1">
      <c r="A63" s="32"/>
      <c r="B63" s="65"/>
      <c r="C63" s="32"/>
      <c r="D63" s="32"/>
      <c r="E63" s="32"/>
      <c r="F63" s="67"/>
      <c r="G63" s="118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ht="15.75" customHeight="1">
      <c r="A64" s="32"/>
      <c r="B64" s="65"/>
      <c r="C64" s="32"/>
      <c r="D64" s="32"/>
      <c r="E64" s="32"/>
      <c r="F64" s="67"/>
      <c r="G64" s="118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ht="15.75" customHeight="1">
      <c r="A65" s="32"/>
      <c r="B65" s="65"/>
      <c r="C65" s="32"/>
      <c r="D65" s="32"/>
      <c r="E65" s="32"/>
      <c r="F65" s="67"/>
      <c r="G65" s="118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 ht="15.75" customHeight="1">
      <c r="A66" s="32"/>
      <c r="B66" s="65"/>
      <c r="C66" s="32"/>
      <c r="D66" s="32"/>
      <c r="E66" s="32"/>
      <c r="F66" s="67"/>
      <c r="G66" s="118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ht="15.75" customHeight="1">
      <c r="A67" s="32"/>
      <c r="B67" s="65"/>
      <c r="C67" s="32"/>
      <c r="D67" s="32"/>
      <c r="E67" s="32"/>
      <c r="F67" s="67"/>
      <c r="G67" s="118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 ht="15.75" customHeight="1">
      <c r="A68" s="32"/>
      <c r="B68" s="65"/>
      <c r="C68" s="32"/>
      <c r="D68" s="32"/>
      <c r="E68" s="32"/>
      <c r="F68" s="67"/>
      <c r="G68" s="118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5.75" customHeight="1">
      <c r="A69" s="32"/>
      <c r="B69" s="65"/>
      <c r="C69" s="32"/>
      <c r="D69" s="32"/>
      <c r="E69" s="32"/>
      <c r="F69" s="67"/>
      <c r="G69" s="118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5.75" customHeight="1">
      <c r="A70" s="32"/>
      <c r="B70" s="65"/>
      <c r="C70" s="32"/>
      <c r="D70" s="32"/>
      <c r="E70" s="32"/>
      <c r="F70" s="67"/>
      <c r="G70" s="118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5.75" customHeight="1">
      <c r="A71" s="32"/>
      <c r="B71" s="65"/>
      <c r="C71" s="32"/>
      <c r="D71" s="32"/>
      <c r="E71" s="32"/>
      <c r="F71" s="67"/>
      <c r="G71" s="118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5.75" customHeight="1">
      <c r="A72" s="32"/>
      <c r="B72" s="65"/>
      <c r="C72" s="32"/>
      <c r="D72" s="32"/>
      <c r="E72" s="32"/>
      <c r="F72" s="67"/>
      <c r="G72" s="118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5.75" customHeight="1">
      <c r="A73" s="32"/>
      <c r="B73" s="65"/>
      <c r="C73" s="32"/>
      <c r="D73" s="32"/>
      <c r="E73" s="32"/>
      <c r="F73" s="67"/>
      <c r="G73" s="118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5.75" customHeight="1">
      <c r="A74" s="32"/>
      <c r="B74" s="65"/>
      <c r="C74" s="32"/>
      <c r="D74" s="32"/>
      <c r="E74" s="32"/>
      <c r="F74" s="67"/>
      <c r="G74" s="118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5.75" customHeight="1">
      <c r="A75" s="32"/>
      <c r="B75" s="65"/>
      <c r="C75" s="32"/>
      <c r="D75" s="32"/>
      <c r="E75" s="32"/>
      <c r="F75" s="67"/>
      <c r="G75" s="118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 ht="15.75" customHeight="1">
      <c r="A76" s="32"/>
      <c r="B76" s="65"/>
      <c r="C76" s="32"/>
      <c r="D76" s="32"/>
      <c r="E76" s="32"/>
      <c r="F76" s="67"/>
      <c r="G76" s="118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5.75" customHeight="1">
      <c r="A77" s="32"/>
      <c r="B77" s="65"/>
      <c r="C77" s="32"/>
      <c r="D77" s="32"/>
      <c r="E77" s="32"/>
      <c r="F77" s="67"/>
      <c r="G77" s="118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 ht="15.75" customHeight="1">
      <c r="A78" s="32"/>
      <c r="B78" s="65"/>
      <c r="C78" s="32"/>
      <c r="D78" s="32"/>
      <c r="E78" s="32"/>
      <c r="F78" s="67"/>
      <c r="G78" s="118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ht="15.75" customHeight="1">
      <c r="A79" s="32"/>
      <c r="B79" s="65"/>
      <c r="C79" s="32"/>
      <c r="D79" s="32"/>
      <c r="E79" s="32"/>
      <c r="F79" s="67"/>
      <c r="G79" s="118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 ht="15.75" customHeight="1">
      <c r="A80" s="32"/>
      <c r="B80" s="65"/>
      <c r="C80" s="32"/>
      <c r="D80" s="32"/>
      <c r="E80" s="32"/>
      <c r="F80" s="67"/>
      <c r="G80" s="118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ht="15.75" customHeight="1">
      <c r="A81" s="32"/>
      <c r="B81" s="65"/>
      <c r="C81" s="32"/>
      <c r="D81" s="32"/>
      <c r="E81" s="32"/>
      <c r="F81" s="67"/>
      <c r="G81" s="118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ht="15.75" customHeight="1">
      <c r="A82" s="32"/>
      <c r="B82" s="65"/>
      <c r="C82" s="32"/>
      <c r="D82" s="32"/>
      <c r="E82" s="32"/>
      <c r="F82" s="67"/>
      <c r="G82" s="118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 ht="15.75" customHeight="1">
      <c r="A83" s="32"/>
      <c r="B83" s="65"/>
      <c r="C83" s="32"/>
      <c r="D83" s="32"/>
      <c r="E83" s="32"/>
      <c r="F83" s="67"/>
      <c r="G83" s="118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ht="15.75" customHeight="1">
      <c r="A84" s="32"/>
      <c r="B84" s="65"/>
      <c r="C84" s="32"/>
      <c r="D84" s="32"/>
      <c r="E84" s="32"/>
      <c r="F84" s="67"/>
      <c r="G84" s="118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 ht="15.75" customHeight="1">
      <c r="A85" s="32"/>
      <c r="B85" s="65"/>
      <c r="C85" s="32"/>
      <c r="D85" s="32"/>
      <c r="E85" s="32"/>
      <c r="F85" s="67"/>
      <c r="G85" s="118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ht="15.75" customHeight="1">
      <c r="A86" s="32"/>
      <c r="B86" s="65"/>
      <c r="C86" s="32"/>
      <c r="D86" s="32"/>
      <c r="E86" s="32"/>
      <c r="F86" s="67"/>
      <c r="G86" s="118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 ht="15.75" customHeight="1">
      <c r="A87" s="32"/>
      <c r="B87" s="65"/>
      <c r="C87" s="32"/>
      <c r="D87" s="32"/>
      <c r="E87" s="32"/>
      <c r="F87" s="67"/>
      <c r="G87" s="118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 ht="15.75" customHeight="1">
      <c r="A88" s="32"/>
      <c r="B88" s="65"/>
      <c r="C88" s="32"/>
      <c r="D88" s="32"/>
      <c r="E88" s="32"/>
      <c r="F88" s="67"/>
      <c r="G88" s="118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 ht="15.75" customHeight="1">
      <c r="A89" s="32"/>
      <c r="B89" s="65"/>
      <c r="C89" s="32"/>
      <c r="D89" s="32"/>
      <c r="E89" s="32"/>
      <c r="F89" s="67"/>
      <c r="G89" s="118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ht="15.75" customHeight="1">
      <c r="A90" s="32"/>
      <c r="B90" s="65"/>
      <c r="C90" s="32"/>
      <c r="D90" s="32"/>
      <c r="E90" s="32"/>
      <c r="F90" s="67"/>
      <c r="G90" s="118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ht="15.75" customHeight="1">
      <c r="A91" s="32"/>
      <c r="B91" s="65"/>
      <c r="C91" s="32"/>
      <c r="D91" s="32"/>
      <c r="E91" s="32"/>
      <c r="F91" s="67"/>
      <c r="G91" s="118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ht="15.75" customHeight="1">
      <c r="A92" s="32"/>
      <c r="B92" s="65"/>
      <c r="C92" s="32"/>
      <c r="D92" s="32"/>
      <c r="E92" s="32"/>
      <c r="F92" s="67"/>
      <c r="G92" s="118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ht="15.75" customHeight="1">
      <c r="A93" s="32"/>
      <c r="B93" s="65"/>
      <c r="C93" s="32"/>
      <c r="D93" s="32"/>
      <c r="E93" s="32"/>
      <c r="F93" s="67"/>
      <c r="G93" s="118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ht="15.75" customHeight="1">
      <c r="A94" s="32"/>
      <c r="B94" s="65"/>
      <c r="C94" s="32"/>
      <c r="D94" s="32"/>
      <c r="E94" s="32"/>
      <c r="F94" s="67"/>
      <c r="G94" s="118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ht="15.75" customHeight="1">
      <c r="A95" s="32"/>
      <c r="B95" s="65"/>
      <c r="C95" s="32"/>
      <c r="D95" s="32"/>
      <c r="E95" s="32"/>
      <c r="F95" s="67"/>
      <c r="G95" s="118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ht="15.75" customHeight="1">
      <c r="A96" s="32"/>
      <c r="B96" s="65"/>
      <c r="C96" s="32"/>
      <c r="D96" s="32"/>
      <c r="E96" s="32"/>
      <c r="F96" s="67"/>
      <c r="G96" s="118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ht="15.75" customHeight="1">
      <c r="A97" s="32"/>
      <c r="B97" s="65"/>
      <c r="C97" s="32"/>
      <c r="D97" s="32"/>
      <c r="E97" s="32"/>
      <c r="F97" s="67"/>
      <c r="G97" s="118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 ht="15.75" customHeight="1">
      <c r="A98" s="32"/>
      <c r="B98" s="65"/>
      <c r="C98" s="32"/>
      <c r="D98" s="32"/>
      <c r="E98" s="32"/>
      <c r="F98" s="67"/>
      <c r="G98" s="118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 ht="15.75" customHeight="1">
      <c r="A99" s="32"/>
      <c r="B99" s="65"/>
      <c r="C99" s="32"/>
      <c r="D99" s="32"/>
      <c r="E99" s="32"/>
      <c r="F99" s="67"/>
      <c r="G99" s="118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 ht="15.75" customHeight="1">
      <c r="A100" s="32"/>
      <c r="B100" s="65"/>
      <c r="C100" s="32"/>
      <c r="D100" s="32"/>
      <c r="E100" s="32"/>
      <c r="F100" s="67"/>
      <c r="G100" s="118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 ht="15.75" customHeight="1">
      <c r="A101" s="32"/>
      <c r="B101" s="65"/>
      <c r="C101" s="32"/>
      <c r="D101" s="32"/>
      <c r="E101" s="32"/>
      <c r="F101" s="67"/>
      <c r="G101" s="118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 ht="15.75" customHeight="1">
      <c r="A102" s="32"/>
      <c r="B102" s="65"/>
      <c r="C102" s="32"/>
      <c r="D102" s="32"/>
      <c r="E102" s="32"/>
      <c r="F102" s="67"/>
      <c r="G102" s="118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 ht="15.75" customHeight="1">
      <c r="A103" s="32"/>
      <c r="B103" s="65"/>
      <c r="C103" s="32"/>
      <c r="D103" s="32"/>
      <c r="E103" s="32"/>
      <c r="F103" s="67"/>
      <c r="G103" s="118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 ht="15.75" customHeight="1">
      <c r="A104" s="32"/>
      <c r="B104" s="65"/>
      <c r="C104" s="32"/>
      <c r="D104" s="32"/>
      <c r="E104" s="32"/>
      <c r="F104" s="67"/>
      <c r="G104" s="118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 ht="15.75" customHeight="1">
      <c r="A105" s="32"/>
      <c r="B105" s="65"/>
      <c r="C105" s="32"/>
      <c r="D105" s="32"/>
      <c r="E105" s="32"/>
      <c r="F105" s="67"/>
      <c r="G105" s="118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ht="15.75" customHeight="1">
      <c r="A106" s="32"/>
      <c r="B106" s="65"/>
      <c r="C106" s="32"/>
      <c r="D106" s="32"/>
      <c r="E106" s="32"/>
      <c r="F106" s="67"/>
      <c r="G106" s="118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 ht="15.75" customHeight="1">
      <c r="A107" s="32"/>
      <c r="B107" s="65"/>
      <c r="C107" s="32"/>
      <c r="D107" s="32"/>
      <c r="E107" s="32"/>
      <c r="F107" s="67"/>
      <c r="G107" s="118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ht="15.75" customHeight="1">
      <c r="A108" s="32"/>
      <c r="B108" s="65"/>
      <c r="C108" s="32"/>
      <c r="D108" s="32"/>
      <c r="E108" s="32"/>
      <c r="F108" s="67"/>
      <c r="G108" s="118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 ht="15.75" customHeight="1">
      <c r="A109" s="32"/>
      <c r="B109" s="65"/>
      <c r="C109" s="32"/>
      <c r="D109" s="32"/>
      <c r="E109" s="32"/>
      <c r="F109" s="67"/>
      <c r="G109" s="118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 ht="15.75" customHeight="1">
      <c r="A110" s="32"/>
      <c r="B110" s="65"/>
      <c r="C110" s="32"/>
      <c r="D110" s="32"/>
      <c r="E110" s="32"/>
      <c r="F110" s="67"/>
      <c r="G110" s="118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 ht="15.75" customHeight="1">
      <c r="A111" s="32"/>
      <c r="B111" s="65"/>
      <c r="C111" s="32"/>
      <c r="D111" s="32"/>
      <c r="E111" s="32"/>
      <c r="F111" s="67"/>
      <c r="G111" s="118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 ht="15.75" customHeight="1">
      <c r="A112" s="32"/>
      <c r="B112" s="65"/>
      <c r="C112" s="32"/>
      <c r="D112" s="32"/>
      <c r="E112" s="32"/>
      <c r="F112" s="67"/>
      <c r="G112" s="118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 ht="15.75" customHeight="1">
      <c r="A113" s="32"/>
      <c r="B113" s="65"/>
      <c r="C113" s="32"/>
      <c r="D113" s="32"/>
      <c r="E113" s="32"/>
      <c r="F113" s="67"/>
      <c r="G113" s="118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 ht="15.75" customHeight="1">
      <c r="A114" s="32"/>
      <c r="B114" s="65"/>
      <c r="C114" s="32"/>
      <c r="D114" s="32"/>
      <c r="E114" s="32"/>
      <c r="F114" s="67"/>
      <c r="G114" s="118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 ht="15.75" customHeight="1">
      <c r="A115" s="32"/>
      <c r="B115" s="65"/>
      <c r="C115" s="32"/>
      <c r="D115" s="32"/>
      <c r="E115" s="32"/>
      <c r="F115" s="67"/>
      <c r="G115" s="118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 ht="15.75" customHeight="1">
      <c r="A116" s="32"/>
      <c r="B116" s="65"/>
      <c r="C116" s="32"/>
      <c r="D116" s="32"/>
      <c r="E116" s="32"/>
      <c r="F116" s="67"/>
      <c r="G116" s="118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 ht="15.75" customHeight="1">
      <c r="A117" s="32"/>
      <c r="B117" s="65"/>
      <c r="C117" s="32"/>
      <c r="D117" s="32"/>
      <c r="E117" s="32"/>
      <c r="F117" s="67"/>
      <c r="G117" s="118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 ht="15.75" customHeight="1">
      <c r="A118" s="32"/>
      <c r="B118" s="65"/>
      <c r="C118" s="32"/>
      <c r="D118" s="32"/>
      <c r="E118" s="32"/>
      <c r="F118" s="67"/>
      <c r="G118" s="118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 ht="15.75" customHeight="1">
      <c r="A119" s="32"/>
      <c r="B119" s="65"/>
      <c r="C119" s="32"/>
      <c r="D119" s="32"/>
      <c r="E119" s="32"/>
      <c r="F119" s="67"/>
      <c r="G119" s="118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 ht="15.75" customHeight="1">
      <c r="A120" s="32"/>
      <c r="B120" s="65"/>
      <c r="C120" s="32"/>
      <c r="D120" s="32"/>
      <c r="E120" s="32"/>
      <c r="F120" s="67"/>
      <c r="G120" s="118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 ht="15.75" customHeight="1">
      <c r="A121" s="32"/>
      <c r="B121" s="65"/>
      <c r="C121" s="32"/>
      <c r="D121" s="32"/>
      <c r="E121" s="32"/>
      <c r="F121" s="67"/>
      <c r="G121" s="118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 ht="15.75" customHeight="1">
      <c r="A122" s="32"/>
      <c r="B122" s="65"/>
      <c r="C122" s="32"/>
      <c r="D122" s="32"/>
      <c r="E122" s="32"/>
      <c r="F122" s="67"/>
      <c r="G122" s="118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 ht="15.75" customHeight="1">
      <c r="A123" s="32"/>
      <c r="B123" s="65"/>
      <c r="C123" s="32"/>
      <c r="D123" s="32"/>
      <c r="E123" s="32"/>
      <c r="F123" s="67"/>
      <c r="G123" s="118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 ht="15.75" customHeight="1">
      <c r="A124" s="32"/>
      <c r="B124" s="65"/>
      <c r="C124" s="32"/>
      <c r="D124" s="32"/>
      <c r="E124" s="32"/>
      <c r="F124" s="67"/>
      <c r="G124" s="118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 ht="15.75" customHeight="1">
      <c r="A125" s="32"/>
      <c r="B125" s="65"/>
      <c r="C125" s="32"/>
      <c r="D125" s="32"/>
      <c r="E125" s="32"/>
      <c r="F125" s="67"/>
      <c r="G125" s="118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ht="15.75" customHeight="1">
      <c r="A126" s="32"/>
      <c r="B126" s="65"/>
      <c r="C126" s="32"/>
      <c r="D126" s="32"/>
      <c r="E126" s="32"/>
      <c r="F126" s="67"/>
      <c r="G126" s="118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ht="15.75" customHeight="1">
      <c r="A127" s="32"/>
      <c r="B127" s="65"/>
      <c r="C127" s="32"/>
      <c r="D127" s="32"/>
      <c r="E127" s="32"/>
      <c r="F127" s="67"/>
      <c r="G127" s="118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 ht="15.75" customHeight="1">
      <c r="A128" s="32"/>
      <c r="B128" s="65"/>
      <c r="C128" s="32"/>
      <c r="D128" s="32"/>
      <c r="E128" s="32"/>
      <c r="F128" s="67"/>
      <c r="G128" s="118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 ht="15.75" customHeight="1">
      <c r="A129" s="32"/>
      <c r="B129" s="65"/>
      <c r="C129" s="32"/>
      <c r="D129" s="32"/>
      <c r="E129" s="32"/>
      <c r="F129" s="67"/>
      <c r="G129" s="118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ht="15.75" customHeight="1">
      <c r="A130" s="32"/>
      <c r="B130" s="65"/>
      <c r="C130" s="32"/>
      <c r="D130" s="32"/>
      <c r="E130" s="32"/>
      <c r="F130" s="67"/>
      <c r="G130" s="118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ht="15.75" customHeight="1">
      <c r="A131" s="32"/>
      <c r="B131" s="65"/>
      <c r="C131" s="32"/>
      <c r="D131" s="32"/>
      <c r="E131" s="32"/>
      <c r="F131" s="67"/>
      <c r="G131" s="118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ht="15.75" customHeight="1">
      <c r="A132" s="32"/>
      <c r="B132" s="65"/>
      <c r="C132" s="32"/>
      <c r="D132" s="32"/>
      <c r="E132" s="32"/>
      <c r="F132" s="67"/>
      <c r="G132" s="118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ht="15.75" customHeight="1">
      <c r="A133" s="32"/>
      <c r="B133" s="65"/>
      <c r="C133" s="32"/>
      <c r="D133" s="32"/>
      <c r="E133" s="32"/>
      <c r="F133" s="67"/>
      <c r="G133" s="118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ht="15.75" customHeight="1">
      <c r="A134" s="32"/>
      <c r="B134" s="65"/>
      <c r="C134" s="32"/>
      <c r="D134" s="32"/>
      <c r="E134" s="32"/>
      <c r="F134" s="67"/>
      <c r="G134" s="118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ht="15.75" customHeight="1">
      <c r="A135" s="32"/>
      <c r="B135" s="65"/>
      <c r="C135" s="32"/>
      <c r="D135" s="32"/>
      <c r="E135" s="32"/>
      <c r="F135" s="67"/>
      <c r="G135" s="118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ht="15.75" customHeight="1">
      <c r="A136" s="32"/>
      <c r="B136" s="65"/>
      <c r="C136" s="32"/>
      <c r="D136" s="32"/>
      <c r="E136" s="32"/>
      <c r="F136" s="67"/>
      <c r="G136" s="118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 ht="15.75" customHeight="1">
      <c r="A137" s="32"/>
      <c r="B137" s="65"/>
      <c r="C137" s="32"/>
      <c r="D137" s="32"/>
      <c r="E137" s="32"/>
      <c r="F137" s="67"/>
      <c r="G137" s="118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 ht="15.75" customHeight="1">
      <c r="A138" s="32"/>
      <c r="B138" s="65"/>
      <c r="C138" s="32"/>
      <c r="D138" s="32"/>
      <c r="E138" s="32"/>
      <c r="F138" s="67"/>
      <c r="G138" s="118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 ht="15.75" customHeight="1">
      <c r="A139" s="32"/>
      <c r="B139" s="65"/>
      <c r="C139" s="32"/>
      <c r="D139" s="32"/>
      <c r="E139" s="32"/>
      <c r="F139" s="67"/>
      <c r="G139" s="118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 ht="15.75" customHeight="1">
      <c r="A140" s="32"/>
      <c r="B140" s="65"/>
      <c r="C140" s="32"/>
      <c r="D140" s="32"/>
      <c r="E140" s="32"/>
      <c r="F140" s="67"/>
      <c r="G140" s="118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 ht="15.75" customHeight="1">
      <c r="A141" s="32"/>
      <c r="B141" s="65"/>
      <c r="C141" s="32"/>
      <c r="D141" s="32"/>
      <c r="E141" s="32"/>
      <c r="F141" s="67"/>
      <c r="G141" s="118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 ht="15.75" customHeight="1">
      <c r="A142" s="32"/>
      <c r="B142" s="65"/>
      <c r="C142" s="32"/>
      <c r="D142" s="32"/>
      <c r="E142" s="32"/>
      <c r="F142" s="67"/>
      <c r="G142" s="118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 ht="15.75" customHeight="1">
      <c r="A143" s="32"/>
      <c r="B143" s="65"/>
      <c r="C143" s="32"/>
      <c r="D143" s="32"/>
      <c r="E143" s="32"/>
      <c r="F143" s="67"/>
      <c r="G143" s="118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 ht="15.75" customHeight="1">
      <c r="A144" s="32"/>
      <c r="B144" s="65"/>
      <c r="C144" s="32"/>
      <c r="D144" s="32"/>
      <c r="E144" s="32"/>
      <c r="F144" s="67"/>
      <c r="G144" s="118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 ht="15.75" customHeight="1">
      <c r="A145" s="32"/>
      <c r="B145" s="65"/>
      <c r="C145" s="32"/>
      <c r="D145" s="32"/>
      <c r="E145" s="32"/>
      <c r="F145" s="67"/>
      <c r="G145" s="118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 ht="15.75" customHeight="1">
      <c r="A146" s="32"/>
      <c r="B146" s="65"/>
      <c r="C146" s="32"/>
      <c r="D146" s="32"/>
      <c r="E146" s="32"/>
      <c r="F146" s="67"/>
      <c r="G146" s="118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 ht="15.75" customHeight="1">
      <c r="A147" s="32"/>
      <c r="B147" s="65"/>
      <c r="C147" s="32"/>
      <c r="D147" s="32"/>
      <c r="E147" s="32"/>
      <c r="F147" s="67"/>
      <c r="G147" s="118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 ht="15.75" customHeight="1">
      <c r="A148" s="32"/>
      <c r="B148" s="65"/>
      <c r="C148" s="32"/>
      <c r="D148" s="32"/>
      <c r="E148" s="32"/>
      <c r="F148" s="67"/>
      <c r="G148" s="118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ht="15.75" customHeight="1">
      <c r="A149" s="32"/>
      <c r="B149" s="65"/>
      <c r="C149" s="32"/>
      <c r="D149" s="32"/>
      <c r="E149" s="32"/>
      <c r="F149" s="67"/>
      <c r="G149" s="118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ht="15.75" customHeight="1">
      <c r="A150" s="32"/>
      <c r="B150" s="65"/>
      <c r="C150" s="32"/>
      <c r="D150" s="32"/>
      <c r="E150" s="32"/>
      <c r="F150" s="67"/>
      <c r="G150" s="118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ht="15.75" customHeight="1">
      <c r="A151" s="32"/>
      <c r="B151" s="65"/>
      <c r="C151" s="32"/>
      <c r="D151" s="32"/>
      <c r="E151" s="32"/>
      <c r="F151" s="67"/>
      <c r="G151" s="118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ht="15.75" customHeight="1">
      <c r="A152" s="32"/>
      <c r="B152" s="65"/>
      <c r="C152" s="32"/>
      <c r="D152" s="32"/>
      <c r="E152" s="32"/>
      <c r="F152" s="67"/>
      <c r="G152" s="118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ht="15.75" customHeight="1">
      <c r="A153" s="32"/>
      <c r="B153" s="65"/>
      <c r="C153" s="32"/>
      <c r="D153" s="32"/>
      <c r="E153" s="32"/>
      <c r="F153" s="67"/>
      <c r="G153" s="118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ht="15.75" customHeight="1">
      <c r="A154" s="32"/>
      <c r="B154" s="65"/>
      <c r="C154" s="32"/>
      <c r="D154" s="32"/>
      <c r="E154" s="32"/>
      <c r="F154" s="67"/>
      <c r="G154" s="118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 ht="15.75" customHeight="1">
      <c r="A155" s="32"/>
      <c r="B155" s="65"/>
      <c r="C155" s="32"/>
      <c r="D155" s="32"/>
      <c r="E155" s="32"/>
      <c r="F155" s="67"/>
      <c r="G155" s="118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ht="15.75" customHeight="1">
      <c r="A156" s="32"/>
      <c r="B156" s="65"/>
      <c r="C156" s="32"/>
      <c r="D156" s="32"/>
      <c r="E156" s="32"/>
      <c r="F156" s="67"/>
      <c r="G156" s="118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ht="15.75" customHeight="1">
      <c r="A157" s="32"/>
      <c r="B157" s="65"/>
      <c r="C157" s="32"/>
      <c r="D157" s="32"/>
      <c r="E157" s="32"/>
      <c r="F157" s="67"/>
      <c r="G157" s="118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ht="15.75" customHeight="1">
      <c r="A158" s="32"/>
      <c r="B158" s="65"/>
      <c r="C158" s="32"/>
      <c r="D158" s="32"/>
      <c r="E158" s="32"/>
      <c r="F158" s="67"/>
      <c r="G158" s="118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ht="15.75" customHeight="1">
      <c r="A159" s="32"/>
      <c r="B159" s="65"/>
      <c r="C159" s="32"/>
      <c r="D159" s="32"/>
      <c r="E159" s="32"/>
      <c r="F159" s="67"/>
      <c r="G159" s="118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ht="15.75" customHeight="1">
      <c r="A160" s="32"/>
      <c r="B160" s="65"/>
      <c r="C160" s="32"/>
      <c r="D160" s="32"/>
      <c r="E160" s="32"/>
      <c r="F160" s="67"/>
      <c r="G160" s="118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ht="15.75" customHeight="1">
      <c r="A161" s="32"/>
      <c r="B161" s="65"/>
      <c r="C161" s="32"/>
      <c r="D161" s="32"/>
      <c r="E161" s="32"/>
      <c r="F161" s="67"/>
      <c r="G161" s="118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ht="15.75" customHeight="1">
      <c r="A162" s="32"/>
      <c r="B162" s="65"/>
      <c r="C162" s="32"/>
      <c r="D162" s="32"/>
      <c r="E162" s="32"/>
      <c r="F162" s="67"/>
      <c r="G162" s="118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ht="15.75" customHeight="1">
      <c r="A163" s="32"/>
      <c r="B163" s="65"/>
      <c r="C163" s="32"/>
      <c r="D163" s="32"/>
      <c r="E163" s="32"/>
      <c r="F163" s="67"/>
      <c r="G163" s="118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 ht="15.75" customHeight="1">
      <c r="A164" s="32"/>
      <c r="B164" s="65"/>
      <c r="C164" s="32"/>
      <c r="D164" s="32"/>
      <c r="E164" s="32"/>
      <c r="F164" s="67"/>
      <c r="G164" s="118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 ht="15.75" customHeight="1">
      <c r="A165" s="32"/>
      <c r="B165" s="65"/>
      <c r="C165" s="32"/>
      <c r="D165" s="32"/>
      <c r="E165" s="32"/>
      <c r="F165" s="67"/>
      <c r="G165" s="118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 ht="15.75" customHeight="1">
      <c r="A166" s="32"/>
      <c r="B166" s="65"/>
      <c r="C166" s="32"/>
      <c r="D166" s="32"/>
      <c r="E166" s="32"/>
      <c r="F166" s="67"/>
      <c r="G166" s="118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ht="15.75" customHeight="1">
      <c r="A167" s="32"/>
      <c r="B167" s="65"/>
      <c r="C167" s="32"/>
      <c r="D167" s="32"/>
      <c r="E167" s="32"/>
      <c r="F167" s="67"/>
      <c r="G167" s="118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 ht="15.75" customHeight="1">
      <c r="A168" s="32"/>
      <c r="B168" s="65"/>
      <c r="C168" s="32"/>
      <c r="D168" s="32"/>
      <c r="E168" s="32"/>
      <c r="F168" s="67"/>
      <c r="G168" s="118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 ht="15.75" customHeight="1">
      <c r="A169" s="32"/>
      <c r="B169" s="65"/>
      <c r="C169" s="32"/>
      <c r="D169" s="32"/>
      <c r="E169" s="32"/>
      <c r="F169" s="67"/>
      <c r="G169" s="118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 ht="15.75" customHeight="1">
      <c r="A170" s="32"/>
      <c r="B170" s="65"/>
      <c r="C170" s="32"/>
      <c r="D170" s="32"/>
      <c r="E170" s="32"/>
      <c r="F170" s="67"/>
      <c r="G170" s="118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 ht="15.75" customHeight="1">
      <c r="A171" s="32"/>
      <c r="B171" s="65"/>
      <c r="C171" s="32"/>
      <c r="D171" s="32"/>
      <c r="E171" s="32"/>
      <c r="F171" s="67"/>
      <c r="G171" s="118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 ht="15.75" customHeight="1">
      <c r="A172" s="32"/>
      <c r="B172" s="65"/>
      <c r="C172" s="32"/>
      <c r="D172" s="32"/>
      <c r="E172" s="32"/>
      <c r="F172" s="67"/>
      <c r="G172" s="118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 ht="15.75" customHeight="1">
      <c r="A173" s="32"/>
      <c r="B173" s="65"/>
      <c r="C173" s="32"/>
      <c r="D173" s="32"/>
      <c r="E173" s="32"/>
      <c r="F173" s="67"/>
      <c r="G173" s="118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 ht="15.75" customHeight="1">
      <c r="A174" s="32"/>
      <c r="B174" s="65"/>
      <c r="C174" s="32"/>
      <c r="D174" s="32"/>
      <c r="E174" s="32"/>
      <c r="F174" s="67"/>
      <c r="G174" s="118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 ht="15.75" customHeight="1">
      <c r="A175" s="32"/>
      <c r="B175" s="65"/>
      <c r="C175" s="32"/>
      <c r="D175" s="32"/>
      <c r="E175" s="32"/>
      <c r="F175" s="67"/>
      <c r="G175" s="118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 ht="15.75" customHeight="1">
      <c r="A176" s="32"/>
      <c r="B176" s="65"/>
      <c r="C176" s="32"/>
      <c r="D176" s="32"/>
      <c r="E176" s="32"/>
      <c r="F176" s="67"/>
      <c r="G176" s="118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 ht="15.75" customHeight="1">
      <c r="A177" s="32"/>
      <c r="B177" s="65"/>
      <c r="C177" s="32"/>
      <c r="D177" s="32"/>
      <c r="E177" s="32"/>
      <c r="F177" s="67"/>
      <c r="G177" s="118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 ht="15.75" customHeight="1">
      <c r="A178" s="32"/>
      <c r="B178" s="65"/>
      <c r="C178" s="32"/>
      <c r="D178" s="32"/>
      <c r="E178" s="32"/>
      <c r="F178" s="67"/>
      <c r="G178" s="118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 ht="15.75" customHeight="1">
      <c r="A179" s="32"/>
      <c r="B179" s="65"/>
      <c r="C179" s="32"/>
      <c r="D179" s="32"/>
      <c r="E179" s="32"/>
      <c r="F179" s="67"/>
      <c r="G179" s="118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 ht="15.75" customHeight="1">
      <c r="A180" s="32"/>
      <c r="B180" s="65"/>
      <c r="C180" s="32"/>
      <c r="D180" s="32"/>
      <c r="E180" s="32"/>
      <c r="F180" s="67"/>
      <c r="G180" s="118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 ht="15.75" customHeight="1">
      <c r="A181" s="32"/>
      <c r="B181" s="65"/>
      <c r="C181" s="32"/>
      <c r="D181" s="32"/>
      <c r="E181" s="32"/>
      <c r="F181" s="67"/>
      <c r="G181" s="118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 ht="15.75" customHeight="1">
      <c r="A182" s="32"/>
      <c r="B182" s="65"/>
      <c r="C182" s="32"/>
      <c r="D182" s="32"/>
      <c r="E182" s="32"/>
      <c r="F182" s="67"/>
      <c r="G182" s="118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 ht="15.75" customHeight="1">
      <c r="A183" s="32"/>
      <c r="B183" s="65"/>
      <c r="C183" s="32"/>
      <c r="D183" s="32"/>
      <c r="E183" s="32"/>
      <c r="F183" s="67"/>
      <c r="G183" s="118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 ht="15.75" customHeight="1">
      <c r="A184" s="32"/>
      <c r="B184" s="65"/>
      <c r="C184" s="32"/>
      <c r="D184" s="32"/>
      <c r="E184" s="32"/>
      <c r="F184" s="67"/>
      <c r="G184" s="118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 ht="15.75" customHeight="1">
      <c r="A185" s="32"/>
      <c r="B185" s="65"/>
      <c r="C185" s="32"/>
      <c r="D185" s="32"/>
      <c r="E185" s="32"/>
      <c r="F185" s="67"/>
      <c r="G185" s="118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 ht="15.75" customHeight="1">
      <c r="A186" s="32"/>
      <c r="B186" s="65"/>
      <c r="C186" s="32"/>
      <c r="D186" s="32"/>
      <c r="E186" s="32"/>
      <c r="F186" s="67"/>
      <c r="G186" s="118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 ht="15.75" customHeight="1">
      <c r="A187" s="32"/>
      <c r="B187" s="65"/>
      <c r="C187" s="32"/>
      <c r="D187" s="32"/>
      <c r="E187" s="32"/>
      <c r="F187" s="67"/>
      <c r="G187" s="118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 ht="15.75" customHeight="1">
      <c r="A188" s="32"/>
      <c r="B188" s="65"/>
      <c r="C188" s="32"/>
      <c r="D188" s="32"/>
      <c r="E188" s="32"/>
      <c r="F188" s="67"/>
      <c r="G188" s="118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 ht="15.75" customHeight="1">
      <c r="A189" s="32"/>
      <c r="B189" s="65"/>
      <c r="C189" s="32"/>
      <c r="D189" s="32"/>
      <c r="E189" s="32"/>
      <c r="F189" s="67"/>
      <c r="G189" s="118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 ht="15.75" customHeight="1">
      <c r="A190" s="32"/>
      <c r="B190" s="65"/>
      <c r="C190" s="32"/>
      <c r="D190" s="32"/>
      <c r="E190" s="32"/>
      <c r="F190" s="67"/>
      <c r="G190" s="118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 ht="15.75" customHeight="1">
      <c r="A191" s="32"/>
      <c r="B191" s="65"/>
      <c r="C191" s="32"/>
      <c r="D191" s="32"/>
      <c r="E191" s="32"/>
      <c r="F191" s="67"/>
      <c r="G191" s="118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</row>
    <row r="192" ht="15.75" customHeight="1">
      <c r="A192" s="32"/>
      <c r="B192" s="65"/>
      <c r="C192" s="32"/>
      <c r="D192" s="32"/>
      <c r="E192" s="32"/>
      <c r="F192" s="67"/>
      <c r="G192" s="118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</row>
    <row r="193" ht="15.75" customHeight="1">
      <c r="A193" s="32"/>
      <c r="B193" s="65"/>
      <c r="C193" s="32"/>
      <c r="D193" s="32"/>
      <c r="E193" s="32"/>
      <c r="F193" s="67"/>
      <c r="G193" s="118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</row>
    <row r="194" ht="15.75" customHeight="1">
      <c r="A194" s="32"/>
      <c r="B194" s="65"/>
      <c r="C194" s="32"/>
      <c r="D194" s="32"/>
      <c r="E194" s="32"/>
      <c r="F194" s="67"/>
      <c r="G194" s="118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</row>
    <row r="195" ht="15.75" customHeight="1">
      <c r="A195" s="32"/>
      <c r="B195" s="65"/>
      <c r="C195" s="32"/>
      <c r="D195" s="32"/>
      <c r="E195" s="32"/>
      <c r="F195" s="67"/>
      <c r="G195" s="118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 ht="15.75" customHeight="1">
      <c r="A196" s="32"/>
      <c r="B196" s="65"/>
      <c r="C196" s="32"/>
      <c r="D196" s="32"/>
      <c r="E196" s="32"/>
      <c r="F196" s="67"/>
      <c r="G196" s="118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 ht="15.75" customHeight="1">
      <c r="A197" s="32"/>
      <c r="B197" s="65"/>
      <c r="C197" s="32"/>
      <c r="D197" s="32"/>
      <c r="E197" s="32"/>
      <c r="F197" s="67"/>
      <c r="G197" s="118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 ht="15.75" customHeight="1">
      <c r="A198" s="32"/>
      <c r="B198" s="65"/>
      <c r="C198" s="32"/>
      <c r="D198" s="32"/>
      <c r="E198" s="32"/>
      <c r="F198" s="67"/>
      <c r="G198" s="118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 ht="15.75" customHeight="1">
      <c r="A199" s="32"/>
      <c r="B199" s="65"/>
      <c r="C199" s="32"/>
      <c r="D199" s="32"/>
      <c r="E199" s="32"/>
      <c r="F199" s="67"/>
      <c r="G199" s="118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 ht="15.75" customHeight="1">
      <c r="A200" s="32"/>
      <c r="B200" s="65"/>
      <c r="C200" s="32"/>
      <c r="D200" s="32"/>
      <c r="E200" s="32"/>
      <c r="F200" s="67"/>
      <c r="G200" s="118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 ht="15.75" customHeight="1">
      <c r="A201" s="32"/>
      <c r="B201" s="65"/>
      <c r="C201" s="32"/>
      <c r="D201" s="32"/>
      <c r="E201" s="32"/>
      <c r="F201" s="67"/>
      <c r="G201" s="118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 ht="15.75" customHeight="1">
      <c r="A202" s="32"/>
      <c r="B202" s="65"/>
      <c r="C202" s="32"/>
      <c r="D202" s="32"/>
      <c r="E202" s="32"/>
      <c r="F202" s="67"/>
      <c r="G202" s="118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 ht="15.75" customHeight="1">
      <c r="A203" s="32"/>
      <c r="B203" s="65"/>
      <c r="C203" s="32"/>
      <c r="D203" s="32"/>
      <c r="E203" s="32"/>
      <c r="F203" s="67"/>
      <c r="G203" s="118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 ht="15.75" customHeight="1">
      <c r="A204" s="32"/>
      <c r="B204" s="65"/>
      <c r="C204" s="32"/>
      <c r="D204" s="32"/>
      <c r="E204" s="32"/>
      <c r="F204" s="67"/>
      <c r="G204" s="118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 ht="15.75" customHeight="1">
      <c r="A205" s="32"/>
      <c r="B205" s="65"/>
      <c r="C205" s="32"/>
      <c r="D205" s="32"/>
      <c r="E205" s="32"/>
      <c r="F205" s="67"/>
      <c r="G205" s="118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 ht="15.75" customHeight="1">
      <c r="A206" s="32"/>
      <c r="B206" s="65"/>
      <c r="C206" s="32"/>
      <c r="D206" s="32"/>
      <c r="E206" s="32"/>
      <c r="F206" s="67"/>
      <c r="G206" s="118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ht="15.75" customHeight="1">
      <c r="A207" s="32"/>
      <c r="B207" s="65"/>
      <c r="C207" s="32"/>
      <c r="D207" s="32"/>
      <c r="E207" s="32"/>
      <c r="F207" s="67"/>
      <c r="G207" s="118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 ht="15.75" customHeight="1">
      <c r="A208" s="32"/>
      <c r="B208" s="65"/>
      <c r="C208" s="32"/>
      <c r="D208" s="32"/>
      <c r="E208" s="32"/>
      <c r="F208" s="67"/>
      <c r="G208" s="118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ht="15.75" customHeight="1">
      <c r="A209" s="32"/>
      <c r="B209" s="65"/>
      <c r="C209" s="32"/>
      <c r="D209" s="32"/>
      <c r="E209" s="32"/>
      <c r="F209" s="67"/>
      <c r="G209" s="118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</row>
    <row r="210" ht="15.75" customHeight="1">
      <c r="A210" s="32"/>
      <c r="B210" s="65"/>
      <c r="C210" s="32"/>
      <c r="D210" s="32"/>
      <c r="E210" s="32"/>
      <c r="F210" s="67"/>
      <c r="G210" s="118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</row>
    <row r="211" ht="15.75" customHeight="1">
      <c r="A211" s="32"/>
      <c r="B211" s="65"/>
      <c r="C211" s="32"/>
      <c r="D211" s="32"/>
      <c r="E211" s="32"/>
      <c r="F211" s="67"/>
      <c r="G211" s="118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</row>
    <row r="212" ht="15.75" customHeight="1">
      <c r="A212" s="32"/>
      <c r="B212" s="65"/>
      <c r="C212" s="32"/>
      <c r="D212" s="32"/>
      <c r="E212" s="32"/>
      <c r="F212" s="67"/>
      <c r="G212" s="118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</row>
    <row r="213" ht="15.75" customHeight="1">
      <c r="A213" s="32"/>
      <c r="B213" s="65"/>
      <c r="C213" s="32"/>
      <c r="D213" s="32"/>
      <c r="E213" s="32"/>
      <c r="F213" s="67"/>
      <c r="G213" s="118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</row>
    <row r="214" ht="15.75" customHeight="1">
      <c r="A214" s="32"/>
      <c r="B214" s="65"/>
      <c r="C214" s="32"/>
      <c r="D214" s="32"/>
      <c r="E214" s="32"/>
      <c r="F214" s="67"/>
      <c r="G214" s="118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</row>
    <row r="215" ht="15.75" customHeight="1">
      <c r="A215" s="32"/>
      <c r="B215" s="65"/>
      <c r="C215" s="32"/>
      <c r="D215" s="32"/>
      <c r="E215" s="32"/>
      <c r="F215" s="67"/>
      <c r="G215" s="118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</row>
    <row r="216" ht="15.75" customHeight="1">
      <c r="A216" s="32"/>
      <c r="B216" s="65"/>
      <c r="C216" s="32"/>
      <c r="D216" s="32"/>
      <c r="E216" s="32"/>
      <c r="F216" s="67"/>
      <c r="G216" s="118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</row>
    <row r="217" ht="15.75" customHeight="1">
      <c r="A217" s="32"/>
      <c r="B217" s="65"/>
      <c r="C217" s="32"/>
      <c r="D217" s="32"/>
      <c r="E217" s="32"/>
      <c r="F217" s="67"/>
      <c r="G217" s="118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 ht="15.75" customHeight="1">
      <c r="A218" s="32"/>
      <c r="B218" s="65"/>
      <c r="C218" s="32"/>
      <c r="D218" s="32"/>
      <c r="E218" s="32"/>
      <c r="F218" s="67"/>
      <c r="G218" s="118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 ht="15.75" customHeight="1">
      <c r="A219" s="32"/>
      <c r="B219" s="65"/>
      <c r="C219" s="32"/>
      <c r="D219" s="32"/>
      <c r="E219" s="32"/>
      <c r="F219" s="67"/>
      <c r="G219" s="118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 ht="15.75" customHeight="1">
      <c r="A220" s="32"/>
      <c r="B220" s="65"/>
      <c r="C220" s="32"/>
      <c r="D220" s="32"/>
      <c r="E220" s="32"/>
      <c r="F220" s="67"/>
      <c r="G220" s="118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 ht="15.75" customHeight="1">
      <c r="A221" s="32"/>
      <c r="B221" s="65"/>
      <c r="C221" s="32"/>
      <c r="D221" s="32"/>
      <c r="E221" s="32"/>
      <c r="F221" s="67"/>
      <c r="G221" s="118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 ht="15.75" customHeight="1">
      <c r="A222" s="32"/>
      <c r="B222" s="65"/>
      <c r="C222" s="32"/>
      <c r="D222" s="32"/>
      <c r="E222" s="32"/>
      <c r="F222" s="67"/>
      <c r="G222" s="118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 ht="15.75" customHeight="1">
      <c r="A223" s="32"/>
      <c r="B223" s="65"/>
      <c r="C223" s="32"/>
      <c r="D223" s="32"/>
      <c r="E223" s="32"/>
      <c r="F223" s="67"/>
      <c r="G223" s="118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 ht="15.75" customHeight="1">
      <c r="A224" s="32"/>
      <c r="B224" s="65"/>
      <c r="C224" s="32"/>
      <c r="D224" s="32"/>
      <c r="E224" s="32"/>
      <c r="F224" s="67"/>
      <c r="G224" s="118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 ht="15.75" customHeight="1">
      <c r="A225" s="32"/>
      <c r="B225" s="65"/>
      <c r="C225" s="32"/>
      <c r="D225" s="32"/>
      <c r="E225" s="32"/>
      <c r="F225" s="67"/>
      <c r="G225" s="118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</row>
    <row r="226" ht="15.75" customHeight="1">
      <c r="A226" s="32"/>
      <c r="B226" s="65"/>
      <c r="C226" s="32"/>
      <c r="D226" s="32"/>
      <c r="E226" s="32"/>
      <c r="F226" s="67"/>
      <c r="G226" s="118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</row>
    <row r="227" ht="15.75" customHeight="1">
      <c r="A227" s="32"/>
      <c r="B227" s="65"/>
      <c r="C227" s="32"/>
      <c r="D227" s="32"/>
      <c r="E227" s="32"/>
      <c r="F227" s="67"/>
      <c r="G227" s="118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</row>
    <row r="228" ht="15.75" customHeight="1">
      <c r="A228" s="32"/>
      <c r="B228" s="65"/>
      <c r="C228" s="32"/>
      <c r="D228" s="32"/>
      <c r="E228" s="32"/>
      <c r="F228" s="67"/>
      <c r="G228" s="118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</row>
    <row r="229" ht="15.75" customHeight="1">
      <c r="A229" s="32"/>
      <c r="B229" s="65"/>
      <c r="C229" s="32"/>
      <c r="D229" s="32"/>
      <c r="E229" s="32"/>
      <c r="F229" s="67"/>
      <c r="G229" s="118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</row>
    <row r="230" ht="15.75" customHeight="1">
      <c r="A230" s="32"/>
      <c r="B230" s="65"/>
      <c r="C230" s="32"/>
      <c r="D230" s="32"/>
      <c r="E230" s="32"/>
      <c r="F230" s="67"/>
      <c r="G230" s="118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</row>
    <row r="231" ht="15.75" customHeight="1">
      <c r="A231" s="32"/>
      <c r="B231" s="65"/>
      <c r="C231" s="32"/>
      <c r="D231" s="32"/>
      <c r="E231" s="32"/>
      <c r="F231" s="67"/>
      <c r="G231" s="118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</row>
    <row r="232" ht="15.75" customHeight="1">
      <c r="A232" s="32"/>
      <c r="B232" s="65"/>
      <c r="C232" s="32"/>
      <c r="D232" s="32"/>
      <c r="E232" s="32"/>
      <c r="F232" s="67"/>
      <c r="G232" s="118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</row>
    <row r="233" ht="15.75" customHeight="1">
      <c r="A233" s="32"/>
      <c r="B233" s="65"/>
      <c r="C233" s="32"/>
      <c r="D233" s="32"/>
      <c r="E233" s="32"/>
      <c r="F233" s="67"/>
      <c r="G233" s="118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</row>
    <row r="234" ht="15.75" customHeight="1">
      <c r="A234" s="32"/>
      <c r="B234" s="65"/>
      <c r="C234" s="32"/>
      <c r="D234" s="32"/>
      <c r="E234" s="32"/>
      <c r="F234" s="67"/>
      <c r="G234" s="118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</row>
    <row r="235" ht="15.75" customHeight="1">
      <c r="A235" s="32"/>
      <c r="B235" s="65"/>
      <c r="C235" s="32"/>
      <c r="D235" s="32"/>
      <c r="E235" s="32"/>
      <c r="F235" s="67"/>
      <c r="G235" s="118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</row>
    <row r="236" ht="15.75" customHeight="1">
      <c r="A236" s="32"/>
      <c r="B236" s="65"/>
      <c r="C236" s="32"/>
      <c r="D236" s="32"/>
      <c r="E236" s="32"/>
      <c r="F236" s="67"/>
      <c r="G236" s="118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</row>
    <row r="237" ht="15.75" customHeight="1">
      <c r="A237" s="32"/>
      <c r="B237" s="65"/>
      <c r="C237" s="32"/>
      <c r="D237" s="32"/>
      <c r="E237" s="32"/>
      <c r="F237" s="67"/>
      <c r="G237" s="118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</row>
    <row r="238" ht="15.75" customHeight="1">
      <c r="A238" s="32"/>
      <c r="B238" s="65"/>
      <c r="C238" s="32"/>
      <c r="D238" s="32"/>
      <c r="E238" s="32"/>
      <c r="F238" s="67"/>
      <c r="G238" s="118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</row>
    <row r="239" ht="15.75" customHeight="1">
      <c r="A239" s="32"/>
      <c r="B239" s="65"/>
      <c r="C239" s="32"/>
      <c r="D239" s="32"/>
      <c r="E239" s="32"/>
      <c r="F239" s="67"/>
      <c r="G239" s="118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</row>
    <row r="240" ht="15.75" customHeight="1">
      <c r="A240" s="32"/>
      <c r="B240" s="65"/>
      <c r="C240" s="32"/>
      <c r="D240" s="32"/>
      <c r="E240" s="32"/>
      <c r="F240" s="67"/>
      <c r="G240" s="118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</row>
    <row r="241" ht="15.75" customHeight="1">
      <c r="A241" s="32"/>
      <c r="B241" s="65"/>
      <c r="C241" s="32"/>
      <c r="D241" s="32"/>
      <c r="E241" s="32"/>
      <c r="F241" s="67"/>
      <c r="G241" s="118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</row>
    <row r="242" ht="15.75" customHeight="1">
      <c r="A242" s="32"/>
      <c r="B242" s="65"/>
      <c r="C242" s="32"/>
      <c r="D242" s="32"/>
      <c r="E242" s="32"/>
      <c r="F242" s="67"/>
      <c r="G242" s="118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 ht="15.75" customHeight="1">
      <c r="A243" s="32"/>
      <c r="B243" s="65"/>
      <c r="C243" s="32"/>
      <c r="D243" s="32"/>
      <c r="E243" s="32"/>
      <c r="F243" s="67"/>
      <c r="G243" s="118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</row>
    <row r="244" ht="15.75" customHeight="1">
      <c r="A244" s="32"/>
      <c r="B244" s="65"/>
      <c r="C244" s="32"/>
      <c r="D244" s="32"/>
      <c r="E244" s="32"/>
      <c r="F244" s="67"/>
      <c r="G244" s="118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ht="15.75" customHeight="1">
      <c r="A245" s="32"/>
      <c r="B245" s="65"/>
      <c r="C245" s="32"/>
      <c r="D245" s="32"/>
      <c r="E245" s="32"/>
      <c r="F245" s="67"/>
      <c r="G245" s="118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</row>
    <row r="246" ht="15.75" customHeight="1">
      <c r="A246" s="32"/>
      <c r="B246" s="65"/>
      <c r="C246" s="32"/>
      <c r="D246" s="32"/>
      <c r="E246" s="32"/>
      <c r="F246" s="67"/>
      <c r="G246" s="118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</row>
    <row r="247" ht="15.75" customHeight="1">
      <c r="A247" s="32"/>
      <c r="B247" s="65"/>
      <c r="C247" s="32"/>
      <c r="D247" s="32"/>
      <c r="E247" s="32"/>
      <c r="F247" s="67"/>
      <c r="G247" s="118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</row>
    <row r="248" ht="15.75" customHeight="1">
      <c r="A248" s="32"/>
      <c r="B248" s="65"/>
      <c r="C248" s="32"/>
      <c r="D248" s="32"/>
      <c r="E248" s="32"/>
      <c r="F248" s="67"/>
      <c r="G248" s="118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</row>
    <row r="249" ht="15.75" customHeight="1">
      <c r="A249" s="32"/>
      <c r="B249" s="65"/>
      <c r="C249" s="32"/>
      <c r="D249" s="32"/>
      <c r="E249" s="32"/>
      <c r="F249" s="67"/>
      <c r="G249" s="118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</row>
    <row r="250" ht="15.75" customHeight="1">
      <c r="A250" s="32"/>
      <c r="B250" s="65"/>
      <c r="C250" s="32"/>
      <c r="D250" s="32"/>
      <c r="E250" s="32"/>
      <c r="F250" s="67"/>
      <c r="G250" s="118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</row>
    <row r="251" ht="15.75" customHeight="1">
      <c r="A251" s="32"/>
      <c r="B251" s="65"/>
      <c r="C251" s="32"/>
      <c r="D251" s="32"/>
      <c r="E251" s="32"/>
      <c r="F251" s="67"/>
      <c r="G251" s="118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</row>
    <row r="252" ht="15.75" customHeight="1">
      <c r="A252" s="32"/>
      <c r="B252" s="65"/>
      <c r="C252" s="32"/>
      <c r="D252" s="32"/>
      <c r="E252" s="32"/>
      <c r="F252" s="67"/>
      <c r="G252" s="118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</row>
    <row r="253" ht="15.75" customHeight="1">
      <c r="A253" s="32"/>
      <c r="B253" s="65"/>
      <c r="C253" s="32"/>
      <c r="D253" s="32"/>
      <c r="E253" s="32"/>
      <c r="F253" s="67"/>
      <c r="G253" s="118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</row>
    <row r="254" ht="15.75" customHeight="1">
      <c r="A254" s="32"/>
      <c r="B254" s="65"/>
      <c r="C254" s="32"/>
      <c r="D254" s="32"/>
      <c r="E254" s="32"/>
      <c r="F254" s="67"/>
      <c r="G254" s="118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</row>
    <row r="255" ht="15.75" customHeight="1">
      <c r="A255" s="32"/>
      <c r="B255" s="65"/>
      <c r="C255" s="32"/>
      <c r="D255" s="32"/>
      <c r="E255" s="32"/>
      <c r="F255" s="67"/>
      <c r="G255" s="118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</row>
    <row r="256" ht="15.75" customHeight="1">
      <c r="A256" s="32"/>
      <c r="B256" s="65"/>
      <c r="C256" s="32"/>
      <c r="D256" s="32"/>
      <c r="E256" s="32"/>
      <c r="F256" s="67"/>
      <c r="G256" s="118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</row>
    <row r="257" ht="15.75" customHeight="1">
      <c r="A257" s="32"/>
      <c r="B257" s="65"/>
      <c r="C257" s="32"/>
      <c r="D257" s="32"/>
      <c r="E257" s="32"/>
      <c r="F257" s="67"/>
      <c r="G257" s="118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</row>
    <row r="258" ht="15.75" customHeight="1">
      <c r="A258" s="32"/>
      <c r="B258" s="65"/>
      <c r="C258" s="32"/>
      <c r="D258" s="32"/>
      <c r="E258" s="32"/>
      <c r="F258" s="67"/>
      <c r="G258" s="118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</row>
    <row r="259" ht="15.75" customHeight="1">
      <c r="A259" s="32"/>
      <c r="B259" s="65"/>
      <c r="C259" s="32"/>
      <c r="D259" s="32"/>
      <c r="E259" s="32"/>
      <c r="F259" s="67"/>
      <c r="G259" s="118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</row>
    <row r="260" ht="15.75" customHeight="1">
      <c r="A260" s="32"/>
      <c r="B260" s="65"/>
      <c r="C260" s="32"/>
      <c r="D260" s="32"/>
      <c r="E260" s="32"/>
      <c r="F260" s="67"/>
      <c r="G260" s="118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</row>
    <row r="261" ht="15.75" customHeight="1">
      <c r="A261" s="32"/>
      <c r="B261" s="65"/>
      <c r="C261" s="32"/>
      <c r="D261" s="32"/>
      <c r="E261" s="32"/>
      <c r="F261" s="67"/>
      <c r="G261" s="118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</row>
    <row r="262" ht="15.75" customHeight="1">
      <c r="A262" s="32"/>
      <c r="B262" s="65"/>
      <c r="C262" s="32"/>
      <c r="D262" s="32"/>
      <c r="E262" s="32"/>
      <c r="F262" s="67"/>
      <c r="G262" s="118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</row>
    <row r="263" ht="15.75" customHeight="1">
      <c r="A263" s="32"/>
      <c r="B263" s="65"/>
      <c r="C263" s="32"/>
      <c r="D263" s="32"/>
      <c r="E263" s="32"/>
      <c r="F263" s="67"/>
      <c r="G263" s="118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</row>
    <row r="264" ht="15.75" customHeight="1">
      <c r="A264" s="32"/>
      <c r="B264" s="65"/>
      <c r="C264" s="32"/>
      <c r="D264" s="32"/>
      <c r="E264" s="32"/>
      <c r="F264" s="67"/>
      <c r="G264" s="118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</row>
    <row r="265" ht="15.75" customHeight="1">
      <c r="A265" s="32"/>
      <c r="B265" s="65"/>
      <c r="C265" s="32"/>
      <c r="D265" s="32"/>
      <c r="E265" s="32"/>
      <c r="F265" s="67"/>
      <c r="G265" s="118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</row>
    <row r="266" ht="15.75" customHeight="1">
      <c r="A266" s="32"/>
      <c r="B266" s="65"/>
      <c r="C266" s="32"/>
      <c r="D266" s="32"/>
      <c r="E266" s="32"/>
      <c r="F266" s="67"/>
      <c r="G266" s="118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</row>
    <row r="267" ht="15.75" customHeight="1">
      <c r="A267" s="32"/>
      <c r="B267" s="65"/>
      <c r="C267" s="32"/>
      <c r="D267" s="32"/>
      <c r="E267" s="32"/>
      <c r="F267" s="67"/>
      <c r="G267" s="118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</row>
    <row r="268" ht="15.75" customHeight="1">
      <c r="A268" s="32"/>
      <c r="B268" s="65"/>
      <c r="C268" s="32"/>
      <c r="D268" s="32"/>
      <c r="E268" s="32"/>
      <c r="F268" s="67"/>
      <c r="G268" s="118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</row>
    <row r="269" ht="15.75" customHeight="1">
      <c r="A269" s="32"/>
      <c r="B269" s="65"/>
      <c r="C269" s="32"/>
      <c r="D269" s="32"/>
      <c r="E269" s="32"/>
      <c r="F269" s="67"/>
      <c r="G269" s="118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</row>
    <row r="270" ht="15.75" customHeight="1">
      <c r="A270" s="32"/>
      <c r="B270" s="65"/>
      <c r="C270" s="32"/>
      <c r="D270" s="32"/>
      <c r="E270" s="32"/>
      <c r="F270" s="67"/>
      <c r="G270" s="118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 ht="15.75" customHeight="1">
      <c r="A271" s="32"/>
      <c r="B271" s="65"/>
      <c r="C271" s="32"/>
      <c r="D271" s="32"/>
      <c r="E271" s="32"/>
      <c r="F271" s="67"/>
      <c r="G271" s="118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 ht="15.75" customHeight="1">
      <c r="A272" s="32"/>
      <c r="B272" s="65"/>
      <c r="C272" s="32"/>
      <c r="D272" s="32"/>
      <c r="E272" s="32"/>
      <c r="F272" s="67"/>
      <c r="G272" s="118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 ht="15.75" customHeight="1">
      <c r="A273" s="32"/>
      <c r="B273" s="65"/>
      <c r="C273" s="32"/>
      <c r="D273" s="32"/>
      <c r="E273" s="32"/>
      <c r="F273" s="67"/>
      <c r="G273" s="118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 ht="15.75" customHeight="1">
      <c r="A274" s="32"/>
      <c r="B274" s="65"/>
      <c r="C274" s="32"/>
      <c r="D274" s="32"/>
      <c r="E274" s="32"/>
      <c r="F274" s="67"/>
      <c r="G274" s="118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 ht="15.75" customHeight="1">
      <c r="A275" s="32"/>
      <c r="B275" s="65"/>
      <c r="C275" s="32"/>
      <c r="D275" s="32"/>
      <c r="E275" s="32"/>
      <c r="F275" s="67"/>
      <c r="G275" s="118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 ht="15.75" customHeight="1">
      <c r="A276" s="32"/>
      <c r="B276" s="65"/>
      <c r="C276" s="32"/>
      <c r="D276" s="32"/>
      <c r="E276" s="32"/>
      <c r="F276" s="67"/>
      <c r="G276" s="118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 ht="15.75" customHeight="1">
      <c r="A277" s="32"/>
      <c r="B277" s="65"/>
      <c r="C277" s="32"/>
      <c r="D277" s="32"/>
      <c r="E277" s="32"/>
      <c r="F277" s="67"/>
      <c r="G277" s="118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 ht="15.75" customHeight="1">
      <c r="A278" s="32"/>
      <c r="B278" s="65"/>
      <c r="C278" s="32"/>
      <c r="D278" s="32"/>
      <c r="E278" s="32"/>
      <c r="F278" s="67"/>
      <c r="G278" s="118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 ht="15.75" customHeight="1">
      <c r="A279" s="32"/>
      <c r="B279" s="65"/>
      <c r="C279" s="32"/>
      <c r="D279" s="32"/>
      <c r="E279" s="32"/>
      <c r="F279" s="67"/>
      <c r="G279" s="118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 ht="15.75" customHeight="1">
      <c r="A280" s="32"/>
      <c r="B280" s="65"/>
      <c r="C280" s="32"/>
      <c r="D280" s="32"/>
      <c r="E280" s="32"/>
      <c r="F280" s="67"/>
      <c r="G280" s="118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</row>
    <row r="281" ht="15.75" customHeight="1">
      <c r="A281" s="32"/>
      <c r="B281" s="65"/>
      <c r="C281" s="32"/>
      <c r="D281" s="32"/>
      <c r="E281" s="32"/>
      <c r="F281" s="67"/>
      <c r="G281" s="118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ht="15.75" customHeight="1">
      <c r="A282" s="32"/>
      <c r="B282" s="65"/>
      <c r="C282" s="32"/>
      <c r="D282" s="32"/>
      <c r="E282" s="32"/>
      <c r="F282" s="67"/>
      <c r="G282" s="118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</row>
    <row r="283" ht="15.75" customHeight="1">
      <c r="A283" s="32"/>
      <c r="B283" s="65"/>
      <c r="C283" s="32"/>
      <c r="D283" s="32"/>
      <c r="E283" s="32"/>
      <c r="F283" s="67"/>
      <c r="G283" s="118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ht="15.75" customHeight="1">
      <c r="A284" s="32"/>
      <c r="B284" s="65"/>
      <c r="C284" s="32"/>
      <c r="D284" s="32"/>
      <c r="E284" s="32"/>
      <c r="F284" s="67"/>
      <c r="G284" s="118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</row>
    <row r="285" ht="15.75" customHeight="1">
      <c r="A285" s="32"/>
      <c r="B285" s="65"/>
      <c r="C285" s="32"/>
      <c r="D285" s="32"/>
      <c r="E285" s="32"/>
      <c r="F285" s="67"/>
      <c r="G285" s="118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</row>
    <row r="286" ht="15.75" customHeight="1">
      <c r="A286" s="32"/>
      <c r="B286" s="65"/>
      <c r="C286" s="32"/>
      <c r="D286" s="32"/>
      <c r="E286" s="32"/>
      <c r="F286" s="67"/>
      <c r="G286" s="118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</row>
    <row r="287" ht="15.75" customHeight="1">
      <c r="A287" s="32"/>
      <c r="B287" s="65"/>
      <c r="C287" s="32"/>
      <c r="D287" s="32"/>
      <c r="E287" s="32"/>
      <c r="F287" s="67"/>
      <c r="G287" s="118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</row>
    <row r="288" ht="15.75" customHeight="1">
      <c r="A288" s="32"/>
      <c r="B288" s="65"/>
      <c r="C288" s="32"/>
      <c r="D288" s="32"/>
      <c r="E288" s="32"/>
      <c r="F288" s="67"/>
      <c r="G288" s="118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ht="15.75" customHeight="1">
      <c r="A289" s="32"/>
      <c r="B289" s="65"/>
      <c r="C289" s="32"/>
      <c r="D289" s="32"/>
      <c r="E289" s="32"/>
      <c r="F289" s="67"/>
      <c r="G289" s="118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</row>
    <row r="290" ht="15.75" customHeight="1">
      <c r="A290" s="32"/>
      <c r="B290" s="65"/>
      <c r="C290" s="32"/>
      <c r="D290" s="32"/>
      <c r="E290" s="32"/>
      <c r="F290" s="67"/>
      <c r="G290" s="118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 ht="15.75" customHeight="1">
      <c r="A291" s="32"/>
      <c r="B291" s="65"/>
      <c r="C291" s="32"/>
      <c r="D291" s="32"/>
      <c r="E291" s="32"/>
      <c r="F291" s="67"/>
      <c r="G291" s="118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</row>
    <row r="292" ht="15.75" customHeight="1">
      <c r="A292" s="32"/>
      <c r="B292" s="65"/>
      <c r="C292" s="32"/>
      <c r="D292" s="32"/>
      <c r="E292" s="32"/>
      <c r="F292" s="67"/>
      <c r="G292" s="118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</row>
    <row r="293" ht="15.75" customHeight="1">
      <c r="A293" s="32"/>
      <c r="B293" s="65"/>
      <c r="C293" s="32"/>
      <c r="D293" s="32"/>
      <c r="E293" s="32"/>
      <c r="F293" s="67"/>
      <c r="G293" s="118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ht="15.75" customHeight="1">
      <c r="A294" s="32"/>
      <c r="B294" s="65"/>
      <c r="C294" s="32"/>
      <c r="D294" s="32"/>
      <c r="E294" s="32"/>
      <c r="F294" s="67"/>
      <c r="G294" s="118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</row>
    <row r="295" ht="15.75" customHeight="1">
      <c r="A295" s="32"/>
      <c r="B295" s="65"/>
      <c r="C295" s="32"/>
      <c r="D295" s="32"/>
      <c r="E295" s="32"/>
      <c r="F295" s="67"/>
      <c r="G295" s="118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ht="15.75" customHeight="1">
      <c r="A296" s="32"/>
      <c r="B296" s="65"/>
      <c r="C296" s="32"/>
      <c r="D296" s="32"/>
      <c r="E296" s="32"/>
      <c r="F296" s="67"/>
      <c r="G296" s="118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</row>
    <row r="297" ht="15.75" customHeight="1">
      <c r="A297" s="32"/>
      <c r="B297" s="65"/>
      <c r="C297" s="32"/>
      <c r="D297" s="32"/>
      <c r="E297" s="32"/>
      <c r="F297" s="67"/>
      <c r="G297" s="118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ht="15.75" customHeight="1">
      <c r="A298" s="32"/>
      <c r="B298" s="65"/>
      <c r="C298" s="32"/>
      <c r="D298" s="32"/>
      <c r="E298" s="32"/>
      <c r="F298" s="67"/>
      <c r="G298" s="118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</row>
    <row r="299" ht="15.75" customHeight="1">
      <c r="A299" s="32"/>
      <c r="B299" s="65"/>
      <c r="C299" s="32"/>
      <c r="D299" s="32"/>
      <c r="E299" s="32"/>
      <c r="F299" s="67"/>
      <c r="G299" s="118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ht="15.75" customHeight="1">
      <c r="A300" s="32"/>
      <c r="B300" s="65"/>
      <c r="C300" s="32"/>
      <c r="D300" s="32"/>
      <c r="E300" s="32"/>
      <c r="F300" s="67"/>
      <c r="G300" s="118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</row>
    <row r="301" ht="15.75" customHeight="1">
      <c r="A301" s="32"/>
      <c r="B301" s="65"/>
      <c r="C301" s="32"/>
      <c r="D301" s="32"/>
      <c r="E301" s="32"/>
      <c r="F301" s="67"/>
      <c r="G301" s="118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ht="15.75" customHeight="1">
      <c r="A302" s="32"/>
      <c r="B302" s="65"/>
      <c r="C302" s="32"/>
      <c r="D302" s="32"/>
      <c r="E302" s="32"/>
      <c r="F302" s="67"/>
      <c r="G302" s="118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</row>
    <row r="303" ht="15.75" customHeight="1">
      <c r="A303" s="32"/>
      <c r="B303" s="65"/>
      <c r="C303" s="32"/>
      <c r="D303" s="32"/>
      <c r="E303" s="32"/>
      <c r="F303" s="67"/>
      <c r="G303" s="118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ht="15.75" customHeight="1">
      <c r="A304" s="32"/>
      <c r="B304" s="65"/>
      <c r="C304" s="32"/>
      <c r="D304" s="32"/>
      <c r="E304" s="32"/>
      <c r="F304" s="67"/>
      <c r="G304" s="118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</row>
    <row r="305" ht="15.75" customHeight="1">
      <c r="A305" s="32"/>
      <c r="B305" s="65"/>
      <c r="C305" s="32"/>
      <c r="D305" s="32"/>
      <c r="E305" s="32"/>
      <c r="F305" s="67"/>
      <c r="G305" s="118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 ht="15.75" customHeight="1">
      <c r="A306" s="32"/>
      <c r="B306" s="65"/>
      <c r="C306" s="32"/>
      <c r="D306" s="32"/>
      <c r="E306" s="32"/>
      <c r="F306" s="67"/>
      <c r="G306" s="118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</row>
    <row r="307" ht="15.75" customHeight="1">
      <c r="A307" s="32"/>
      <c r="B307" s="65"/>
      <c r="C307" s="32"/>
      <c r="D307" s="32"/>
      <c r="E307" s="32"/>
      <c r="F307" s="67"/>
      <c r="G307" s="118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 ht="15.75" customHeight="1">
      <c r="A308" s="32"/>
      <c r="B308" s="65"/>
      <c r="C308" s="32"/>
      <c r="D308" s="32"/>
      <c r="E308" s="32"/>
      <c r="F308" s="67"/>
      <c r="G308" s="118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</row>
    <row r="309" ht="15.75" customHeight="1">
      <c r="A309" s="32"/>
      <c r="B309" s="65"/>
      <c r="C309" s="32"/>
      <c r="D309" s="32"/>
      <c r="E309" s="32"/>
      <c r="F309" s="67"/>
      <c r="G309" s="118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</row>
    <row r="310" ht="15.75" customHeight="1">
      <c r="A310" s="32"/>
      <c r="B310" s="65"/>
      <c r="C310" s="32"/>
      <c r="D310" s="32"/>
      <c r="E310" s="32"/>
      <c r="F310" s="67"/>
      <c r="G310" s="118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</row>
    <row r="311" ht="15.75" customHeight="1">
      <c r="A311" s="32"/>
      <c r="B311" s="65"/>
      <c r="C311" s="32"/>
      <c r="D311" s="32"/>
      <c r="E311" s="32"/>
      <c r="F311" s="67"/>
      <c r="G311" s="118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 ht="15.75" customHeight="1">
      <c r="A312" s="32"/>
      <c r="B312" s="65"/>
      <c r="C312" s="32"/>
      <c r="D312" s="32"/>
      <c r="E312" s="32"/>
      <c r="F312" s="67"/>
      <c r="G312" s="118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</row>
    <row r="313" ht="15.75" customHeight="1">
      <c r="A313" s="32"/>
      <c r="B313" s="65"/>
      <c r="C313" s="32"/>
      <c r="D313" s="32"/>
      <c r="E313" s="32"/>
      <c r="F313" s="67"/>
      <c r="G313" s="118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 ht="15.75" customHeight="1">
      <c r="A314" s="32"/>
      <c r="B314" s="65"/>
      <c r="C314" s="32"/>
      <c r="D314" s="32"/>
      <c r="E314" s="32"/>
      <c r="F314" s="67"/>
      <c r="G314" s="118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</row>
    <row r="315" ht="15.75" customHeight="1">
      <c r="A315" s="32"/>
      <c r="B315" s="65"/>
      <c r="C315" s="32"/>
      <c r="D315" s="32"/>
      <c r="E315" s="32"/>
      <c r="F315" s="67"/>
      <c r="G315" s="118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</row>
    <row r="316" ht="15.75" customHeight="1">
      <c r="A316" s="32"/>
      <c r="B316" s="65"/>
      <c r="C316" s="32"/>
      <c r="D316" s="32"/>
      <c r="E316" s="32"/>
      <c r="F316" s="67"/>
      <c r="G316" s="118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ht="15.75" customHeight="1">
      <c r="A317" s="32"/>
      <c r="B317" s="65"/>
      <c r="C317" s="32"/>
      <c r="D317" s="32"/>
      <c r="E317" s="32"/>
      <c r="F317" s="67"/>
      <c r="G317" s="118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</row>
    <row r="318" ht="15.75" customHeight="1">
      <c r="A318" s="32"/>
      <c r="B318" s="65"/>
      <c r="C318" s="32"/>
      <c r="D318" s="32"/>
      <c r="E318" s="32"/>
      <c r="F318" s="67"/>
      <c r="G318" s="118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ht="15.75" customHeight="1">
      <c r="A319" s="32"/>
      <c r="B319" s="65"/>
      <c r="C319" s="32"/>
      <c r="D319" s="32"/>
      <c r="E319" s="32"/>
      <c r="F319" s="67"/>
      <c r="G319" s="118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</row>
    <row r="320" ht="15.75" customHeight="1">
      <c r="A320" s="32"/>
      <c r="B320" s="65"/>
      <c r="C320" s="32"/>
      <c r="D320" s="32"/>
      <c r="E320" s="32"/>
      <c r="F320" s="67"/>
      <c r="G320" s="118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</row>
    <row r="321" ht="15.75" customHeight="1">
      <c r="A321" s="32"/>
      <c r="B321" s="65"/>
      <c r="C321" s="32"/>
      <c r="D321" s="32"/>
      <c r="E321" s="32"/>
      <c r="F321" s="67"/>
      <c r="G321" s="118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ht="15.75" customHeight="1">
      <c r="A322" s="32"/>
      <c r="B322" s="65"/>
      <c r="C322" s="32"/>
      <c r="D322" s="32"/>
      <c r="E322" s="32"/>
      <c r="F322" s="67"/>
      <c r="G322" s="118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</row>
    <row r="323" ht="15.75" customHeight="1">
      <c r="A323" s="32"/>
      <c r="B323" s="65"/>
      <c r="C323" s="32"/>
      <c r="D323" s="32"/>
      <c r="E323" s="32"/>
      <c r="F323" s="67"/>
      <c r="G323" s="118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</row>
    <row r="324" ht="15.75" customHeight="1">
      <c r="A324" s="32"/>
      <c r="B324" s="65"/>
      <c r="C324" s="32"/>
      <c r="D324" s="32"/>
      <c r="E324" s="32"/>
      <c r="F324" s="67"/>
      <c r="G324" s="118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</row>
    <row r="325" ht="15.75" customHeight="1">
      <c r="A325" s="32"/>
      <c r="B325" s="65"/>
      <c r="C325" s="32"/>
      <c r="D325" s="32"/>
      <c r="E325" s="32"/>
      <c r="F325" s="67"/>
      <c r="G325" s="118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</row>
    <row r="326" ht="15.75" customHeight="1">
      <c r="A326" s="32"/>
      <c r="B326" s="65"/>
      <c r="C326" s="32"/>
      <c r="D326" s="32"/>
      <c r="E326" s="32"/>
      <c r="F326" s="67"/>
      <c r="G326" s="118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</row>
    <row r="327" ht="15.75" customHeight="1">
      <c r="A327" s="32"/>
      <c r="B327" s="65"/>
      <c r="C327" s="32"/>
      <c r="D327" s="32"/>
      <c r="E327" s="32"/>
      <c r="F327" s="67"/>
      <c r="G327" s="118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</row>
    <row r="328" ht="15.75" customHeight="1">
      <c r="A328" s="32"/>
      <c r="B328" s="65"/>
      <c r="C328" s="32"/>
      <c r="D328" s="32"/>
      <c r="E328" s="32"/>
      <c r="F328" s="67"/>
      <c r="G328" s="118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</row>
    <row r="329" ht="15.75" customHeight="1">
      <c r="A329" s="32"/>
      <c r="B329" s="65"/>
      <c r="C329" s="32"/>
      <c r="D329" s="32"/>
      <c r="E329" s="32"/>
      <c r="F329" s="67"/>
      <c r="G329" s="118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</row>
    <row r="330" ht="15.75" customHeight="1">
      <c r="A330" s="32"/>
      <c r="B330" s="65"/>
      <c r="C330" s="32"/>
      <c r="D330" s="32"/>
      <c r="E330" s="32"/>
      <c r="F330" s="67"/>
      <c r="G330" s="118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</row>
    <row r="331" ht="15.75" customHeight="1">
      <c r="A331" s="32"/>
      <c r="B331" s="65"/>
      <c r="C331" s="32"/>
      <c r="D331" s="32"/>
      <c r="E331" s="32"/>
      <c r="F331" s="67"/>
      <c r="G331" s="118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</row>
    <row r="332" ht="15.75" customHeight="1">
      <c r="A332" s="32"/>
      <c r="B332" s="65"/>
      <c r="C332" s="32"/>
      <c r="D332" s="32"/>
      <c r="E332" s="32"/>
      <c r="F332" s="67"/>
      <c r="G332" s="118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</row>
    <row r="333" ht="15.75" customHeight="1">
      <c r="A333" s="32"/>
      <c r="B333" s="65"/>
      <c r="C333" s="32"/>
      <c r="D333" s="32"/>
      <c r="E333" s="32"/>
      <c r="F333" s="67"/>
      <c r="G333" s="118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</row>
    <row r="334" ht="15.75" customHeight="1">
      <c r="A334" s="32"/>
      <c r="B334" s="65"/>
      <c r="C334" s="32"/>
      <c r="D334" s="32"/>
      <c r="E334" s="32"/>
      <c r="F334" s="67"/>
      <c r="G334" s="118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</row>
    <row r="335" ht="15.75" customHeight="1">
      <c r="A335" s="32"/>
      <c r="B335" s="65"/>
      <c r="C335" s="32"/>
      <c r="D335" s="32"/>
      <c r="E335" s="32"/>
      <c r="F335" s="67"/>
      <c r="G335" s="118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</row>
    <row r="336" ht="15.75" customHeight="1">
      <c r="A336" s="32"/>
      <c r="B336" s="65"/>
      <c r="C336" s="32"/>
      <c r="D336" s="32"/>
      <c r="E336" s="32"/>
      <c r="F336" s="67"/>
      <c r="G336" s="118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</row>
    <row r="337" ht="15.75" customHeight="1">
      <c r="A337" s="32"/>
      <c r="B337" s="65"/>
      <c r="C337" s="32"/>
      <c r="D337" s="32"/>
      <c r="E337" s="32"/>
      <c r="F337" s="67"/>
      <c r="G337" s="118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</row>
    <row r="338" ht="15.75" customHeight="1">
      <c r="A338" s="32"/>
      <c r="B338" s="65"/>
      <c r="C338" s="32"/>
      <c r="D338" s="32"/>
      <c r="E338" s="32"/>
      <c r="F338" s="67"/>
      <c r="G338" s="118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</row>
    <row r="339" ht="15.75" customHeight="1">
      <c r="A339" s="32"/>
      <c r="B339" s="65"/>
      <c r="C339" s="32"/>
      <c r="D339" s="32"/>
      <c r="E339" s="32"/>
      <c r="F339" s="67"/>
      <c r="G339" s="118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</row>
    <row r="340" ht="15.75" customHeight="1">
      <c r="A340" s="32"/>
      <c r="B340" s="65"/>
      <c r="C340" s="32"/>
      <c r="D340" s="32"/>
      <c r="E340" s="32"/>
      <c r="F340" s="67"/>
      <c r="G340" s="118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</row>
    <row r="341" ht="15.75" customHeight="1">
      <c r="A341" s="32"/>
      <c r="B341" s="65"/>
      <c r="C341" s="32"/>
      <c r="D341" s="32"/>
      <c r="E341" s="32"/>
      <c r="F341" s="67"/>
      <c r="G341" s="118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</row>
    <row r="342" ht="15.75" customHeight="1">
      <c r="A342" s="32"/>
      <c r="B342" s="65"/>
      <c r="C342" s="32"/>
      <c r="D342" s="32"/>
      <c r="E342" s="32"/>
      <c r="F342" s="67"/>
      <c r="G342" s="118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</row>
    <row r="343" ht="15.75" customHeight="1">
      <c r="A343" s="32"/>
      <c r="B343" s="65"/>
      <c r="C343" s="32"/>
      <c r="D343" s="32"/>
      <c r="E343" s="32"/>
      <c r="F343" s="67"/>
      <c r="G343" s="118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</row>
    <row r="344" ht="15.75" customHeight="1">
      <c r="A344" s="32"/>
      <c r="B344" s="65"/>
      <c r="C344" s="32"/>
      <c r="D344" s="32"/>
      <c r="E344" s="32"/>
      <c r="F344" s="67"/>
      <c r="G344" s="118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</row>
    <row r="345" ht="15.75" customHeight="1">
      <c r="A345" s="32"/>
      <c r="B345" s="65"/>
      <c r="C345" s="32"/>
      <c r="D345" s="32"/>
      <c r="E345" s="32"/>
      <c r="F345" s="67"/>
      <c r="G345" s="118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</row>
    <row r="346" ht="15.75" customHeight="1">
      <c r="A346" s="32"/>
      <c r="B346" s="65"/>
      <c r="C346" s="32"/>
      <c r="D346" s="32"/>
      <c r="E346" s="32"/>
      <c r="F346" s="67"/>
      <c r="G346" s="118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</row>
    <row r="347" ht="15.75" customHeight="1">
      <c r="A347" s="32"/>
      <c r="B347" s="65"/>
      <c r="C347" s="32"/>
      <c r="D347" s="32"/>
      <c r="E347" s="32"/>
      <c r="F347" s="67"/>
      <c r="G347" s="118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</row>
    <row r="348" ht="15.75" customHeight="1">
      <c r="A348" s="32"/>
      <c r="B348" s="65"/>
      <c r="C348" s="32"/>
      <c r="D348" s="32"/>
      <c r="E348" s="32"/>
      <c r="F348" s="67"/>
      <c r="G348" s="118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</row>
    <row r="349" ht="15.75" customHeight="1">
      <c r="A349" s="32"/>
      <c r="B349" s="65"/>
      <c r="C349" s="32"/>
      <c r="D349" s="32"/>
      <c r="E349" s="32"/>
      <c r="F349" s="67"/>
      <c r="G349" s="118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</row>
    <row r="350" ht="15.75" customHeight="1">
      <c r="A350" s="32"/>
      <c r="B350" s="65"/>
      <c r="C350" s="32"/>
      <c r="D350" s="32"/>
      <c r="E350" s="32"/>
      <c r="F350" s="67"/>
      <c r="G350" s="118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</row>
    <row r="351" ht="15.75" customHeight="1">
      <c r="A351" s="32"/>
      <c r="B351" s="65"/>
      <c r="C351" s="32"/>
      <c r="D351" s="32"/>
      <c r="E351" s="32"/>
      <c r="F351" s="67"/>
      <c r="G351" s="118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</row>
    <row r="352" ht="15.75" customHeight="1">
      <c r="A352" s="32"/>
      <c r="B352" s="65"/>
      <c r="C352" s="32"/>
      <c r="D352" s="32"/>
      <c r="E352" s="32"/>
      <c r="F352" s="67"/>
      <c r="G352" s="118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</row>
    <row r="353" ht="15.75" customHeight="1">
      <c r="A353" s="32"/>
      <c r="B353" s="65"/>
      <c r="C353" s="32"/>
      <c r="D353" s="32"/>
      <c r="E353" s="32"/>
      <c r="F353" s="67"/>
      <c r="G353" s="118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</row>
    <row r="354" ht="15.75" customHeight="1">
      <c r="A354" s="32"/>
      <c r="B354" s="65"/>
      <c r="C354" s="32"/>
      <c r="D354" s="32"/>
      <c r="E354" s="32"/>
      <c r="F354" s="67"/>
      <c r="G354" s="118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</row>
    <row r="355" ht="15.75" customHeight="1">
      <c r="A355" s="32"/>
      <c r="B355" s="65"/>
      <c r="C355" s="32"/>
      <c r="D355" s="32"/>
      <c r="E355" s="32"/>
      <c r="F355" s="67"/>
      <c r="G355" s="118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</row>
    <row r="356" ht="15.75" customHeight="1">
      <c r="A356" s="32"/>
      <c r="B356" s="65"/>
      <c r="C356" s="32"/>
      <c r="D356" s="32"/>
      <c r="E356" s="32"/>
      <c r="F356" s="67"/>
      <c r="G356" s="118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</row>
    <row r="357" ht="15.75" customHeight="1">
      <c r="A357" s="32"/>
      <c r="B357" s="65"/>
      <c r="C357" s="32"/>
      <c r="D357" s="32"/>
      <c r="E357" s="32"/>
      <c r="F357" s="67"/>
      <c r="G357" s="118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</row>
    <row r="358" ht="15.75" customHeight="1">
      <c r="A358" s="32"/>
      <c r="B358" s="65"/>
      <c r="C358" s="32"/>
      <c r="D358" s="32"/>
      <c r="E358" s="32"/>
      <c r="F358" s="67"/>
      <c r="G358" s="118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</row>
    <row r="359" ht="15.75" customHeight="1">
      <c r="A359" s="32"/>
      <c r="B359" s="65"/>
      <c r="C359" s="32"/>
      <c r="D359" s="32"/>
      <c r="E359" s="32"/>
      <c r="F359" s="67"/>
      <c r="G359" s="118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</row>
    <row r="360" ht="15.75" customHeight="1">
      <c r="A360" s="32"/>
      <c r="B360" s="65"/>
      <c r="C360" s="32"/>
      <c r="D360" s="32"/>
      <c r="E360" s="32"/>
      <c r="F360" s="67"/>
      <c r="G360" s="118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</row>
    <row r="361" ht="15.75" customHeight="1">
      <c r="A361" s="32"/>
      <c r="B361" s="65"/>
      <c r="C361" s="32"/>
      <c r="D361" s="32"/>
      <c r="E361" s="32"/>
      <c r="F361" s="67"/>
      <c r="G361" s="118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</row>
    <row r="362" ht="15.75" customHeight="1">
      <c r="A362" s="32"/>
      <c r="B362" s="65"/>
      <c r="C362" s="32"/>
      <c r="D362" s="32"/>
      <c r="E362" s="32"/>
      <c r="F362" s="67"/>
      <c r="G362" s="118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</row>
    <row r="363" ht="15.75" customHeight="1">
      <c r="A363" s="32"/>
      <c r="B363" s="65"/>
      <c r="C363" s="32"/>
      <c r="D363" s="32"/>
      <c r="E363" s="32"/>
      <c r="F363" s="67"/>
      <c r="G363" s="118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</row>
    <row r="364" ht="15.75" customHeight="1">
      <c r="A364" s="32"/>
      <c r="B364" s="65"/>
      <c r="C364" s="32"/>
      <c r="D364" s="32"/>
      <c r="E364" s="32"/>
      <c r="F364" s="67"/>
      <c r="G364" s="118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</row>
    <row r="365" ht="15.75" customHeight="1">
      <c r="A365" s="32"/>
      <c r="B365" s="65"/>
      <c r="C365" s="32"/>
      <c r="D365" s="32"/>
      <c r="E365" s="32"/>
      <c r="F365" s="67"/>
      <c r="G365" s="118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</row>
    <row r="366" ht="15.75" customHeight="1">
      <c r="A366" s="32"/>
      <c r="B366" s="65"/>
      <c r="C366" s="32"/>
      <c r="D366" s="32"/>
      <c r="E366" s="32"/>
      <c r="F366" s="67"/>
      <c r="G366" s="118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</row>
    <row r="367" ht="15.75" customHeight="1">
      <c r="A367" s="32"/>
      <c r="B367" s="65"/>
      <c r="C367" s="32"/>
      <c r="D367" s="32"/>
      <c r="E367" s="32"/>
      <c r="F367" s="67"/>
      <c r="G367" s="118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</row>
    <row r="368" ht="15.75" customHeight="1">
      <c r="A368" s="32"/>
      <c r="B368" s="65"/>
      <c r="C368" s="32"/>
      <c r="D368" s="32"/>
      <c r="E368" s="32"/>
      <c r="F368" s="67"/>
      <c r="G368" s="118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</row>
    <row r="369" ht="15.75" customHeight="1">
      <c r="A369" s="32"/>
      <c r="B369" s="65"/>
      <c r="C369" s="32"/>
      <c r="D369" s="32"/>
      <c r="E369" s="32"/>
      <c r="F369" s="67"/>
      <c r="G369" s="118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</row>
    <row r="370" ht="15.75" customHeight="1">
      <c r="A370" s="32"/>
      <c r="B370" s="65"/>
      <c r="C370" s="32"/>
      <c r="D370" s="32"/>
      <c r="E370" s="32"/>
      <c r="F370" s="67"/>
      <c r="G370" s="118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</row>
    <row r="371" ht="15.75" customHeight="1">
      <c r="A371" s="32"/>
      <c r="B371" s="65"/>
      <c r="C371" s="32"/>
      <c r="D371" s="32"/>
      <c r="E371" s="32"/>
      <c r="F371" s="67"/>
      <c r="G371" s="118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</row>
    <row r="372" ht="15.75" customHeight="1">
      <c r="A372" s="32"/>
      <c r="B372" s="65"/>
      <c r="C372" s="32"/>
      <c r="D372" s="32"/>
      <c r="E372" s="32"/>
      <c r="F372" s="67"/>
      <c r="G372" s="118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</row>
    <row r="373" ht="15.75" customHeight="1">
      <c r="A373" s="32"/>
      <c r="B373" s="65"/>
      <c r="C373" s="32"/>
      <c r="D373" s="32"/>
      <c r="E373" s="32"/>
      <c r="F373" s="67"/>
      <c r="G373" s="118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</row>
    <row r="374" ht="15.75" customHeight="1">
      <c r="A374" s="32"/>
      <c r="B374" s="65"/>
      <c r="C374" s="32"/>
      <c r="D374" s="32"/>
      <c r="E374" s="32"/>
      <c r="F374" s="67"/>
      <c r="G374" s="118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</row>
    <row r="375" ht="15.75" customHeight="1">
      <c r="A375" s="32"/>
      <c r="B375" s="65"/>
      <c r="C375" s="32"/>
      <c r="D375" s="32"/>
      <c r="E375" s="32"/>
      <c r="F375" s="67"/>
      <c r="G375" s="118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</row>
    <row r="376" ht="15.75" customHeight="1">
      <c r="A376" s="32"/>
      <c r="B376" s="65"/>
      <c r="C376" s="32"/>
      <c r="D376" s="32"/>
      <c r="E376" s="32"/>
      <c r="F376" s="67"/>
      <c r="G376" s="118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</row>
    <row r="377" ht="15.75" customHeight="1">
      <c r="A377" s="32"/>
      <c r="B377" s="65"/>
      <c r="C377" s="32"/>
      <c r="D377" s="32"/>
      <c r="E377" s="32"/>
      <c r="F377" s="67"/>
      <c r="G377" s="118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</row>
    <row r="378" ht="15.75" customHeight="1">
      <c r="A378" s="32"/>
      <c r="B378" s="65"/>
      <c r="C378" s="32"/>
      <c r="D378" s="32"/>
      <c r="E378" s="32"/>
      <c r="F378" s="67"/>
      <c r="G378" s="118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</row>
    <row r="379" ht="15.75" customHeight="1">
      <c r="A379" s="32"/>
      <c r="B379" s="65"/>
      <c r="C379" s="32"/>
      <c r="D379" s="32"/>
      <c r="E379" s="32"/>
      <c r="F379" s="67"/>
      <c r="G379" s="118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</row>
    <row r="380" ht="15.75" customHeight="1">
      <c r="A380" s="32"/>
      <c r="B380" s="65"/>
      <c r="C380" s="32"/>
      <c r="D380" s="32"/>
      <c r="E380" s="32"/>
      <c r="F380" s="67"/>
      <c r="G380" s="118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</row>
    <row r="381" ht="15.75" customHeight="1">
      <c r="A381" s="32"/>
      <c r="B381" s="65"/>
      <c r="C381" s="32"/>
      <c r="D381" s="32"/>
      <c r="E381" s="32"/>
      <c r="F381" s="67"/>
      <c r="G381" s="118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</row>
    <row r="382" ht="15.75" customHeight="1">
      <c r="A382" s="32"/>
      <c r="B382" s="65"/>
      <c r="C382" s="32"/>
      <c r="D382" s="32"/>
      <c r="E382" s="32"/>
      <c r="F382" s="67"/>
      <c r="G382" s="118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</row>
    <row r="383" ht="15.75" customHeight="1">
      <c r="A383" s="32"/>
      <c r="B383" s="65"/>
      <c r="C383" s="32"/>
      <c r="D383" s="32"/>
      <c r="E383" s="32"/>
      <c r="F383" s="67"/>
      <c r="G383" s="118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</row>
    <row r="384" ht="15.75" customHeight="1">
      <c r="A384" s="32"/>
      <c r="B384" s="65"/>
      <c r="C384" s="32"/>
      <c r="D384" s="32"/>
      <c r="E384" s="32"/>
      <c r="F384" s="67"/>
      <c r="G384" s="118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</row>
    <row r="385" ht="15.75" customHeight="1">
      <c r="A385" s="32"/>
      <c r="B385" s="65"/>
      <c r="C385" s="32"/>
      <c r="D385" s="32"/>
      <c r="E385" s="32"/>
      <c r="F385" s="67"/>
      <c r="G385" s="118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</row>
    <row r="386" ht="15.75" customHeight="1">
      <c r="A386" s="32"/>
      <c r="B386" s="65"/>
      <c r="C386" s="32"/>
      <c r="D386" s="32"/>
      <c r="E386" s="32"/>
      <c r="F386" s="67"/>
      <c r="G386" s="118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</row>
    <row r="387" ht="15.75" customHeight="1">
      <c r="A387" s="32"/>
      <c r="B387" s="65"/>
      <c r="C387" s="32"/>
      <c r="D387" s="32"/>
      <c r="E387" s="32"/>
      <c r="F387" s="67"/>
      <c r="G387" s="118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</row>
    <row r="388" ht="15.75" customHeight="1">
      <c r="A388" s="32"/>
      <c r="B388" s="65"/>
      <c r="C388" s="32"/>
      <c r="D388" s="32"/>
      <c r="E388" s="32"/>
      <c r="F388" s="67"/>
      <c r="G388" s="118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</row>
    <row r="389" ht="15.75" customHeight="1">
      <c r="A389" s="32"/>
      <c r="B389" s="65"/>
      <c r="C389" s="32"/>
      <c r="D389" s="32"/>
      <c r="E389" s="32"/>
      <c r="F389" s="67"/>
      <c r="G389" s="118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</row>
    <row r="390" ht="15.75" customHeight="1">
      <c r="A390" s="32"/>
      <c r="B390" s="65"/>
      <c r="C390" s="32"/>
      <c r="D390" s="32"/>
      <c r="E390" s="32"/>
      <c r="F390" s="67"/>
      <c r="G390" s="118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</row>
    <row r="391" ht="15.75" customHeight="1">
      <c r="A391" s="32"/>
      <c r="B391" s="65"/>
      <c r="C391" s="32"/>
      <c r="D391" s="32"/>
      <c r="E391" s="32"/>
      <c r="F391" s="67"/>
      <c r="G391" s="118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</row>
    <row r="392" ht="15.75" customHeight="1">
      <c r="A392" s="32"/>
      <c r="B392" s="65"/>
      <c r="C392" s="32"/>
      <c r="D392" s="32"/>
      <c r="E392" s="32"/>
      <c r="F392" s="67"/>
      <c r="G392" s="118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</row>
    <row r="393" ht="15.75" customHeight="1">
      <c r="A393" s="32"/>
      <c r="B393" s="65"/>
      <c r="C393" s="32"/>
      <c r="D393" s="32"/>
      <c r="E393" s="32"/>
      <c r="F393" s="67"/>
      <c r="G393" s="118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</row>
    <row r="394" ht="15.75" customHeight="1">
      <c r="A394" s="32"/>
      <c r="B394" s="65"/>
      <c r="C394" s="32"/>
      <c r="D394" s="32"/>
      <c r="E394" s="32"/>
      <c r="F394" s="67"/>
      <c r="G394" s="118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</row>
    <row r="395" ht="15.75" customHeight="1">
      <c r="A395" s="32"/>
      <c r="B395" s="65"/>
      <c r="C395" s="32"/>
      <c r="D395" s="32"/>
      <c r="E395" s="32"/>
      <c r="F395" s="67"/>
      <c r="G395" s="118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</row>
    <row r="396" ht="15.75" customHeight="1">
      <c r="A396" s="32"/>
      <c r="B396" s="65"/>
      <c r="C396" s="32"/>
      <c r="D396" s="32"/>
      <c r="E396" s="32"/>
      <c r="F396" s="67"/>
      <c r="G396" s="118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</row>
    <row r="397" ht="15.75" customHeight="1">
      <c r="A397" s="32"/>
      <c r="B397" s="65"/>
      <c r="C397" s="32"/>
      <c r="D397" s="32"/>
      <c r="E397" s="32"/>
      <c r="F397" s="67"/>
      <c r="G397" s="118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</row>
    <row r="398" ht="15.75" customHeight="1">
      <c r="A398" s="32"/>
      <c r="B398" s="65"/>
      <c r="C398" s="32"/>
      <c r="D398" s="32"/>
      <c r="E398" s="32"/>
      <c r="F398" s="67"/>
      <c r="G398" s="118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</row>
    <row r="399" ht="15.75" customHeight="1">
      <c r="A399" s="32"/>
      <c r="B399" s="65"/>
      <c r="C399" s="32"/>
      <c r="D399" s="32"/>
      <c r="E399" s="32"/>
      <c r="F399" s="67"/>
      <c r="G399" s="118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</row>
    <row r="400" ht="15.75" customHeight="1">
      <c r="A400" s="32"/>
      <c r="B400" s="65"/>
      <c r="C400" s="32"/>
      <c r="D400" s="32"/>
      <c r="E400" s="32"/>
      <c r="F400" s="67"/>
      <c r="G400" s="118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</row>
    <row r="401" ht="15.75" customHeight="1">
      <c r="A401" s="32"/>
      <c r="B401" s="65"/>
      <c r="C401" s="32"/>
      <c r="D401" s="32"/>
      <c r="E401" s="32"/>
      <c r="F401" s="67"/>
      <c r="G401" s="118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</row>
    <row r="402" ht="15.75" customHeight="1">
      <c r="A402" s="32"/>
      <c r="B402" s="65"/>
      <c r="C402" s="32"/>
      <c r="D402" s="32"/>
      <c r="E402" s="32"/>
      <c r="F402" s="67"/>
      <c r="G402" s="118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</row>
    <row r="403" ht="15.75" customHeight="1">
      <c r="A403" s="32"/>
      <c r="B403" s="65"/>
      <c r="C403" s="32"/>
      <c r="D403" s="32"/>
      <c r="E403" s="32"/>
      <c r="F403" s="67"/>
      <c r="G403" s="118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</row>
    <row r="404" ht="15.75" customHeight="1">
      <c r="A404" s="32"/>
      <c r="B404" s="65"/>
      <c r="C404" s="32"/>
      <c r="D404" s="32"/>
      <c r="E404" s="32"/>
      <c r="F404" s="67"/>
      <c r="G404" s="118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</row>
    <row r="405" ht="15.75" customHeight="1">
      <c r="A405" s="32"/>
      <c r="B405" s="65"/>
      <c r="C405" s="32"/>
      <c r="D405" s="32"/>
      <c r="E405" s="32"/>
      <c r="F405" s="67"/>
      <c r="G405" s="118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</row>
    <row r="406" ht="15.75" customHeight="1">
      <c r="A406" s="32"/>
      <c r="B406" s="65"/>
      <c r="C406" s="32"/>
      <c r="D406" s="32"/>
      <c r="E406" s="32"/>
      <c r="F406" s="67"/>
      <c r="G406" s="118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</row>
    <row r="407" ht="15.75" customHeight="1">
      <c r="A407" s="32"/>
      <c r="B407" s="65"/>
      <c r="C407" s="32"/>
      <c r="D407" s="32"/>
      <c r="E407" s="32"/>
      <c r="F407" s="67"/>
      <c r="G407" s="118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</row>
    <row r="408" ht="15.75" customHeight="1">
      <c r="A408" s="32"/>
      <c r="B408" s="65"/>
      <c r="C408" s="32"/>
      <c r="D408" s="32"/>
      <c r="E408" s="32"/>
      <c r="F408" s="67"/>
      <c r="G408" s="118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</row>
    <row r="409" ht="15.75" customHeight="1">
      <c r="A409" s="32"/>
      <c r="B409" s="65"/>
      <c r="C409" s="32"/>
      <c r="D409" s="32"/>
      <c r="E409" s="32"/>
      <c r="F409" s="67"/>
      <c r="G409" s="118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</row>
    <row r="410" ht="15.75" customHeight="1">
      <c r="A410" s="32"/>
      <c r="B410" s="65"/>
      <c r="C410" s="32"/>
      <c r="D410" s="32"/>
      <c r="E410" s="32"/>
      <c r="F410" s="67"/>
      <c r="G410" s="118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</row>
    <row r="411" ht="15.75" customHeight="1">
      <c r="A411" s="32"/>
      <c r="B411" s="65"/>
      <c r="C411" s="32"/>
      <c r="D411" s="32"/>
      <c r="E411" s="32"/>
      <c r="F411" s="67"/>
      <c r="G411" s="118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</row>
    <row r="412" ht="15.75" customHeight="1">
      <c r="A412" s="32"/>
      <c r="B412" s="65"/>
      <c r="C412" s="32"/>
      <c r="D412" s="32"/>
      <c r="E412" s="32"/>
      <c r="F412" s="67"/>
      <c r="G412" s="118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</row>
    <row r="413" ht="15.75" customHeight="1">
      <c r="A413" s="32"/>
      <c r="B413" s="65"/>
      <c r="C413" s="32"/>
      <c r="D413" s="32"/>
      <c r="E413" s="32"/>
      <c r="F413" s="67"/>
      <c r="G413" s="118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</row>
    <row r="414" ht="15.75" customHeight="1">
      <c r="A414" s="32"/>
      <c r="B414" s="65"/>
      <c r="C414" s="32"/>
      <c r="D414" s="32"/>
      <c r="E414" s="32"/>
      <c r="F414" s="67"/>
      <c r="G414" s="118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</row>
    <row r="415" ht="15.75" customHeight="1">
      <c r="A415" s="32"/>
      <c r="B415" s="65"/>
      <c r="C415" s="32"/>
      <c r="D415" s="32"/>
      <c r="E415" s="32"/>
      <c r="F415" s="67"/>
      <c r="G415" s="118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</row>
    <row r="416" ht="15.75" customHeight="1">
      <c r="A416" s="32"/>
      <c r="B416" s="65"/>
      <c r="C416" s="32"/>
      <c r="D416" s="32"/>
      <c r="E416" s="32"/>
      <c r="F416" s="67"/>
      <c r="G416" s="118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</row>
    <row r="417" ht="15.75" customHeight="1">
      <c r="A417" s="32"/>
      <c r="B417" s="65"/>
      <c r="C417" s="32"/>
      <c r="D417" s="32"/>
      <c r="E417" s="32"/>
      <c r="F417" s="67"/>
      <c r="G417" s="118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</row>
    <row r="418" ht="15.75" customHeight="1">
      <c r="A418" s="32"/>
      <c r="B418" s="65"/>
      <c r="C418" s="32"/>
      <c r="D418" s="32"/>
      <c r="E418" s="32"/>
      <c r="F418" s="67"/>
      <c r="G418" s="118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</row>
    <row r="419" ht="15.75" customHeight="1">
      <c r="A419" s="32"/>
      <c r="B419" s="65"/>
      <c r="C419" s="32"/>
      <c r="D419" s="32"/>
      <c r="E419" s="32"/>
      <c r="F419" s="67"/>
      <c r="G419" s="118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</row>
    <row r="420" ht="15.75" customHeight="1">
      <c r="A420" s="32"/>
      <c r="B420" s="65"/>
      <c r="C420" s="32"/>
      <c r="D420" s="32"/>
      <c r="E420" s="32"/>
      <c r="F420" s="67"/>
      <c r="G420" s="118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</row>
    <row r="421" ht="15.75" customHeight="1">
      <c r="A421" s="32"/>
      <c r="B421" s="65"/>
      <c r="C421" s="32"/>
      <c r="D421" s="32"/>
      <c r="E421" s="32"/>
      <c r="F421" s="67"/>
      <c r="G421" s="118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 ht="15.75" customHeight="1">
      <c r="A422" s="32"/>
      <c r="B422" s="65"/>
      <c r="C422" s="32"/>
      <c r="D422" s="32"/>
      <c r="E422" s="32"/>
      <c r="F422" s="67"/>
      <c r="G422" s="118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</row>
    <row r="423" ht="15.75" customHeight="1">
      <c r="A423" s="32"/>
      <c r="B423" s="65"/>
      <c r="C423" s="32"/>
      <c r="D423" s="32"/>
      <c r="E423" s="32"/>
      <c r="F423" s="67"/>
      <c r="G423" s="118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</row>
    <row r="424" ht="15.75" customHeight="1">
      <c r="A424" s="32"/>
      <c r="B424" s="65"/>
      <c r="C424" s="32"/>
      <c r="D424" s="32"/>
      <c r="E424" s="32"/>
      <c r="F424" s="67"/>
      <c r="G424" s="118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</row>
    <row r="425" ht="15.75" customHeight="1">
      <c r="A425" s="32"/>
      <c r="B425" s="65"/>
      <c r="C425" s="32"/>
      <c r="D425" s="32"/>
      <c r="E425" s="32"/>
      <c r="F425" s="67"/>
      <c r="G425" s="118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</row>
    <row r="426" ht="15.75" customHeight="1">
      <c r="A426" s="32"/>
      <c r="B426" s="65"/>
      <c r="C426" s="32"/>
      <c r="D426" s="32"/>
      <c r="E426" s="32"/>
      <c r="F426" s="67"/>
      <c r="G426" s="118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</row>
    <row r="427" ht="15.75" customHeight="1">
      <c r="A427" s="32"/>
      <c r="B427" s="65"/>
      <c r="C427" s="32"/>
      <c r="D427" s="32"/>
      <c r="E427" s="32"/>
      <c r="F427" s="67"/>
      <c r="G427" s="118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</row>
    <row r="428" ht="15.75" customHeight="1">
      <c r="A428" s="32"/>
      <c r="B428" s="65"/>
      <c r="C428" s="32"/>
      <c r="D428" s="32"/>
      <c r="E428" s="32"/>
      <c r="F428" s="67"/>
      <c r="G428" s="118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</row>
    <row r="429" ht="15.75" customHeight="1">
      <c r="A429" s="32"/>
      <c r="B429" s="65"/>
      <c r="C429" s="32"/>
      <c r="D429" s="32"/>
      <c r="E429" s="32"/>
      <c r="F429" s="67"/>
      <c r="G429" s="118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</row>
    <row r="430" ht="15.75" customHeight="1">
      <c r="A430" s="32"/>
      <c r="B430" s="65"/>
      <c r="C430" s="32"/>
      <c r="D430" s="32"/>
      <c r="E430" s="32"/>
      <c r="F430" s="67"/>
      <c r="G430" s="118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</row>
    <row r="431" ht="15.75" customHeight="1">
      <c r="A431" s="32"/>
      <c r="B431" s="65"/>
      <c r="C431" s="32"/>
      <c r="D431" s="32"/>
      <c r="E431" s="32"/>
      <c r="F431" s="67"/>
      <c r="G431" s="118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</row>
    <row r="432" ht="15.75" customHeight="1">
      <c r="A432" s="32"/>
      <c r="B432" s="65"/>
      <c r="C432" s="32"/>
      <c r="D432" s="32"/>
      <c r="E432" s="32"/>
      <c r="F432" s="67"/>
      <c r="G432" s="118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</row>
    <row r="433" ht="15.75" customHeight="1">
      <c r="A433" s="32"/>
      <c r="B433" s="65"/>
      <c r="C433" s="32"/>
      <c r="D433" s="32"/>
      <c r="E433" s="32"/>
      <c r="F433" s="67"/>
      <c r="G433" s="118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</row>
    <row r="434" ht="15.75" customHeight="1">
      <c r="A434" s="32"/>
      <c r="B434" s="65"/>
      <c r="C434" s="32"/>
      <c r="D434" s="32"/>
      <c r="E434" s="32"/>
      <c r="F434" s="67"/>
      <c r="G434" s="118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</row>
    <row r="435" ht="15.75" customHeight="1">
      <c r="A435" s="32"/>
      <c r="B435" s="65"/>
      <c r="C435" s="32"/>
      <c r="D435" s="32"/>
      <c r="E435" s="32"/>
      <c r="F435" s="67"/>
      <c r="G435" s="118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</row>
    <row r="436" ht="15.75" customHeight="1">
      <c r="A436" s="32"/>
      <c r="B436" s="65"/>
      <c r="C436" s="32"/>
      <c r="D436" s="32"/>
      <c r="E436" s="32"/>
      <c r="F436" s="67"/>
      <c r="G436" s="118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</row>
    <row r="437" ht="15.75" customHeight="1">
      <c r="A437" s="32"/>
      <c r="B437" s="65"/>
      <c r="C437" s="32"/>
      <c r="D437" s="32"/>
      <c r="E437" s="32"/>
      <c r="F437" s="67"/>
      <c r="G437" s="118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</row>
    <row r="438" ht="15.75" customHeight="1">
      <c r="A438" s="32"/>
      <c r="B438" s="65"/>
      <c r="C438" s="32"/>
      <c r="D438" s="32"/>
      <c r="E438" s="32"/>
      <c r="F438" s="67"/>
      <c r="G438" s="118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</row>
    <row r="439" ht="15.75" customHeight="1">
      <c r="A439" s="32"/>
      <c r="B439" s="65"/>
      <c r="C439" s="32"/>
      <c r="D439" s="32"/>
      <c r="E439" s="32"/>
      <c r="F439" s="67"/>
      <c r="G439" s="118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</row>
    <row r="440" ht="15.75" customHeight="1">
      <c r="A440" s="32"/>
      <c r="B440" s="65"/>
      <c r="C440" s="32"/>
      <c r="D440" s="32"/>
      <c r="E440" s="32"/>
      <c r="F440" s="67"/>
      <c r="G440" s="118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</row>
    <row r="441" ht="15.75" customHeight="1">
      <c r="A441" s="32"/>
      <c r="B441" s="65"/>
      <c r="C441" s="32"/>
      <c r="D441" s="32"/>
      <c r="E441" s="32"/>
      <c r="F441" s="67"/>
      <c r="G441" s="118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</row>
    <row r="442" ht="15.75" customHeight="1">
      <c r="A442" s="32"/>
      <c r="B442" s="65"/>
      <c r="C442" s="32"/>
      <c r="D442" s="32"/>
      <c r="E442" s="32"/>
      <c r="F442" s="67"/>
      <c r="G442" s="118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</row>
    <row r="443" ht="15.75" customHeight="1">
      <c r="A443" s="32"/>
      <c r="B443" s="65"/>
      <c r="C443" s="32"/>
      <c r="D443" s="32"/>
      <c r="E443" s="32"/>
      <c r="F443" s="67"/>
      <c r="G443" s="118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</row>
    <row r="444" ht="15.75" customHeight="1">
      <c r="A444" s="32"/>
      <c r="B444" s="65"/>
      <c r="C444" s="32"/>
      <c r="D444" s="32"/>
      <c r="E444" s="32"/>
      <c r="F444" s="67"/>
      <c r="G444" s="118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</row>
    <row r="445" ht="15.75" customHeight="1">
      <c r="A445" s="32"/>
      <c r="B445" s="65"/>
      <c r="C445" s="32"/>
      <c r="D445" s="32"/>
      <c r="E445" s="32"/>
      <c r="F445" s="67"/>
      <c r="G445" s="118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</row>
    <row r="446" ht="15.75" customHeight="1">
      <c r="A446" s="32"/>
      <c r="B446" s="65"/>
      <c r="C446" s="32"/>
      <c r="D446" s="32"/>
      <c r="E446" s="32"/>
      <c r="F446" s="67"/>
      <c r="G446" s="118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</row>
    <row r="447" ht="15.75" customHeight="1">
      <c r="A447" s="32"/>
      <c r="B447" s="65"/>
      <c r="C447" s="32"/>
      <c r="D447" s="32"/>
      <c r="E447" s="32"/>
      <c r="F447" s="67"/>
      <c r="G447" s="118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</row>
    <row r="448" ht="15.75" customHeight="1">
      <c r="A448" s="32"/>
      <c r="B448" s="65"/>
      <c r="C448" s="32"/>
      <c r="D448" s="32"/>
      <c r="E448" s="32"/>
      <c r="F448" s="67"/>
      <c r="G448" s="118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</row>
    <row r="449" ht="15.75" customHeight="1">
      <c r="A449" s="32"/>
      <c r="B449" s="65"/>
      <c r="C449" s="32"/>
      <c r="D449" s="32"/>
      <c r="E449" s="32"/>
      <c r="F449" s="67"/>
      <c r="G449" s="118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</row>
    <row r="450" ht="15.75" customHeight="1">
      <c r="A450" s="32"/>
      <c r="B450" s="65"/>
      <c r="C450" s="32"/>
      <c r="D450" s="32"/>
      <c r="E450" s="32"/>
      <c r="F450" s="67"/>
      <c r="G450" s="118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</row>
    <row r="451" ht="15.75" customHeight="1">
      <c r="A451" s="32"/>
      <c r="B451" s="65"/>
      <c r="C451" s="32"/>
      <c r="D451" s="32"/>
      <c r="E451" s="32"/>
      <c r="F451" s="67"/>
      <c r="G451" s="118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</row>
    <row r="452" ht="15.75" customHeight="1">
      <c r="A452" s="32"/>
      <c r="B452" s="65"/>
      <c r="C452" s="32"/>
      <c r="D452" s="32"/>
      <c r="E452" s="32"/>
      <c r="F452" s="67"/>
      <c r="G452" s="118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</row>
    <row r="453" ht="15.75" customHeight="1">
      <c r="A453" s="32"/>
      <c r="B453" s="65"/>
      <c r="C453" s="32"/>
      <c r="D453" s="32"/>
      <c r="E453" s="32"/>
      <c r="F453" s="67"/>
      <c r="G453" s="118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</row>
    <row r="454" ht="15.75" customHeight="1">
      <c r="A454" s="32"/>
      <c r="B454" s="65"/>
      <c r="C454" s="32"/>
      <c r="D454" s="32"/>
      <c r="E454" s="32"/>
      <c r="F454" s="67"/>
      <c r="G454" s="118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</row>
    <row r="455" ht="15.75" customHeight="1">
      <c r="A455" s="32"/>
      <c r="B455" s="65"/>
      <c r="C455" s="32"/>
      <c r="D455" s="32"/>
      <c r="E455" s="32"/>
      <c r="F455" s="67"/>
      <c r="G455" s="118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</row>
    <row r="456" ht="15.75" customHeight="1">
      <c r="A456" s="32"/>
      <c r="B456" s="65"/>
      <c r="C456" s="32"/>
      <c r="D456" s="32"/>
      <c r="E456" s="32"/>
      <c r="F456" s="67"/>
      <c r="G456" s="118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</row>
    <row r="457" ht="15.75" customHeight="1">
      <c r="A457" s="32"/>
      <c r="B457" s="65"/>
      <c r="C457" s="32"/>
      <c r="D457" s="32"/>
      <c r="E457" s="32"/>
      <c r="F457" s="67"/>
      <c r="G457" s="118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</row>
    <row r="458" ht="15.75" customHeight="1">
      <c r="A458" s="32"/>
      <c r="B458" s="65"/>
      <c r="C458" s="32"/>
      <c r="D458" s="32"/>
      <c r="E458" s="32"/>
      <c r="F458" s="67"/>
      <c r="G458" s="118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</row>
    <row r="459" ht="15.75" customHeight="1">
      <c r="A459" s="32"/>
      <c r="B459" s="65"/>
      <c r="C459" s="32"/>
      <c r="D459" s="32"/>
      <c r="E459" s="32"/>
      <c r="F459" s="67"/>
      <c r="G459" s="118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</row>
    <row r="460" ht="15.75" customHeight="1">
      <c r="A460" s="32"/>
      <c r="B460" s="65"/>
      <c r="C460" s="32"/>
      <c r="D460" s="32"/>
      <c r="E460" s="32"/>
      <c r="F460" s="67"/>
      <c r="G460" s="118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</row>
    <row r="461" ht="15.75" customHeight="1">
      <c r="A461" s="32"/>
      <c r="B461" s="65"/>
      <c r="C461" s="32"/>
      <c r="D461" s="32"/>
      <c r="E461" s="32"/>
      <c r="F461" s="67"/>
      <c r="G461" s="118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</row>
    <row r="462" ht="15.75" customHeight="1">
      <c r="A462" s="32"/>
      <c r="B462" s="65"/>
      <c r="C462" s="32"/>
      <c r="D462" s="32"/>
      <c r="E462" s="32"/>
      <c r="F462" s="67"/>
      <c r="G462" s="118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</row>
    <row r="463" ht="15.75" customHeight="1">
      <c r="A463" s="32"/>
      <c r="B463" s="65"/>
      <c r="C463" s="32"/>
      <c r="D463" s="32"/>
      <c r="E463" s="32"/>
      <c r="F463" s="67"/>
      <c r="G463" s="118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</row>
    <row r="464" ht="15.75" customHeight="1">
      <c r="A464" s="32"/>
      <c r="B464" s="65"/>
      <c r="C464" s="32"/>
      <c r="D464" s="32"/>
      <c r="E464" s="32"/>
      <c r="F464" s="67"/>
      <c r="G464" s="118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</row>
    <row r="465" ht="15.75" customHeight="1">
      <c r="A465" s="32"/>
      <c r="B465" s="65"/>
      <c r="C465" s="32"/>
      <c r="D465" s="32"/>
      <c r="E465" s="32"/>
      <c r="F465" s="67"/>
      <c r="G465" s="118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</row>
    <row r="466" ht="15.75" customHeight="1">
      <c r="A466" s="32"/>
      <c r="B466" s="65"/>
      <c r="C466" s="32"/>
      <c r="D466" s="32"/>
      <c r="E466" s="32"/>
      <c r="F466" s="67"/>
      <c r="G466" s="118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</row>
    <row r="467" ht="15.75" customHeight="1">
      <c r="A467" s="32"/>
      <c r="B467" s="65"/>
      <c r="C467" s="32"/>
      <c r="D467" s="32"/>
      <c r="E467" s="32"/>
      <c r="F467" s="67"/>
      <c r="G467" s="118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</row>
    <row r="468" ht="15.75" customHeight="1">
      <c r="A468" s="32"/>
      <c r="B468" s="65"/>
      <c r="C468" s="32"/>
      <c r="D468" s="32"/>
      <c r="E468" s="32"/>
      <c r="F468" s="67"/>
      <c r="G468" s="118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</row>
    <row r="469" ht="15.75" customHeight="1">
      <c r="A469" s="32"/>
      <c r="B469" s="65"/>
      <c r="C469" s="32"/>
      <c r="D469" s="32"/>
      <c r="E469" s="32"/>
      <c r="F469" s="67"/>
      <c r="G469" s="118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</row>
    <row r="470" ht="15.75" customHeight="1">
      <c r="A470" s="32"/>
      <c r="B470" s="65"/>
      <c r="C470" s="32"/>
      <c r="D470" s="32"/>
      <c r="E470" s="32"/>
      <c r="F470" s="67"/>
      <c r="G470" s="118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</row>
    <row r="471" ht="15.75" customHeight="1">
      <c r="A471" s="32"/>
      <c r="B471" s="65"/>
      <c r="C471" s="32"/>
      <c r="D471" s="32"/>
      <c r="E471" s="32"/>
      <c r="F471" s="67"/>
      <c r="G471" s="118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</row>
    <row r="472" ht="15.75" customHeight="1">
      <c r="A472" s="32"/>
      <c r="B472" s="65"/>
      <c r="C472" s="32"/>
      <c r="D472" s="32"/>
      <c r="E472" s="32"/>
      <c r="F472" s="67"/>
      <c r="G472" s="118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</row>
    <row r="473" ht="15.75" customHeight="1">
      <c r="A473" s="32"/>
      <c r="B473" s="65"/>
      <c r="C473" s="32"/>
      <c r="D473" s="32"/>
      <c r="E473" s="32"/>
      <c r="F473" s="67"/>
      <c r="G473" s="118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</row>
    <row r="474" ht="15.75" customHeight="1">
      <c r="A474" s="32"/>
      <c r="B474" s="65"/>
      <c r="C474" s="32"/>
      <c r="D474" s="32"/>
      <c r="E474" s="32"/>
      <c r="F474" s="67"/>
      <c r="G474" s="118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</row>
    <row r="475" ht="15.75" customHeight="1">
      <c r="A475" s="32"/>
      <c r="B475" s="65"/>
      <c r="C475" s="32"/>
      <c r="D475" s="32"/>
      <c r="E475" s="32"/>
      <c r="F475" s="67"/>
      <c r="G475" s="118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</row>
    <row r="476" ht="15.75" customHeight="1">
      <c r="A476" s="32"/>
      <c r="B476" s="65"/>
      <c r="C476" s="32"/>
      <c r="D476" s="32"/>
      <c r="E476" s="32"/>
      <c r="F476" s="67"/>
      <c r="G476" s="118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</row>
    <row r="477" ht="15.75" customHeight="1">
      <c r="A477" s="32"/>
      <c r="B477" s="65"/>
      <c r="C477" s="32"/>
      <c r="D477" s="32"/>
      <c r="E477" s="32"/>
      <c r="F477" s="67"/>
      <c r="G477" s="118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</row>
    <row r="478" ht="15.75" customHeight="1">
      <c r="A478" s="32"/>
      <c r="B478" s="65"/>
      <c r="C478" s="32"/>
      <c r="D478" s="32"/>
      <c r="E478" s="32"/>
      <c r="F478" s="67"/>
      <c r="G478" s="118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</row>
    <row r="479" ht="15.75" customHeight="1">
      <c r="A479" s="32"/>
      <c r="B479" s="65"/>
      <c r="C479" s="32"/>
      <c r="D479" s="32"/>
      <c r="E479" s="32"/>
      <c r="F479" s="67"/>
      <c r="G479" s="118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</row>
    <row r="480" ht="15.75" customHeight="1">
      <c r="A480" s="32"/>
      <c r="B480" s="65"/>
      <c r="C480" s="32"/>
      <c r="D480" s="32"/>
      <c r="E480" s="32"/>
      <c r="F480" s="67"/>
      <c r="G480" s="118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</row>
    <row r="481" ht="15.75" customHeight="1">
      <c r="A481" s="32"/>
      <c r="B481" s="65"/>
      <c r="C481" s="32"/>
      <c r="D481" s="32"/>
      <c r="E481" s="32"/>
      <c r="F481" s="67"/>
      <c r="G481" s="118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</row>
    <row r="482" ht="15.75" customHeight="1">
      <c r="A482" s="32"/>
      <c r="B482" s="65"/>
      <c r="C482" s="32"/>
      <c r="D482" s="32"/>
      <c r="E482" s="32"/>
      <c r="F482" s="67"/>
      <c r="G482" s="118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</row>
    <row r="483" ht="15.75" customHeight="1">
      <c r="A483" s="32"/>
      <c r="B483" s="65"/>
      <c r="C483" s="32"/>
      <c r="D483" s="32"/>
      <c r="E483" s="32"/>
      <c r="F483" s="67"/>
      <c r="G483" s="118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</row>
    <row r="484" ht="15.75" customHeight="1">
      <c r="A484" s="32"/>
      <c r="B484" s="65"/>
      <c r="C484" s="32"/>
      <c r="D484" s="32"/>
      <c r="E484" s="32"/>
      <c r="F484" s="67"/>
      <c r="G484" s="118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</row>
    <row r="485" ht="15.75" customHeight="1">
      <c r="A485" s="32"/>
      <c r="B485" s="65"/>
      <c r="C485" s="32"/>
      <c r="D485" s="32"/>
      <c r="E485" s="32"/>
      <c r="F485" s="67"/>
      <c r="G485" s="118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</row>
    <row r="486" ht="15.75" customHeight="1">
      <c r="A486" s="32"/>
      <c r="B486" s="65"/>
      <c r="C486" s="32"/>
      <c r="D486" s="32"/>
      <c r="E486" s="32"/>
      <c r="F486" s="67"/>
      <c r="G486" s="118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</row>
    <row r="487" ht="15.75" customHeight="1">
      <c r="A487" s="32"/>
      <c r="B487" s="65"/>
      <c r="C487" s="32"/>
      <c r="D487" s="32"/>
      <c r="E487" s="32"/>
      <c r="F487" s="67"/>
      <c r="G487" s="118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</row>
    <row r="488" ht="15.75" customHeight="1">
      <c r="A488" s="32"/>
      <c r="B488" s="65"/>
      <c r="C488" s="32"/>
      <c r="D488" s="32"/>
      <c r="E488" s="32"/>
      <c r="F488" s="67"/>
      <c r="G488" s="118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</row>
    <row r="489" ht="15.75" customHeight="1">
      <c r="A489" s="32"/>
      <c r="B489" s="65"/>
      <c r="C489" s="32"/>
      <c r="D489" s="32"/>
      <c r="E489" s="32"/>
      <c r="F489" s="67"/>
      <c r="G489" s="118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</row>
    <row r="490" ht="15.75" customHeight="1">
      <c r="A490" s="32"/>
      <c r="B490" s="65"/>
      <c r="C490" s="32"/>
      <c r="D490" s="32"/>
      <c r="E490" s="32"/>
      <c r="F490" s="67"/>
      <c r="G490" s="118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</row>
    <row r="491" ht="15.75" customHeight="1">
      <c r="A491" s="32"/>
      <c r="B491" s="65"/>
      <c r="C491" s="32"/>
      <c r="D491" s="32"/>
      <c r="E491" s="32"/>
      <c r="F491" s="67"/>
      <c r="G491" s="118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</row>
    <row r="492" ht="15.75" customHeight="1">
      <c r="A492" s="32"/>
      <c r="B492" s="65"/>
      <c r="C492" s="32"/>
      <c r="D492" s="32"/>
      <c r="E492" s="32"/>
      <c r="F492" s="67"/>
      <c r="G492" s="118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</row>
    <row r="493" ht="15.75" customHeight="1">
      <c r="A493" s="32"/>
      <c r="B493" s="65"/>
      <c r="C493" s="32"/>
      <c r="D493" s="32"/>
      <c r="E493" s="32"/>
      <c r="F493" s="67"/>
      <c r="G493" s="118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</row>
    <row r="494" ht="15.75" customHeight="1">
      <c r="A494" s="32"/>
      <c r="B494" s="65"/>
      <c r="C494" s="32"/>
      <c r="D494" s="32"/>
      <c r="E494" s="32"/>
      <c r="F494" s="67"/>
      <c r="G494" s="118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</row>
    <row r="495" ht="15.75" customHeight="1">
      <c r="A495" s="32"/>
      <c r="B495" s="65"/>
      <c r="C495" s="32"/>
      <c r="D495" s="32"/>
      <c r="E495" s="32"/>
      <c r="F495" s="67"/>
      <c r="G495" s="118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</row>
    <row r="496" ht="15.75" customHeight="1">
      <c r="A496" s="32"/>
      <c r="B496" s="65"/>
      <c r="C496" s="32"/>
      <c r="D496" s="32"/>
      <c r="E496" s="32"/>
      <c r="F496" s="67"/>
      <c r="G496" s="118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</row>
    <row r="497" ht="15.75" customHeight="1">
      <c r="A497" s="32"/>
      <c r="B497" s="65"/>
      <c r="C497" s="32"/>
      <c r="D497" s="32"/>
      <c r="E497" s="32"/>
      <c r="F497" s="67"/>
      <c r="G497" s="118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</row>
    <row r="498" ht="15.75" customHeight="1">
      <c r="A498" s="32"/>
      <c r="B498" s="65"/>
      <c r="C498" s="32"/>
      <c r="D498" s="32"/>
      <c r="E498" s="32"/>
      <c r="F498" s="67"/>
      <c r="G498" s="118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</row>
    <row r="499" ht="15.75" customHeight="1">
      <c r="A499" s="32"/>
      <c r="B499" s="65"/>
      <c r="C499" s="32"/>
      <c r="D499" s="32"/>
      <c r="E499" s="32"/>
      <c r="F499" s="67"/>
      <c r="G499" s="118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</row>
    <row r="500" ht="15.75" customHeight="1">
      <c r="A500" s="32"/>
      <c r="B500" s="65"/>
      <c r="C500" s="32"/>
      <c r="D500" s="32"/>
      <c r="E500" s="32"/>
      <c r="F500" s="67"/>
      <c r="G500" s="118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</row>
    <row r="501" ht="15.75" customHeight="1">
      <c r="A501" s="32"/>
      <c r="B501" s="65"/>
      <c r="C501" s="32"/>
      <c r="D501" s="32"/>
      <c r="E501" s="32"/>
      <c r="F501" s="67"/>
      <c r="G501" s="118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</row>
    <row r="502" ht="15.75" customHeight="1">
      <c r="A502" s="32"/>
      <c r="B502" s="65"/>
      <c r="C502" s="32"/>
      <c r="D502" s="32"/>
      <c r="E502" s="32"/>
      <c r="F502" s="67"/>
      <c r="G502" s="118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</row>
    <row r="503" ht="15.75" customHeight="1">
      <c r="A503" s="32"/>
      <c r="B503" s="65"/>
      <c r="C503" s="32"/>
      <c r="D503" s="32"/>
      <c r="E503" s="32"/>
      <c r="F503" s="67"/>
      <c r="G503" s="118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</row>
    <row r="504" ht="15.75" customHeight="1">
      <c r="A504" s="32"/>
      <c r="B504" s="65"/>
      <c r="C504" s="32"/>
      <c r="D504" s="32"/>
      <c r="E504" s="32"/>
      <c r="F504" s="67"/>
      <c r="G504" s="118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</row>
    <row r="505" ht="15.75" customHeight="1">
      <c r="A505" s="32"/>
      <c r="B505" s="65"/>
      <c r="C505" s="32"/>
      <c r="D505" s="32"/>
      <c r="E505" s="32"/>
      <c r="F505" s="67"/>
      <c r="G505" s="118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</row>
    <row r="506" ht="15.75" customHeight="1">
      <c r="A506" s="32"/>
      <c r="B506" s="65"/>
      <c r="C506" s="32"/>
      <c r="D506" s="32"/>
      <c r="E506" s="32"/>
      <c r="F506" s="67"/>
      <c r="G506" s="118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</row>
    <row r="507" ht="15.75" customHeight="1">
      <c r="A507" s="32"/>
      <c r="B507" s="65"/>
      <c r="C507" s="32"/>
      <c r="D507" s="32"/>
      <c r="E507" s="32"/>
      <c r="F507" s="67"/>
      <c r="G507" s="118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</row>
    <row r="508" ht="15.75" customHeight="1">
      <c r="A508" s="32"/>
      <c r="B508" s="65"/>
      <c r="C508" s="32"/>
      <c r="D508" s="32"/>
      <c r="E508" s="32"/>
      <c r="F508" s="67"/>
      <c r="G508" s="118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</row>
    <row r="509" ht="15.75" customHeight="1">
      <c r="A509" s="32"/>
      <c r="B509" s="65"/>
      <c r="C509" s="32"/>
      <c r="D509" s="32"/>
      <c r="E509" s="32"/>
      <c r="F509" s="67"/>
      <c r="G509" s="118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</row>
    <row r="510" ht="15.75" customHeight="1">
      <c r="A510" s="32"/>
      <c r="B510" s="65"/>
      <c r="C510" s="32"/>
      <c r="D510" s="32"/>
      <c r="E510" s="32"/>
      <c r="F510" s="67"/>
      <c r="G510" s="118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</row>
    <row r="511" ht="15.75" customHeight="1">
      <c r="A511" s="32"/>
      <c r="B511" s="65"/>
      <c r="C511" s="32"/>
      <c r="D511" s="32"/>
      <c r="E511" s="32"/>
      <c r="F511" s="67"/>
      <c r="G511" s="118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</row>
    <row r="512" ht="15.75" customHeight="1">
      <c r="A512" s="32"/>
      <c r="B512" s="65"/>
      <c r="C512" s="32"/>
      <c r="D512" s="32"/>
      <c r="E512" s="32"/>
      <c r="F512" s="67"/>
      <c r="G512" s="118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</row>
    <row r="513" ht="15.75" customHeight="1">
      <c r="A513" s="32"/>
      <c r="B513" s="65"/>
      <c r="C513" s="32"/>
      <c r="D513" s="32"/>
      <c r="E513" s="32"/>
      <c r="F513" s="67"/>
      <c r="G513" s="118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</row>
    <row r="514" ht="15.75" customHeight="1">
      <c r="A514" s="32"/>
      <c r="B514" s="65"/>
      <c r="C514" s="32"/>
      <c r="D514" s="32"/>
      <c r="E514" s="32"/>
      <c r="F514" s="67"/>
      <c r="G514" s="118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</row>
    <row r="515" ht="15.75" customHeight="1">
      <c r="A515" s="32"/>
      <c r="B515" s="65"/>
      <c r="C515" s="32"/>
      <c r="D515" s="32"/>
      <c r="E515" s="32"/>
      <c r="F515" s="67"/>
      <c r="G515" s="118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</row>
    <row r="516" ht="15.75" customHeight="1">
      <c r="A516" s="32"/>
      <c r="B516" s="65"/>
      <c r="C516" s="32"/>
      <c r="D516" s="32"/>
      <c r="E516" s="32"/>
      <c r="F516" s="67"/>
      <c r="G516" s="118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</row>
    <row r="517" ht="15.75" customHeight="1">
      <c r="A517" s="32"/>
      <c r="B517" s="65"/>
      <c r="C517" s="32"/>
      <c r="D517" s="32"/>
      <c r="E517" s="32"/>
      <c r="F517" s="67"/>
      <c r="G517" s="118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</row>
    <row r="518" ht="15.75" customHeight="1">
      <c r="A518" s="32"/>
      <c r="B518" s="65"/>
      <c r="C518" s="32"/>
      <c r="D518" s="32"/>
      <c r="E518" s="32"/>
      <c r="F518" s="67"/>
      <c r="G518" s="118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</row>
    <row r="519" ht="15.75" customHeight="1">
      <c r="A519" s="32"/>
      <c r="B519" s="65"/>
      <c r="C519" s="32"/>
      <c r="D519" s="32"/>
      <c r="E519" s="32"/>
      <c r="F519" s="67"/>
      <c r="G519" s="118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</row>
    <row r="520" ht="15.75" customHeight="1">
      <c r="A520" s="32"/>
      <c r="B520" s="65"/>
      <c r="C520" s="32"/>
      <c r="D520" s="32"/>
      <c r="E520" s="32"/>
      <c r="F520" s="67"/>
      <c r="G520" s="118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</row>
    <row r="521" ht="15.75" customHeight="1">
      <c r="A521" s="32"/>
      <c r="B521" s="65"/>
      <c r="C521" s="32"/>
      <c r="D521" s="32"/>
      <c r="E521" s="32"/>
      <c r="F521" s="67"/>
      <c r="G521" s="118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</row>
    <row r="522" ht="15.75" customHeight="1">
      <c r="A522" s="32"/>
      <c r="B522" s="65"/>
      <c r="C522" s="32"/>
      <c r="D522" s="32"/>
      <c r="E522" s="32"/>
      <c r="F522" s="67"/>
      <c r="G522" s="118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</row>
    <row r="523" ht="15.75" customHeight="1">
      <c r="A523" s="32"/>
      <c r="B523" s="65"/>
      <c r="C523" s="32"/>
      <c r="D523" s="32"/>
      <c r="E523" s="32"/>
      <c r="F523" s="67"/>
      <c r="G523" s="118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</row>
    <row r="524" ht="15.75" customHeight="1">
      <c r="A524" s="32"/>
      <c r="B524" s="65"/>
      <c r="C524" s="32"/>
      <c r="D524" s="32"/>
      <c r="E524" s="32"/>
      <c r="F524" s="67"/>
      <c r="G524" s="118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</row>
    <row r="525" ht="15.75" customHeight="1">
      <c r="A525" s="32"/>
      <c r="B525" s="65"/>
      <c r="C525" s="32"/>
      <c r="D525" s="32"/>
      <c r="E525" s="32"/>
      <c r="F525" s="67"/>
      <c r="G525" s="118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</row>
    <row r="526" ht="15.75" customHeight="1">
      <c r="A526" s="32"/>
      <c r="B526" s="65"/>
      <c r="C526" s="32"/>
      <c r="D526" s="32"/>
      <c r="E526" s="32"/>
      <c r="F526" s="67"/>
      <c r="G526" s="118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</row>
    <row r="527" ht="15.75" customHeight="1">
      <c r="A527" s="32"/>
      <c r="B527" s="65"/>
      <c r="C527" s="32"/>
      <c r="D527" s="32"/>
      <c r="E527" s="32"/>
      <c r="F527" s="67"/>
      <c r="G527" s="118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</row>
    <row r="528" ht="15.75" customHeight="1">
      <c r="A528" s="32"/>
      <c r="B528" s="65"/>
      <c r="C528" s="32"/>
      <c r="D528" s="32"/>
      <c r="E528" s="32"/>
      <c r="F528" s="67"/>
      <c r="G528" s="118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</row>
    <row r="529" ht="15.75" customHeight="1">
      <c r="A529" s="32"/>
      <c r="B529" s="65"/>
      <c r="C529" s="32"/>
      <c r="D529" s="32"/>
      <c r="E529" s="32"/>
      <c r="F529" s="67"/>
      <c r="G529" s="118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</row>
    <row r="530" ht="15.75" customHeight="1">
      <c r="A530" s="32"/>
      <c r="B530" s="65"/>
      <c r="C530" s="32"/>
      <c r="D530" s="32"/>
      <c r="E530" s="32"/>
      <c r="F530" s="67"/>
      <c r="G530" s="118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</row>
    <row r="531" ht="15.75" customHeight="1">
      <c r="A531" s="32"/>
      <c r="B531" s="65"/>
      <c r="C531" s="32"/>
      <c r="D531" s="32"/>
      <c r="E531" s="32"/>
      <c r="F531" s="67"/>
      <c r="G531" s="118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</row>
    <row r="532" ht="15.75" customHeight="1">
      <c r="A532" s="32"/>
      <c r="B532" s="65"/>
      <c r="C532" s="32"/>
      <c r="D532" s="32"/>
      <c r="E532" s="32"/>
      <c r="F532" s="67"/>
      <c r="G532" s="118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</row>
    <row r="533" ht="15.75" customHeight="1">
      <c r="A533" s="32"/>
      <c r="B533" s="65"/>
      <c r="C533" s="32"/>
      <c r="D533" s="32"/>
      <c r="E533" s="32"/>
      <c r="F533" s="67"/>
      <c r="G533" s="118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</row>
    <row r="534" ht="15.75" customHeight="1">
      <c r="A534" s="32"/>
      <c r="B534" s="65"/>
      <c r="C534" s="32"/>
      <c r="D534" s="32"/>
      <c r="E534" s="32"/>
      <c r="F534" s="67"/>
      <c r="G534" s="118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</row>
    <row r="535" ht="15.75" customHeight="1">
      <c r="A535" s="32"/>
      <c r="B535" s="65"/>
      <c r="C535" s="32"/>
      <c r="D535" s="32"/>
      <c r="E535" s="32"/>
      <c r="F535" s="67"/>
      <c r="G535" s="118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</row>
    <row r="536" ht="15.75" customHeight="1">
      <c r="A536" s="32"/>
      <c r="B536" s="65"/>
      <c r="C536" s="32"/>
      <c r="D536" s="32"/>
      <c r="E536" s="32"/>
      <c r="F536" s="67"/>
      <c r="G536" s="118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</row>
    <row r="537" ht="15.75" customHeight="1">
      <c r="A537" s="32"/>
      <c r="B537" s="65"/>
      <c r="C537" s="32"/>
      <c r="D537" s="32"/>
      <c r="E537" s="32"/>
      <c r="F537" s="67"/>
      <c r="G537" s="118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</row>
    <row r="538" ht="15.75" customHeight="1">
      <c r="A538" s="32"/>
      <c r="B538" s="65"/>
      <c r="C538" s="32"/>
      <c r="D538" s="32"/>
      <c r="E538" s="32"/>
      <c r="F538" s="67"/>
      <c r="G538" s="118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</row>
    <row r="539" ht="15.75" customHeight="1">
      <c r="A539" s="32"/>
      <c r="B539" s="65"/>
      <c r="C539" s="32"/>
      <c r="D539" s="32"/>
      <c r="E539" s="32"/>
      <c r="F539" s="67"/>
      <c r="G539" s="118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</row>
    <row r="540" ht="15.75" customHeight="1">
      <c r="A540" s="32"/>
      <c r="B540" s="65"/>
      <c r="C540" s="32"/>
      <c r="D540" s="32"/>
      <c r="E540" s="32"/>
      <c r="F540" s="67"/>
      <c r="G540" s="118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</row>
    <row r="541" ht="15.75" customHeight="1">
      <c r="A541" s="32"/>
      <c r="B541" s="65"/>
      <c r="C541" s="32"/>
      <c r="D541" s="32"/>
      <c r="E541" s="32"/>
      <c r="F541" s="67"/>
      <c r="G541" s="118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</row>
    <row r="542" ht="15.75" customHeight="1">
      <c r="A542" s="32"/>
      <c r="B542" s="65"/>
      <c r="C542" s="32"/>
      <c r="D542" s="32"/>
      <c r="E542" s="32"/>
      <c r="F542" s="67"/>
      <c r="G542" s="118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</row>
    <row r="543" ht="15.75" customHeight="1">
      <c r="A543" s="32"/>
      <c r="B543" s="65"/>
      <c r="C543" s="32"/>
      <c r="D543" s="32"/>
      <c r="E543" s="32"/>
      <c r="F543" s="67"/>
      <c r="G543" s="118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</row>
    <row r="544" ht="15.75" customHeight="1">
      <c r="A544" s="32"/>
      <c r="B544" s="65"/>
      <c r="C544" s="32"/>
      <c r="D544" s="32"/>
      <c r="E544" s="32"/>
      <c r="F544" s="67"/>
      <c r="G544" s="118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</row>
    <row r="545" ht="15.75" customHeight="1">
      <c r="A545" s="32"/>
      <c r="B545" s="65"/>
      <c r="C545" s="32"/>
      <c r="D545" s="32"/>
      <c r="E545" s="32"/>
      <c r="F545" s="67"/>
      <c r="G545" s="118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</row>
    <row r="546" ht="15.75" customHeight="1">
      <c r="A546" s="32"/>
      <c r="B546" s="65"/>
      <c r="C546" s="32"/>
      <c r="D546" s="32"/>
      <c r="E546" s="32"/>
      <c r="F546" s="67"/>
      <c r="G546" s="118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</row>
    <row r="547" ht="15.75" customHeight="1">
      <c r="A547" s="32"/>
      <c r="B547" s="65"/>
      <c r="C547" s="32"/>
      <c r="D547" s="32"/>
      <c r="E547" s="32"/>
      <c r="F547" s="67"/>
      <c r="G547" s="118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</row>
    <row r="548" ht="15.75" customHeight="1">
      <c r="A548" s="32"/>
      <c r="B548" s="65"/>
      <c r="C548" s="32"/>
      <c r="D548" s="32"/>
      <c r="E548" s="32"/>
      <c r="F548" s="67"/>
      <c r="G548" s="118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</row>
    <row r="549" ht="15.75" customHeight="1">
      <c r="A549" s="32"/>
      <c r="B549" s="65"/>
      <c r="C549" s="32"/>
      <c r="D549" s="32"/>
      <c r="E549" s="32"/>
      <c r="F549" s="67"/>
      <c r="G549" s="118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</row>
    <row r="550" ht="15.75" customHeight="1">
      <c r="A550" s="32"/>
      <c r="B550" s="65"/>
      <c r="C550" s="32"/>
      <c r="D550" s="32"/>
      <c r="E550" s="32"/>
      <c r="F550" s="67"/>
      <c r="G550" s="118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</row>
    <row r="551" ht="15.75" customHeight="1">
      <c r="A551" s="32"/>
      <c r="B551" s="65"/>
      <c r="C551" s="32"/>
      <c r="D551" s="32"/>
      <c r="E551" s="32"/>
      <c r="F551" s="67"/>
      <c r="G551" s="118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</row>
    <row r="552" ht="15.75" customHeight="1">
      <c r="A552" s="32"/>
      <c r="B552" s="65"/>
      <c r="C552" s="32"/>
      <c r="D552" s="32"/>
      <c r="E552" s="32"/>
      <c r="F552" s="67"/>
      <c r="G552" s="118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</row>
    <row r="553" ht="15.75" customHeight="1">
      <c r="A553" s="32"/>
      <c r="B553" s="65"/>
      <c r="C553" s="32"/>
      <c r="D553" s="32"/>
      <c r="E553" s="32"/>
      <c r="F553" s="67"/>
      <c r="G553" s="118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</row>
    <row r="554" ht="15.75" customHeight="1">
      <c r="A554" s="32"/>
      <c r="B554" s="65"/>
      <c r="C554" s="32"/>
      <c r="D554" s="32"/>
      <c r="E554" s="32"/>
      <c r="F554" s="67"/>
      <c r="G554" s="118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</row>
    <row r="555" ht="15.75" customHeight="1">
      <c r="A555" s="32"/>
      <c r="B555" s="65"/>
      <c r="C555" s="32"/>
      <c r="D555" s="32"/>
      <c r="E555" s="32"/>
      <c r="F555" s="67"/>
      <c r="G555" s="118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</row>
    <row r="556" ht="15.75" customHeight="1">
      <c r="A556" s="32"/>
      <c r="B556" s="65"/>
      <c r="C556" s="32"/>
      <c r="D556" s="32"/>
      <c r="E556" s="32"/>
      <c r="F556" s="67"/>
      <c r="G556" s="118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</row>
    <row r="557" ht="15.75" customHeight="1">
      <c r="A557" s="32"/>
      <c r="B557" s="65"/>
      <c r="C557" s="32"/>
      <c r="D557" s="32"/>
      <c r="E557" s="32"/>
      <c r="F557" s="67"/>
      <c r="G557" s="118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</row>
    <row r="558" ht="15.75" customHeight="1">
      <c r="A558" s="32"/>
      <c r="B558" s="65"/>
      <c r="C558" s="32"/>
      <c r="D558" s="32"/>
      <c r="E558" s="32"/>
      <c r="F558" s="67"/>
      <c r="G558" s="118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</row>
    <row r="559" ht="15.75" customHeight="1">
      <c r="A559" s="32"/>
      <c r="B559" s="65"/>
      <c r="C559" s="32"/>
      <c r="D559" s="32"/>
      <c r="E559" s="32"/>
      <c r="F559" s="67"/>
      <c r="G559" s="118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</row>
    <row r="560" ht="15.75" customHeight="1">
      <c r="A560" s="32"/>
      <c r="B560" s="65"/>
      <c r="C560" s="32"/>
      <c r="D560" s="32"/>
      <c r="E560" s="32"/>
      <c r="F560" s="67"/>
      <c r="G560" s="118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</row>
    <row r="561" ht="15.75" customHeight="1">
      <c r="A561" s="32"/>
      <c r="B561" s="65"/>
      <c r="C561" s="32"/>
      <c r="D561" s="32"/>
      <c r="E561" s="32"/>
      <c r="F561" s="67"/>
      <c r="G561" s="118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</row>
    <row r="562" ht="15.75" customHeight="1">
      <c r="A562" s="32"/>
      <c r="B562" s="65"/>
      <c r="C562" s="32"/>
      <c r="D562" s="32"/>
      <c r="E562" s="32"/>
      <c r="F562" s="67"/>
      <c r="G562" s="118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</row>
    <row r="563" ht="15.75" customHeight="1">
      <c r="A563" s="32"/>
      <c r="B563" s="65"/>
      <c r="C563" s="32"/>
      <c r="D563" s="32"/>
      <c r="E563" s="32"/>
      <c r="F563" s="67"/>
      <c r="G563" s="118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</row>
    <row r="564" ht="15.75" customHeight="1">
      <c r="A564" s="32"/>
      <c r="B564" s="65"/>
      <c r="C564" s="32"/>
      <c r="D564" s="32"/>
      <c r="E564" s="32"/>
      <c r="F564" s="67"/>
      <c r="G564" s="118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</row>
    <row r="565" ht="15.75" customHeight="1">
      <c r="A565" s="32"/>
      <c r="B565" s="65"/>
      <c r="C565" s="32"/>
      <c r="D565" s="32"/>
      <c r="E565" s="32"/>
      <c r="F565" s="67"/>
      <c r="G565" s="118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</row>
    <row r="566" ht="15.75" customHeight="1">
      <c r="A566" s="32"/>
      <c r="B566" s="65"/>
      <c r="C566" s="32"/>
      <c r="D566" s="32"/>
      <c r="E566" s="32"/>
      <c r="F566" s="67"/>
      <c r="G566" s="118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</row>
    <row r="567" ht="15.75" customHeight="1">
      <c r="A567" s="32"/>
      <c r="B567" s="65"/>
      <c r="C567" s="32"/>
      <c r="D567" s="32"/>
      <c r="E567" s="32"/>
      <c r="F567" s="67"/>
      <c r="G567" s="118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</row>
    <row r="568" ht="15.75" customHeight="1">
      <c r="A568" s="32"/>
      <c r="B568" s="65"/>
      <c r="C568" s="32"/>
      <c r="D568" s="32"/>
      <c r="E568" s="32"/>
      <c r="F568" s="67"/>
      <c r="G568" s="118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</row>
    <row r="569" ht="15.75" customHeight="1">
      <c r="A569" s="32"/>
      <c r="B569" s="65"/>
      <c r="C569" s="32"/>
      <c r="D569" s="32"/>
      <c r="E569" s="32"/>
      <c r="F569" s="67"/>
      <c r="G569" s="118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</row>
    <row r="570" ht="15.75" customHeight="1">
      <c r="A570" s="32"/>
      <c r="B570" s="65"/>
      <c r="C570" s="32"/>
      <c r="D570" s="32"/>
      <c r="E570" s="32"/>
      <c r="F570" s="67"/>
      <c r="G570" s="118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</row>
    <row r="571" ht="15.75" customHeight="1">
      <c r="A571" s="32"/>
      <c r="B571" s="65"/>
      <c r="C571" s="32"/>
      <c r="D571" s="32"/>
      <c r="E571" s="32"/>
      <c r="F571" s="67"/>
      <c r="G571" s="118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</row>
    <row r="572" ht="15.75" customHeight="1">
      <c r="A572" s="32"/>
      <c r="B572" s="65"/>
      <c r="C572" s="32"/>
      <c r="D572" s="32"/>
      <c r="E572" s="32"/>
      <c r="F572" s="67"/>
      <c r="G572" s="118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</row>
    <row r="573" ht="15.75" customHeight="1">
      <c r="A573" s="32"/>
      <c r="B573" s="65"/>
      <c r="C573" s="32"/>
      <c r="D573" s="32"/>
      <c r="E573" s="32"/>
      <c r="F573" s="67"/>
      <c r="G573" s="118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</row>
    <row r="574" ht="15.75" customHeight="1">
      <c r="A574" s="32"/>
      <c r="B574" s="65"/>
      <c r="C574" s="32"/>
      <c r="D574" s="32"/>
      <c r="E574" s="32"/>
      <c r="F574" s="67"/>
      <c r="G574" s="118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</row>
    <row r="575" ht="15.75" customHeight="1">
      <c r="A575" s="32"/>
      <c r="B575" s="65"/>
      <c r="C575" s="32"/>
      <c r="D575" s="32"/>
      <c r="E575" s="32"/>
      <c r="F575" s="67"/>
      <c r="G575" s="118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</row>
    <row r="576" ht="15.75" customHeight="1">
      <c r="A576" s="32"/>
      <c r="B576" s="65"/>
      <c r="C576" s="32"/>
      <c r="D576" s="32"/>
      <c r="E576" s="32"/>
      <c r="F576" s="67"/>
      <c r="G576" s="118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</row>
    <row r="577" ht="15.75" customHeight="1">
      <c r="A577" s="32"/>
      <c r="B577" s="65"/>
      <c r="C577" s="32"/>
      <c r="D577" s="32"/>
      <c r="E577" s="32"/>
      <c r="F577" s="67"/>
      <c r="G577" s="118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</row>
    <row r="578" ht="15.75" customHeight="1">
      <c r="A578" s="32"/>
      <c r="B578" s="65"/>
      <c r="C578" s="32"/>
      <c r="D578" s="32"/>
      <c r="E578" s="32"/>
      <c r="F578" s="67"/>
      <c r="G578" s="118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</row>
    <row r="579" ht="15.75" customHeight="1">
      <c r="A579" s="32"/>
      <c r="B579" s="65"/>
      <c r="C579" s="32"/>
      <c r="D579" s="32"/>
      <c r="E579" s="32"/>
      <c r="F579" s="67"/>
      <c r="G579" s="118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</row>
    <row r="580" ht="15.75" customHeight="1">
      <c r="A580" s="32"/>
      <c r="B580" s="65"/>
      <c r="C580" s="32"/>
      <c r="D580" s="32"/>
      <c r="E580" s="32"/>
      <c r="F580" s="67"/>
      <c r="G580" s="118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</row>
    <row r="581" ht="15.75" customHeight="1">
      <c r="A581" s="32"/>
      <c r="B581" s="65"/>
      <c r="C581" s="32"/>
      <c r="D581" s="32"/>
      <c r="E581" s="32"/>
      <c r="F581" s="67"/>
      <c r="G581" s="118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</row>
    <row r="582" ht="15.75" customHeight="1">
      <c r="A582" s="32"/>
      <c r="B582" s="65"/>
      <c r="C582" s="32"/>
      <c r="D582" s="32"/>
      <c r="E582" s="32"/>
      <c r="F582" s="67"/>
      <c r="G582" s="118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</row>
    <row r="583" ht="15.75" customHeight="1">
      <c r="A583" s="32"/>
      <c r="B583" s="65"/>
      <c r="C583" s="32"/>
      <c r="D583" s="32"/>
      <c r="E583" s="32"/>
      <c r="F583" s="67"/>
      <c r="G583" s="118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</row>
    <row r="584" ht="15.75" customHeight="1">
      <c r="A584" s="32"/>
      <c r="B584" s="65"/>
      <c r="C584" s="32"/>
      <c r="D584" s="32"/>
      <c r="E584" s="32"/>
      <c r="F584" s="67"/>
      <c r="G584" s="118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</row>
    <row r="585" ht="15.75" customHeight="1">
      <c r="A585" s="32"/>
      <c r="B585" s="65"/>
      <c r="C585" s="32"/>
      <c r="D585" s="32"/>
      <c r="E585" s="32"/>
      <c r="F585" s="67"/>
      <c r="G585" s="118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</row>
    <row r="586" ht="15.75" customHeight="1">
      <c r="A586" s="32"/>
      <c r="B586" s="65"/>
      <c r="C586" s="32"/>
      <c r="D586" s="32"/>
      <c r="E586" s="32"/>
      <c r="F586" s="67"/>
      <c r="G586" s="118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</row>
    <row r="587" ht="15.75" customHeight="1">
      <c r="A587" s="32"/>
      <c r="B587" s="65"/>
      <c r="C587" s="32"/>
      <c r="D587" s="32"/>
      <c r="E587" s="32"/>
      <c r="F587" s="67"/>
      <c r="G587" s="118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</row>
    <row r="588" ht="15.75" customHeight="1">
      <c r="A588" s="32"/>
      <c r="B588" s="65"/>
      <c r="C588" s="32"/>
      <c r="D588" s="32"/>
      <c r="E588" s="32"/>
      <c r="F588" s="67"/>
      <c r="G588" s="118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</row>
    <row r="589" ht="15.75" customHeight="1">
      <c r="A589" s="32"/>
      <c r="B589" s="65"/>
      <c r="C589" s="32"/>
      <c r="D589" s="32"/>
      <c r="E589" s="32"/>
      <c r="F589" s="67"/>
      <c r="G589" s="118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</row>
    <row r="590" ht="15.75" customHeight="1">
      <c r="A590" s="32"/>
      <c r="B590" s="65"/>
      <c r="C590" s="32"/>
      <c r="D590" s="32"/>
      <c r="E590" s="32"/>
      <c r="F590" s="67"/>
      <c r="G590" s="118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</row>
    <row r="591" ht="15.75" customHeight="1">
      <c r="A591" s="32"/>
      <c r="B591" s="65"/>
      <c r="C591" s="32"/>
      <c r="D591" s="32"/>
      <c r="E591" s="32"/>
      <c r="F591" s="67"/>
      <c r="G591" s="118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</row>
    <row r="592" ht="15.75" customHeight="1">
      <c r="A592" s="32"/>
      <c r="B592" s="65"/>
      <c r="C592" s="32"/>
      <c r="D592" s="32"/>
      <c r="E592" s="32"/>
      <c r="F592" s="67"/>
      <c r="G592" s="118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</row>
    <row r="593" ht="15.75" customHeight="1">
      <c r="A593" s="32"/>
      <c r="B593" s="65"/>
      <c r="C593" s="32"/>
      <c r="D593" s="32"/>
      <c r="E593" s="32"/>
      <c r="F593" s="67"/>
      <c r="G593" s="118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</row>
    <row r="594" ht="15.75" customHeight="1">
      <c r="A594" s="32"/>
      <c r="B594" s="65"/>
      <c r="C594" s="32"/>
      <c r="D594" s="32"/>
      <c r="E594" s="32"/>
      <c r="F594" s="67"/>
      <c r="G594" s="118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</row>
    <row r="595" ht="15.75" customHeight="1">
      <c r="A595" s="32"/>
      <c r="B595" s="65"/>
      <c r="C595" s="32"/>
      <c r="D595" s="32"/>
      <c r="E595" s="32"/>
      <c r="F595" s="67"/>
      <c r="G595" s="118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</row>
    <row r="596" ht="15.75" customHeight="1">
      <c r="A596" s="32"/>
      <c r="B596" s="65"/>
      <c r="C596" s="32"/>
      <c r="D596" s="32"/>
      <c r="E596" s="32"/>
      <c r="F596" s="67"/>
      <c r="G596" s="118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</row>
    <row r="597" ht="15.75" customHeight="1">
      <c r="A597" s="32"/>
      <c r="B597" s="65"/>
      <c r="C597" s="32"/>
      <c r="D597" s="32"/>
      <c r="E597" s="32"/>
      <c r="F597" s="67"/>
      <c r="G597" s="118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</row>
    <row r="598" ht="15.75" customHeight="1">
      <c r="A598" s="32"/>
      <c r="B598" s="65"/>
      <c r="C598" s="32"/>
      <c r="D598" s="32"/>
      <c r="E598" s="32"/>
      <c r="F598" s="67"/>
      <c r="G598" s="118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</row>
    <row r="599" ht="15.75" customHeight="1">
      <c r="A599" s="32"/>
      <c r="B599" s="65"/>
      <c r="C599" s="32"/>
      <c r="D599" s="32"/>
      <c r="E599" s="32"/>
      <c r="F599" s="67"/>
      <c r="G599" s="118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</row>
    <row r="600" ht="15.75" customHeight="1">
      <c r="A600" s="32"/>
      <c r="B600" s="65"/>
      <c r="C600" s="32"/>
      <c r="D600" s="32"/>
      <c r="E600" s="32"/>
      <c r="F600" s="67"/>
      <c r="G600" s="118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</row>
    <row r="601" ht="15.75" customHeight="1">
      <c r="A601" s="32"/>
      <c r="B601" s="65"/>
      <c r="C601" s="32"/>
      <c r="D601" s="32"/>
      <c r="E601" s="32"/>
      <c r="F601" s="67"/>
      <c r="G601" s="118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</row>
    <row r="602" ht="15.75" customHeight="1">
      <c r="A602" s="32"/>
      <c r="B602" s="65"/>
      <c r="C602" s="32"/>
      <c r="D602" s="32"/>
      <c r="E602" s="32"/>
      <c r="F602" s="67"/>
      <c r="G602" s="118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</row>
    <row r="603" ht="15.75" customHeight="1">
      <c r="A603" s="32"/>
      <c r="B603" s="65"/>
      <c r="C603" s="32"/>
      <c r="D603" s="32"/>
      <c r="E603" s="32"/>
      <c r="F603" s="67"/>
      <c r="G603" s="118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</row>
    <row r="604" ht="15.75" customHeight="1">
      <c r="A604" s="32"/>
      <c r="B604" s="65"/>
      <c r="C604" s="32"/>
      <c r="D604" s="32"/>
      <c r="E604" s="32"/>
      <c r="F604" s="67"/>
      <c r="G604" s="118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</row>
    <row r="605" ht="15.75" customHeight="1">
      <c r="A605" s="32"/>
      <c r="B605" s="65"/>
      <c r="C605" s="32"/>
      <c r="D605" s="32"/>
      <c r="E605" s="32"/>
      <c r="F605" s="67"/>
      <c r="G605" s="118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</row>
    <row r="606" ht="15.75" customHeight="1">
      <c r="A606" s="32"/>
      <c r="B606" s="65"/>
      <c r="C606" s="32"/>
      <c r="D606" s="32"/>
      <c r="E606" s="32"/>
      <c r="F606" s="67"/>
      <c r="G606" s="118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</row>
    <row r="607" ht="15.75" customHeight="1">
      <c r="A607" s="32"/>
      <c r="B607" s="65"/>
      <c r="C607" s="32"/>
      <c r="D607" s="32"/>
      <c r="E607" s="32"/>
      <c r="F607" s="67"/>
      <c r="G607" s="118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</row>
    <row r="608" ht="15.75" customHeight="1">
      <c r="A608" s="32"/>
      <c r="B608" s="65"/>
      <c r="C608" s="32"/>
      <c r="D608" s="32"/>
      <c r="E608" s="32"/>
      <c r="F608" s="67"/>
      <c r="G608" s="118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</row>
    <row r="609" ht="15.75" customHeight="1">
      <c r="A609" s="32"/>
      <c r="B609" s="65"/>
      <c r="C609" s="32"/>
      <c r="D609" s="32"/>
      <c r="E609" s="32"/>
      <c r="F609" s="67"/>
      <c r="G609" s="118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</row>
    <row r="610" ht="15.75" customHeight="1">
      <c r="A610" s="32"/>
      <c r="B610" s="65"/>
      <c r="C610" s="32"/>
      <c r="D610" s="32"/>
      <c r="E610" s="32"/>
      <c r="F610" s="67"/>
      <c r="G610" s="118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</row>
    <row r="611" ht="15.75" customHeight="1">
      <c r="A611" s="32"/>
      <c r="B611" s="65"/>
      <c r="C611" s="32"/>
      <c r="D611" s="32"/>
      <c r="E611" s="32"/>
      <c r="F611" s="67"/>
      <c r="G611" s="118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</row>
    <row r="612" ht="15.75" customHeight="1">
      <c r="A612" s="32"/>
      <c r="B612" s="65"/>
      <c r="C612" s="32"/>
      <c r="D612" s="32"/>
      <c r="E612" s="32"/>
      <c r="F612" s="67"/>
      <c r="G612" s="118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</row>
    <row r="613" ht="15.75" customHeight="1">
      <c r="A613" s="32"/>
      <c r="B613" s="65"/>
      <c r="C613" s="32"/>
      <c r="D613" s="32"/>
      <c r="E613" s="32"/>
      <c r="F613" s="67"/>
      <c r="G613" s="118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</row>
    <row r="614" ht="15.75" customHeight="1">
      <c r="A614" s="32"/>
      <c r="B614" s="65"/>
      <c r="C614" s="32"/>
      <c r="D614" s="32"/>
      <c r="E614" s="32"/>
      <c r="F614" s="67"/>
      <c r="G614" s="118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</row>
    <row r="615" ht="15.75" customHeight="1">
      <c r="A615" s="32"/>
      <c r="B615" s="65"/>
      <c r="C615" s="32"/>
      <c r="D615" s="32"/>
      <c r="E615" s="32"/>
      <c r="F615" s="67"/>
      <c r="G615" s="118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</row>
    <row r="616" ht="15.75" customHeight="1">
      <c r="A616" s="32"/>
      <c r="B616" s="65"/>
      <c r="C616" s="32"/>
      <c r="D616" s="32"/>
      <c r="E616" s="32"/>
      <c r="F616" s="67"/>
      <c r="G616" s="118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</row>
    <row r="617" ht="15.75" customHeight="1">
      <c r="A617" s="32"/>
      <c r="B617" s="65"/>
      <c r="C617" s="32"/>
      <c r="D617" s="32"/>
      <c r="E617" s="32"/>
      <c r="F617" s="67"/>
      <c r="G617" s="118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</row>
    <row r="618" ht="15.75" customHeight="1">
      <c r="A618" s="32"/>
      <c r="B618" s="65"/>
      <c r="C618" s="32"/>
      <c r="D618" s="32"/>
      <c r="E618" s="32"/>
      <c r="F618" s="67"/>
      <c r="G618" s="118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</row>
    <row r="619" ht="15.75" customHeight="1">
      <c r="A619" s="32"/>
      <c r="B619" s="65"/>
      <c r="C619" s="32"/>
      <c r="D619" s="32"/>
      <c r="E619" s="32"/>
      <c r="F619" s="67"/>
      <c r="G619" s="118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</row>
    <row r="620" ht="15.75" customHeight="1">
      <c r="A620" s="32"/>
      <c r="B620" s="65"/>
      <c r="C620" s="32"/>
      <c r="D620" s="32"/>
      <c r="E620" s="32"/>
      <c r="F620" s="67"/>
      <c r="G620" s="118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</row>
    <row r="621" ht="15.75" customHeight="1">
      <c r="A621" s="32"/>
      <c r="B621" s="65"/>
      <c r="C621" s="32"/>
      <c r="D621" s="32"/>
      <c r="E621" s="32"/>
      <c r="F621" s="67"/>
      <c r="G621" s="118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</row>
    <row r="622" ht="15.75" customHeight="1">
      <c r="A622" s="32"/>
      <c r="B622" s="65"/>
      <c r="C622" s="32"/>
      <c r="D622" s="32"/>
      <c r="E622" s="32"/>
      <c r="F622" s="67"/>
      <c r="G622" s="118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</row>
    <row r="623" ht="15.75" customHeight="1">
      <c r="A623" s="32"/>
      <c r="B623" s="65"/>
      <c r="C623" s="32"/>
      <c r="D623" s="32"/>
      <c r="E623" s="32"/>
      <c r="F623" s="67"/>
      <c r="G623" s="118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</row>
    <row r="624" ht="15.75" customHeight="1">
      <c r="A624" s="32"/>
      <c r="B624" s="65"/>
      <c r="C624" s="32"/>
      <c r="D624" s="32"/>
      <c r="E624" s="32"/>
      <c r="F624" s="67"/>
      <c r="G624" s="118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</row>
    <row r="625" ht="15.75" customHeight="1">
      <c r="A625" s="32"/>
      <c r="B625" s="65"/>
      <c r="C625" s="32"/>
      <c r="D625" s="32"/>
      <c r="E625" s="32"/>
      <c r="F625" s="67"/>
      <c r="G625" s="118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</row>
    <row r="626" ht="15.75" customHeight="1">
      <c r="A626" s="32"/>
      <c r="B626" s="65"/>
      <c r="C626" s="32"/>
      <c r="D626" s="32"/>
      <c r="E626" s="32"/>
      <c r="F626" s="67"/>
      <c r="G626" s="118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</row>
    <row r="627" ht="15.75" customHeight="1">
      <c r="A627" s="32"/>
      <c r="B627" s="65"/>
      <c r="C627" s="32"/>
      <c r="D627" s="32"/>
      <c r="E627" s="32"/>
      <c r="F627" s="67"/>
      <c r="G627" s="118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</row>
    <row r="628" ht="15.75" customHeight="1">
      <c r="A628" s="32"/>
      <c r="B628" s="65"/>
      <c r="C628" s="32"/>
      <c r="D628" s="32"/>
      <c r="E628" s="32"/>
      <c r="F628" s="67"/>
      <c r="G628" s="118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</row>
    <row r="629" ht="15.75" customHeight="1">
      <c r="A629" s="32"/>
      <c r="B629" s="65"/>
      <c r="C629" s="32"/>
      <c r="D629" s="32"/>
      <c r="E629" s="32"/>
      <c r="F629" s="67"/>
      <c r="G629" s="118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</row>
    <row r="630" ht="15.75" customHeight="1">
      <c r="A630" s="32"/>
      <c r="B630" s="65"/>
      <c r="C630" s="32"/>
      <c r="D630" s="32"/>
      <c r="E630" s="32"/>
      <c r="F630" s="67"/>
      <c r="G630" s="118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</row>
    <row r="631" ht="15.75" customHeight="1">
      <c r="A631" s="32"/>
      <c r="B631" s="65"/>
      <c r="C631" s="32"/>
      <c r="D631" s="32"/>
      <c r="E631" s="32"/>
      <c r="F631" s="67"/>
      <c r="G631" s="118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</row>
    <row r="632" ht="15.75" customHeight="1">
      <c r="A632" s="32"/>
      <c r="B632" s="65"/>
      <c r="C632" s="32"/>
      <c r="D632" s="32"/>
      <c r="E632" s="32"/>
      <c r="F632" s="67"/>
      <c r="G632" s="118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</row>
    <row r="633" ht="15.75" customHeight="1">
      <c r="A633" s="32"/>
      <c r="B633" s="65"/>
      <c r="C633" s="32"/>
      <c r="D633" s="32"/>
      <c r="E633" s="32"/>
      <c r="F633" s="67"/>
      <c r="G633" s="118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</row>
    <row r="634" ht="15.75" customHeight="1">
      <c r="A634" s="32"/>
      <c r="B634" s="65"/>
      <c r="C634" s="32"/>
      <c r="D634" s="32"/>
      <c r="E634" s="32"/>
      <c r="F634" s="67"/>
      <c r="G634" s="118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</row>
    <row r="635" ht="15.75" customHeight="1">
      <c r="A635" s="32"/>
      <c r="B635" s="65"/>
      <c r="C635" s="32"/>
      <c r="D635" s="32"/>
      <c r="E635" s="32"/>
      <c r="F635" s="67"/>
      <c r="G635" s="118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</row>
    <row r="636" ht="15.75" customHeight="1">
      <c r="A636" s="32"/>
      <c r="B636" s="65"/>
      <c r="C636" s="32"/>
      <c r="D636" s="32"/>
      <c r="E636" s="32"/>
      <c r="F636" s="67"/>
      <c r="G636" s="118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</row>
    <row r="637" ht="15.75" customHeight="1">
      <c r="A637" s="32"/>
      <c r="B637" s="65"/>
      <c r="C637" s="32"/>
      <c r="D637" s="32"/>
      <c r="E637" s="32"/>
      <c r="F637" s="67"/>
      <c r="G637" s="118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</row>
    <row r="638" ht="15.75" customHeight="1">
      <c r="A638" s="32"/>
      <c r="B638" s="65"/>
      <c r="C638" s="32"/>
      <c r="D638" s="32"/>
      <c r="E638" s="32"/>
      <c r="F638" s="67"/>
      <c r="G638" s="118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</row>
    <row r="639" ht="15.75" customHeight="1">
      <c r="A639" s="32"/>
      <c r="B639" s="65"/>
      <c r="C639" s="32"/>
      <c r="D639" s="32"/>
      <c r="E639" s="32"/>
      <c r="F639" s="67"/>
      <c r="G639" s="118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</row>
    <row r="640" ht="15.75" customHeight="1">
      <c r="A640" s="32"/>
      <c r="B640" s="65"/>
      <c r="C640" s="32"/>
      <c r="D640" s="32"/>
      <c r="E640" s="32"/>
      <c r="F640" s="67"/>
      <c r="G640" s="118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</row>
    <row r="641" ht="15.75" customHeight="1">
      <c r="A641" s="32"/>
      <c r="B641" s="65"/>
      <c r="C641" s="32"/>
      <c r="D641" s="32"/>
      <c r="E641" s="32"/>
      <c r="F641" s="67"/>
      <c r="G641" s="118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</row>
    <row r="642" ht="15.75" customHeight="1">
      <c r="A642" s="32"/>
      <c r="B642" s="65"/>
      <c r="C642" s="32"/>
      <c r="D642" s="32"/>
      <c r="E642" s="32"/>
      <c r="F642" s="67"/>
      <c r="G642" s="118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</row>
    <row r="643" ht="15.75" customHeight="1">
      <c r="A643" s="32"/>
      <c r="B643" s="65"/>
      <c r="C643" s="32"/>
      <c r="D643" s="32"/>
      <c r="E643" s="32"/>
      <c r="F643" s="67"/>
      <c r="G643" s="118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</row>
    <row r="644" ht="15.75" customHeight="1">
      <c r="A644" s="32"/>
      <c r="B644" s="65"/>
      <c r="C644" s="32"/>
      <c r="D644" s="32"/>
      <c r="E644" s="32"/>
      <c r="F644" s="67"/>
      <c r="G644" s="118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</row>
    <row r="645" ht="15.75" customHeight="1">
      <c r="A645" s="32"/>
      <c r="B645" s="65"/>
      <c r="C645" s="32"/>
      <c r="D645" s="32"/>
      <c r="E645" s="32"/>
      <c r="F645" s="67"/>
      <c r="G645" s="118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</row>
    <row r="646" ht="15.75" customHeight="1">
      <c r="A646" s="32"/>
      <c r="B646" s="65"/>
      <c r="C646" s="32"/>
      <c r="D646" s="32"/>
      <c r="E646" s="32"/>
      <c r="F646" s="67"/>
      <c r="G646" s="118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</row>
    <row r="647" ht="15.75" customHeight="1">
      <c r="A647" s="32"/>
      <c r="B647" s="65"/>
      <c r="C647" s="32"/>
      <c r="D647" s="32"/>
      <c r="E647" s="32"/>
      <c r="F647" s="67"/>
      <c r="G647" s="118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</row>
    <row r="648" ht="15.75" customHeight="1">
      <c r="A648" s="32"/>
      <c r="B648" s="65"/>
      <c r="C648" s="32"/>
      <c r="D648" s="32"/>
      <c r="E648" s="32"/>
      <c r="F648" s="67"/>
      <c r="G648" s="118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</row>
    <row r="649" ht="15.75" customHeight="1">
      <c r="A649" s="32"/>
      <c r="B649" s="65"/>
      <c r="C649" s="32"/>
      <c r="D649" s="32"/>
      <c r="E649" s="32"/>
      <c r="F649" s="67"/>
      <c r="G649" s="118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</row>
    <row r="650" ht="15.75" customHeight="1">
      <c r="A650" s="32"/>
      <c r="B650" s="65"/>
      <c r="C650" s="32"/>
      <c r="D650" s="32"/>
      <c r="E650" s="32"/>
      <c r="F650" s="67"/>
      <c r="G650" s="118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</row>
    <row r="651" ht="15.75" customHeight="1">
      <c r="A651" s="32"/>
      <c r="B651" s="65"/>
      <c r="C651" s="32"/>
      <c r="D651" s="32"/>
      <c r="E651" s="32"/>
      <c r="F651" s="67"/>
      <c r="G651" s="118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</row>
    <row r="652" ht="15.75" customHeight="1">
      <c r="A652" s="32"/>
      <c r="B652" s="65"/>
      <c r="C652" s="32"/>
      <c r="D652" s="32"/>
      <c r="E652" s="32"/>
      <c r="F652" s="67"/>
      <c r="G652" s="118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</row>
    <row r="653" ht="15.75" customHeight="1">
      <c r="A653" s="32"/>
      <c r="B653" s="65"/>
      <c r="C653" s="32"/>
      <c r="D653" s="32"/>
      <c r="E653" s="32"/>
      <c r="F653" s="67"/>
      <c r="G653" s="118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</row>
    <row r="654" ht="15.75" customHeight="1">
      <c r="A654" s="32"/>
      <c r="B654" s="65"/>
      <c r="C654" s="32"/>
      <c r="D654" s="32"/>
      <c r="E654" s="32"/>
      <c r="F654" s="67"/>
      <c r="G654" s="118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</row>
    <row r="655" ht="15.75" customHeight="1">
      <c r="A655" s="32"/>
      <c r="B655" s="65"/>
      <c r="C655" s="32"/>
      <c r="D655" s="32"/>
      <c r="E655" s="32"/>
      <c r="F655" s="67"/>
      <c r="G655" s="118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</row>
    <row r="656" ht="15.75" customHeight="1">
      <c r="A656" s="32"/>
      <c r="B656" s="65"/>
      <c r="C656" s="32"/>
      <c r="D656" s="32"/>
      <c r="E656" s="32"/>
      <c r="F656" s="67"/>
      <c r="G656" s="118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</row>
    <row r="657" ht="15.75" customHeight="1">
      <c r="A657" s="32"/>
      <c r="B657" s="65"/>
      <c r="C657" s="32"/>
      <c r="D657" s="32"/>
      <c r="E657" s="32"/>
      <c r="F657" s="67"/>
      <c r="G657" s="118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</row>
    <row r="658" ht="15.75" customHeight="1">
      <c r="A658" s="32"/>
      <c r="B658" s="65"/>
      <c r="C658" s="32"/>
      <c r="D658" s="32"/>
      <c r="E658" s="32"/>
      <c r="F658" s="67"/>
      <c r="G658" s="118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</row>
    <row r="659" ht="15.75" customHeight="1">
      <c r="A659" s="32"/>
      <c r="B659" s="65"/>
      <c r="C659" s="32"/>
      <c r="D659" s="32"/>
      <c r="E659" s="32"/>
      <c r="F659" s="67"/>
      <c r="G659" s="118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</row>
    <row r="660" ht="15.75" customHeight="1">
      <c r="A660" s="32"/>
      <c r="B660" s="65"/>
      <c r="C660" s="32"/>
      <c r="D660" s="32"/>
      <c r="E660" s="32"/>
      <c r="F660" s="67"/>
      <c r="G660" s="118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</row>
    <row r="661" ht="15.75" customHeight="1">
      <c r="A661" s="32"/>
      <c r="B661" s="65"/>
      <c r="C661" s="32"/>
      <c r="D661" s="32"/>
      <c r="E661" s="32"/>
      <c r="F661" s="67"/>
      <c r="G661" s="118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</row>
    <row r="662" ht="15.75" customHeight="1">
      <c r="A662" s="32"/>
      <c r="B662" s="65"/>
      <c r="C662" s="32"/>
      <c r="D662" s="32"/>
      <c r="E662" s="32"/>
      <c r="F662" s="67"/>
      <c r="G662" s="118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</row>
    <row r="663" ht="15.75" customHeight="1">
      <c r="A663" s="32"/>
      <c r="B663" s="65"/>
      <c r="C663" s="32"/>
      <c r="D663" s="32"/>
      <c r="E663" s="32"/>
      <c r="F663" s="67"/>
      <c r="G663" s="118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</row>
    <row r="664" ht="15.75" customHeight="1">
      <c r="A664" s="32"/>
      <c r="B664" s="65"/>
      <c r="C664" s="32"/>
      <c r="D664" s="32"/>
      <c r="E664" s="32"/>
      <c r="F664" s="67"/>
      <c r="G664" s="118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</row>
    <row r="665" ht="15.75" customHeight="1">
      <c r="A665" s="32"/>
      <c r="B665" s="65"/>
      <c r="C665" s="32"/>
      <c r="D665" s="32"/>
      <c r="E665" s="32"/>
      <c r="F665" s="67"/>
      <c r="G665" s="118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</row>
    <row r="666" ht="15.75" customHeight="1">
      <c r="A666" s="32"/>
      <c r="B666" s="65"/>
      <c r="C666" s="32"/>
      <c r="D666" s="32"/>
      <c r="E666" s="32"/>
      <c r="F666" s="67"/>
      <c r="G666" s="118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</row>
    <row r="667" ht="15.75" customHeight="1">
      <c r="A667" s="32"/>
      <c r="B667" s="65"/>
      <c r="C667" s="32"/>
      <c r="D667" s="32"/>
      <c r="E667" s="32"/>
      <c r="F667" s="67"/>
      <c r="G667" s="118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</row>
    <row r="668" ht="15.75" customHeight="1">
      <c r="A668" s="32"/>
      <c r="B668" s="65"/>
      <c r="C668" s="32"/>
      <c r="D668" s="32"/>
      <c r="E668" s="32"/>
      <c r="F668" s="67"/>
      <c r="G668" s="118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</row>
    <row r="669" ht="15.75" customHeight="1">
      <c r="A669" s="32"/>
      <c r="B669" s="65"/>
      <c r="C669" s="32"/>
      <c r="D669" s="32"/>
      <c r="E669" s="32"/>
      <c r="F669" s="67"/>
      <c r="G669" s="118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</row>
    <row r="670" ht="15.75" customHeight="1">
      <c r="A670" s="32"/>
      <c r="B670" s="65"/>
      <c r="C670" s="32"/>
      <c r="D670" s="32"/>
      <c r="E670" s="32"/>
      <c r="F670" s="67"/>
      <c r="G670" s="118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</row>
    <row r="671" ht="15.75" customHeight="1">
      <c r="A671" s="32"/>
      <c r="B671" s="65"/>
      <c r="C671" s="32"/>
      <c r="D671" s="32"/>
      <c r="E671" s="32"/>
      <c r="F671" s="67"/>
      <c r="G671" s="118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</row>
    <row r="672" ht="15.75" customHeight="1">
      <c r="A672" s="32"/>
      <c r="B672" s="65"/>
      <c r="C672" s="32"/>
      <c r="D672" s="32"/>
      <c r="E672" s="32"/>
      <c r="F672" s="67"/>
      <c r="G672" s="118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</row>
    <row r="673" ht="15.75" customHeight="1">
      <c r="A673" s="32"/>
      <c r="B673" s="65"/>
      <c r="C673" s="32"/>
      <c r="D673" s="32"/>
      <c r="E673" s="32"/>
      <c r="F673" s="67"/>
      <c r="G673" s="118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</row>
    <row r="674" ht="15.75" customHeight="1">
      <c r="A674" s="32"/>
      <c r="B674" s="65"/>
      <c r="C674" s="32"/>
      <c r="D674" s="32"/>
      <c r="E674" s="32"/>
      <c r="F674" s="67"/>
      <c r="G674" s="118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</row>
    <row r="675" ht="15.75" customHeight="1">
      <c r="A675" s="32"/>
      <c r="B675" s="65"/>
      <c r="C675" s="32"/>
      <c r="D675" s="32"/>
      <c r="E675" s="32"/>
      <c r="F675" s="67"/>
      <c r="G675" s="118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</row>
    <row r="676" ht="15.75" customHeight="1">
      <c r="A676" s="32"/>
      <c r="B676" s="65"/>
      <c r="C676" s="32"/>
      <c r="D676" s="32"/>
      <c r="E676" s="32"/>
      <c r="F676" s="67"/>
      <c r="G676" s="118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</row>
    <row r="677" ht="15.75" customHeight="1">
      <c r="A677" s="32"/>
      <c r="B677" s="65"/>
      <c r="C677" s="32"/>
      <c r="D677" s="32"/>
      <c r="E677" s="32"/>
      <c r="F677" s="67"/>
      <c r="G677" s="118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</row>
    <row r="678" ht="15.75" customHeight="1">
      <c r="A678" s="32"/>
      <c r="B678" s="65"/>
      <c r="C678" s="32"/>
      <c r="D678" s="32"/>
      <c r="E678" s="32"/>
      <c r="F678" s="67"/>
      <c r="G678" s="118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</row>
    <row r="679" ht="15.75" customHeight="1">
      <c r="A679" s="32"/>
      <c r="B679" s="65"/>
      <c r="C679" s="32"/>
      <c r="D679" s="32"/>
      <c r="E679" s="32"/>
      <c r="F679" s="67"/>
      <c r="G679" s="118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</row>
    <row r="680" ht="15.75" customHeight="1">
      <c r="A680" s="32"/>
      <c r="B680" s="65"/>
      <c r="C680" s="32"/>
      <c r="D680" s="32"/>
      <c r="E680" s="32"/>
      <c r="F680" s="67"/>
      <c r="G680" s="118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</row>
    <row r="681" ht="15.75" customHeight="1">
      <c r="A681" s="32"/>
      <c r="B681" s="65"/>
      <c r="C681" s="32"/>
      <c r="D681" s="32"/>
      <c r="E681" s="32"/>
      <c r="F681" s="67"/>
      <c r="G681" s="118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</row>
    <row r="682" ht="15.75" customHeight="1">
      <c r="A682" s="32"/>
      <c r="B682" s="65"/>
      <c r="C682" s="32"/>
      <c r="D682" s="32"/>
      <c r="E682" s="32"/>
      <c r="F682" s="67"/>
      <c r="G682" s="118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</row>
    <row r="683" ht="15.75" customHeight="1">
      <c r="A683" s="32"/>
      <c r="B683" s="65"/>
      <c r="C683" s="32"/>
      <c r="D683" s="32"/>
      <c r="E683" s="32"/>
      <c r="F683" s="67"/>
      <c r="G683" s="118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</row>
    <row r="684" ht="15.75" customHeight="1">
      <c r="A684" s="32"/>
      <c r="B684" s="65"/>
      <c r="C684" s="32"/>
      <c r="D684" s="32"/>
      <c r="E684" s="32"/>
      <c r="F684" s="67"/>
      <c r="G684" s="118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</row>
    <row r="685" ht="15.75" customHeight="1">
      <c r="A685" s="32"/>
      <c r="B685" s="65"/>
      <c r="C685" s="32"/>
      <c r="D685" s="32"/>
      <c r="E685" s="32"/>
      <c r="F685" s="67"/>
      <c r="G685" s="118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</row>
    <row r="686" ht="15.75" customHeight="1">
      <c r="A686" s="32"/>
      <c r="B686" s="65"/>
      <c r="C686" s="32"/>
      <c r="D686" s="32"/>
      <c r="E686" s="32"/>
      <c r="F686" s="67"/>
      <c r="G686" s="118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</row>
    <row r="687" ht="15.75" customHeight="1">
      <c r="A687" s="32"/>
      <c r="B687" s="65"/>
      <c r="C687" s="32"/>
      <c r="D687" s="32"/>
      <c r="E687" s="32"/>
      <c r="F687" s="67"/>
      <c r="G687" s="118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</row>
    <row r="688" ht="15.75" customHeight="1">
      <c r="A688" s="32"/>
      <c r="B688" s="65"/>
      <c r="C688" s="32"/>
      <c r="D688" s="32"/>
      <c r="E688" s="32"/>
      <c r="F688" s="67"/>
      <c r="G688" s="118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</row>
    <row r="689" ht="15.75" customHeight="1">
      <c r="A689" s="32"/>
      <c r="B689" s="65"/>
      <c r="C689" s="32"/>
      <c r="D689" s="32"/>
      <c r="E689" s="32"/>
      <c r="F689" s="67"/>
      <c r="G689" s="118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</row>
    <row r="690" ht="15.75" customHeight="1">
      <c r="A690" s="32"/>
      <c r="B690" s="65"/>
      <c r="C690" s="32"/>
      <c r="D690" s="32"/>
      <c r="E690" s="32"/>
      <c r="F690" s="67"/>
      <c r="G690" s="118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</row>
    <row r="691" ht="15.75" customHeight="1">
      <c r="A691" s="32"/>
      <c r="B691" s="65"/>
      <c r="C691" s="32"/>
      <c r="D691" s="32"/>
      <c r="E691" s="32"/>
      <c r="F691" s="67"/>
      <c r="G691" s="118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</row>
    <row r="692" ht="15.75" customHeight="1">
      <c r="A692" s="32"/>
      <c r="B692" s="65"/>
      <c r="C692" s="32"/>
      <c r="D692" s="32"/>
      <c r="E692" s="32"/>
      <c r="F692" s="67"/>
      <c r="G692" s="118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</row>
    <row r="693" ht="15.75" customHeight="1">
      <c r="A693" s="32"/>
      <c r="B693" s="65"/>
      <c r="C693" s="32"/>
      <c r="D693" s="32"/>
      <c r="E693" s="32"/>
      <c r="F693" s="67"/>
      <c r="G693" s="118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</row>
    <row r="694" ht="15.75" customHeight="1">
      <c r="A694" s="32"/>
      <c r="B694" s="65"/>
      <c r="C694" s="32"/>
      <c r="D694" s="32"/>
      <c r="E694" s="32"/>
      <c r="F694" s="67"/>
      <c r="G694" s="118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</row>
    <row r="695" ht="15.75" customHeight="1">
      <c r="A695" s="32"/>
      <c r="B695" s="65"/>
      <c r="C695" s="32"/>
      <c r="D695" s="32"/>
      <c r="E695" s="32"/>
      <c r="F695" s="67"/>
      <c r="G695" s="118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</row>
    <row r="696" ht="15.75" customHeight="1">
      <c r="A696" s="32"/>
      <c r="B696" s="65"/>
      <c r="C696" s="32"/>
      <c r="D696" s="32"/>
      <c r="E696" s="32"/>
      <c r="F696" s="67"/>
      <c r="G696" s="118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</row>
    <row r="697" ht="15.75" customHeight="1">
      <c r="A697" s="32"/>
      <c r="B697" s="65"/>
      <c r="C697" s="32"/>
      <c r="D697" s="32"/>
      <c r="E697" s="32"/>
      <c r="F697" s="67"/>
      <c r="G697" s="118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</row>
    <row r="698" ht="15.75" customHeight="1">
      <c r="A698" s="32"/>
      <c r="B698" s="65"/>
      <c r="C698" s="32"/>
      <c r="D698" s="32"/>
      <c r="E698" s="32"/>
      <c r="F698" s="67"/>
      <c r="G698" s="118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</row>
    <row r="699" ht="15.75" customHeight="1">
      <c r="A699" s="32"/>
      <c r="B699" s="65"/>
      <c r="C699" s="32"/>
      <c r="D699" s="32"/>
      <c r="E699" s="32"/>
      <c r="F699" s="67"/>
      <c r="G699" s="118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</row>
    <row r="700" ht="15.75" customHeight="1">
      <c r="A700" s="32"/>
      <c r="B700" s="65"/>
      <c r="C700" s="32"/>
      <c r="D700" s="32"/>
      <c r="E700" s="32"/>
      <c r="F700" s="67"/>
      <c r="G700" s="118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</row>
    <row r="701" ht="15.75" customHeight="1">
      <c r="A701" s="32"/>
      <c r="B701" s="65"/>
      <c r="C701" s="32"/>
      <c r="D701" s="32"/>
      <c r="E701" s="32"/>
      <c r="F701" s="67"/>
      <c r="G701" s="118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</row>
    <row r="702" ht="15.75" customHeight="1">
      <c r="A702" s="32"/>
      <c r="B702" s="65"/>
      <c r="C702" s="32"/>
      <c r="D702" s="32"/>
      <c r="E702" s="32"/>
      <c r="F702" s="67"/>
      <c r="G702" s="118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</row>
    <row r="703" ht="15.75" customHeight="1">
      <c r="A703" s="32"/>
      <c r="B703" s="65"/>
      <c r="C703" s="32"/>
      <c r="D703" s="32"/>
      <c r="E703" s="32"/>
      <c r="F703" s="67"/>
      <c r="G703" s="118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</row>
    <row r="704" ht="15.75" customHeight="1">
      <c r="A704" s="32"/>
      <c r="B704" s="65"/>
      <c r="C704" s="32"/>
      <c r="D704" s="32"/>
      <c r="E704" s="32"/>
      <c r="F704" s="67"/>
      <c r="G704" s="118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</row>
    <row r="705" ht="15.75" customHeight="1">
      <c r="A705" s="32"/>
      <c r="B705" s="65"/>
      <c r="C705" s="32"/>
      <c r="D705" s="32"/>
      <c r="E705" s="32"/>
      <c r="F705" s="67"/>
      <c r="G705" s="118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</row>
    <row r="706" ht="15.75" customHeight="1">
      <c r="A706" s="32"/>
      <c r="B706" s="65"/>
      <c r="C706" s="32"/>
      <c r="D706" s="32"/>
      <c r="E706" s="32"/>
      <c r="F706" s="67"/>
      <c r="G706" s="118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</row>
    <row r="707" ht="15.75" customHeight="1">
      <c r="A707" s="32"/>
      <c r="B707" s="65"/>
      <c r="C707" s="32"/>
      <c r="D707" s="32"/>
      <c r="E707" s="32"/>
      <c r="F707" s="67"/>
      <c r="G707" s="118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</row>
    <row r="708" ht="15.75" customHeight="1">
      <c r="A708" s="32"/>
      <c r="B708" s="65"/>
      <c r="C708" s="32"/>
      <c r="D708" s="32"/>
      <c r="E708" s="32"/>
      <c r="F708" s="67"/>
      <c r="G708" s="118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</row>
    <row r="709" ht="15.75" customHeight="1">
      <c r="A709" s="32"/>
      <c r="B709" s="65"/>
      <c r="C709" s="32"/>
      <c r="D709" s="32"/>
      <c r="E709" s="32"/>
      <c r="F709" s="67"/>
      <c r="G709" s="118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</row>
    <row r="710" ht="15.75" customHeight="1">
      <c r="A710" s="32"/>
      <c r="B710" s="65"/>
      <c r="C710" s="32"/>
      <c r="D710" s="32"/>
      <c r="E710" s="32"/>
      <c r="F710" s="67"/>
      <c r="G710" s="118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</row>
    <row r="711" ht="15.75" customHeight="1">
      <c r="A711" s="32"/>
      <c r="B711" s="65"/>
      <c r="C711" s="32"/>
      <c r="D711" s="32"/>
      <c r="E711" s="32"/>
      <c r="F711" s="67"/>
      <c r="G711" s="118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</row>
    <row r="712" ht="15.75" customHeight="1">
      <c r="A712" s="32"/>
      <c r="B712" s="65"/>
      <c r="C712" s="32"/>
      <c r="D712" s="32"/>
      <c r="E712" s="32"/>
      <c r="F712" s="67"/>
      <c r="G712" s="118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</row>
    <row r="713" ht="15.75" customHeight="1">
      <c r="A713" s="32"/>
      <c r="B713" s="65"/>
      <c r="C713" s="32"/>
      <c r="D713" s="32"/>
      <c r="E713" s="32"/>
      <c r="F713" s="67"/>
      <c r="G713" s="118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</row>
    <row r="714" ht="15.75" customHeight="1">
      <c r="A714" s="32"/>
      <c r="B714" s="65"/>
      <c r="C714" s="32"/>
      <c r="D714" s="32"/>
      <c r="E714" s="32"/>
      <c r="F714" s="67"/>
      <c r="G714" s="118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</row>
    <row r="715" ht="15.75" customHeight="1">
      <c r="A715" s="32"/>
      <c r="B715" s="65"/>
      <c r="C715" s="32"/>
      <c r="D715" s="32"/>
      <c r="E715" s="32"/>
      <c r="F715" s="67"/>
      <c r="G715" s="118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</row>
    <row r="716" ht="15.75" customHeight="1">
      <c r="A716" s="32"/>
      <c r="B716" s="65"/>
      <c r="C716" s="32"/>
      <c r="D716" s="32"/>
      <c r="E716" s="32"/>
      <c r="F716" s="67"/>
      <c r="G716" s="118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</row>
    <row r="717" ht="15.75" customHeight="1">
      <c r="A717" s="32"/>
      <c r="B717" s="65"/>
      <c r="C717" s="32"/>
      <c r="D717" s="32"/>
      <c r="E717" s="32"/>
      <c r="F717" s="67"/>
      <c r="G717" s="118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</row>
    <row r="718" ht="15.75" customHeight="1">
      <c r="A718" s="32"/>
      <c r="B718" s="65"/>
      <c r="C718" s="32"/>
      <c r="D718" s="32"/>
      <c r="E718" s="32"/>
      <c r="F718" s="67"/>
      <c r="G718" s="118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</row>
    <row r="719" ht="15.75" customHeight="1">
      <c r="A719" s="32"/>
      <c r="B719" s="65"/>
      <c r="C719" s="32"/>
      <c r="D719" s="32"/>
      <c r="E719" s="32"/>
      <c r="F719" s="67"/>
      <c r="G719" s="118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</row>
    <row r="720" ht="15.75" customHeight="1">
      <c r="A720" s="32"/>
      <c r="B720" s="65"/>
      <c r="C720" s="32"/>
      <c r="D720" s="32"/>
      <c r="E720" s="32"/>
      <c r="F720" s="67"/>
      <c r="G720" s="118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</row>
    <row r="721" ht="15.75" customHeight="1">
      <c r="A721" s="32"/>
      <c r="B721" s="65"/>
      <c r="C721" s="32"/>
      <c r="D721" s="32"/>
      <c r="E721" s="32"/>
      <c r="F721" s="67"/>
      <c r="G721" s="118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</row>
    <row r="722" ht="15.75" customHeight="1">
      <c r="A722" s="32"/>
      <c r="B722" s="65"/>
      <c r="C722" s="32"/>
      <c r="D722" s="32"/>
      <c r="E722" s="32"/>
      <c r="F722" s="67"/>
      <c r="G722" s="118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</row>
    <row r="723" ht="15.75" customHeight="1">
      <c r="A723" s="32"/>
      <c r="B723" s="65"/>
      <c r="C723" s="32"/>
      <c r="D723" s="32"/>
      <c r="E723" s="32"/>
      <c r="F723" s="67"/>
      <c r="G723" s="118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</row>
    <row r="724" ht="15.75" customHeight="1">
      <c r="A724" s="32"/>
      <c r="B724" s="65"/>
      <c r="C724" s="32"/>
      <c r="D724" s="32"/>
      <c r="E724" s="32"/>
      <c r="F724" s="67"/>
      <c r="G724" s="118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</row>
    <row r="725" ht="15.75" customHeight="1">
      <c r="A725" s="32"/>
      <c r="B725" s="65"/>
      <c r="C725" s="32"/>
      <c r="D725" s="32"/>
      <c r="E725" s="32"/>
      <c r="F725" s="67"/>
      <c r="G725" s="118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</row>
    <row r="726" ht="15.75" customHeight="1">
      <c r="A726" s="32"/>
      <c r="B726" s="65"/>
      <c r="C726" s="32"/>
      <c r="D726" s="32"/>
      <c r="E726" s="32"/>
      <c r="F726" s="67"/>
      <c r="G726" s="118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</row>
    <row r="727" ht="15.75" customHeight="1">
      <c r="A727" s="32"/>
      <c r="B727" s="65"/>
      <c r="C727" s="32"/>
      <c r="D727" s="32"/>
      <c r="E727" s="32"/>
      <c r="F727" s="67"/>
      <c r="G727" s="118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</row>
    <row r="728" ht="15.75" customHeight="1">
      <c r="A728" s="32"/>
      <c r="B728" s="65"/>
      <c r="C728" s="32"/>
      <c r="D728" s="32"/>
      <c r="E728" s="32"/>
      <c r="F728" s="67"/>
      <c r="G728" s="118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</row>
    <row r="729" ht="15.75" customHeight="1">
      <c r="A729" s="32"/>
      <c r="B729" s="65"/>
      <c r="C729" s="32"/>
      <c r="D729" s="32"/>
      <c r="E729" s="32"/>
      <c r="F729" s="67"/>
      <c r="G729" s="118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</row>
    <row r="730" ht="15.75" customHeight="1">
      <c r="A730" s="32"/>
      <c r="B730" s="65"/>
      <c r="C730" s="32"/>
      <c r="D730" s="32"/>
      <c r="E730" s="32"/>
      <c r="F730" s="67"/>
      <c r="G730" s="118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</row>
    <row r="731" ht="15.75" customHeight="1">
      <c r="A731" s="32"/>
      <c r="B731" s="65"/>
      <c r="C731" s="32"/>
      <c r="D731" s="32"/>
      <c r="E731" s="32"/>
      <c r="F731" s="67"/>
      <c r="G731" s="118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</row>
    <row r="732" ht="15.75" customHeight="1">
      <c r="A732" s="32"/>
      <c r="B732" s="65"/>
      <c r="C732" s="32"/>
      <c r="D732" s="32"/>
      <c r="E732" s="32"/>
      <c r="F732" s="67"/>
      <c r="G732" s="118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</row>
    <row r="733" ht="15.75" customHeight="1">
      <c r="A733" s="32"/>
      <c r="B733" s="65"/>
      <c r="C733" s="32"/>
      <c r="D733" s="32"/>
      <c r="E733" s="32"/>
      <c r="F733" s="67"/>
      <c r="G733" s="118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</row>
    <row r="734" ht="15.75" customHeight="1">
      <c r="A734" s="32"/>
      <c r="B734" s="65"/>
      <c r="C734" s="32"/>
      <c r="D734" s="32"/>
      <c r="E734" s="32"/>
      <c r="F734" s="67"/>
      <c r="G734" s="118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</row>
    <row r="735" ht="15.75" customHeight="1">
      <c r="A735" s="32"/>
      <c r="B735" s="65"/>
      <c r="C735" s="32"/>
      <c r="D735" s="32"/>
      <c r="E735" s="32"/>
      <c r="F735" s="67"/>
      <c r="G735" s="118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</row>
    <row r="736" ht="15.75" customHeight="1">
      <c r="A736" s="32"/>
      <c r="B736" s="65"/>
      <c r="C736" s="32"/>
      <c r="D736" s="32"/>
      <c r="E736" s="32"/>
      <c r="F736" s="67"/>
      <c r="G736" s="118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</row>
    <row r="737" ht="15.75" customHeight="1">
      <c r="A737" s="32"/>
      <c r="B737" s="65"/>
      <c r="C737" s="32"/>
      <c r="D737" s="32"/>
      <c r="E737" s="32"/>
      <c r="F737" s="67"/>
      <c r="G737" s="118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</row>
    <row r="738" ht="15.75" customHeight="1">
      <c r="A738" s="32"/>
      <c r="B738" s="65"/>
      <c r="C738" s="32"/>
      <c r="D738" s="32"/>
      <c r="E738" s="32"/>
      <c r="F738" s="67"/>
      <c r="G738" s="118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</row>
    <row r="739" ht="15.75" customHeight="1">
      <c r="A739" s="32"/>
      <c r="B739" s="65"/>
      <c r="C739" s="32"/>
      <c r="D739" s="32"/>
      <c r="E739" s="32"/>
      <c r="F739" s="67"/>
      <c r="G739" s="118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</row>
    <row r="740" ht="15.75" customHeight="1">
      <c r="A740" s="32"/>
      <c r="B740" s="65"/>
      <c r="C740" s="32"/>
      <c r="D740" s="32"/>
      <c r="E740" s="32"/>
      <c r="F740" s="67"/>
      <c r="G740" s="118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</row>
    <row r="741" ht="15.75" customHeight="1">
      <c r="A741" s="32"/>
      <c r="B741" s="65"/>
      <c r="C741" s="32"/>
      <c r="D741" s="32"/>
      <c r="E741" s="32"/>
      <c r="F741" s="67"/>
      <c r="G741" s="118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</row>
    <row r="742" ht="15.75" customHeight="1">
      <c r="A742" s="32"/>
      <c r="B742" s="65"/>
      <c r="C742" s="32"/>
      <c r="D742" s="32"/>
      <c r="E742" s="32"/>
      <c r="F742" s="67"/>
      <c r="G742" s="118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</row>
    <row r="743" ht="15.75" customHeight="1">
      <c r="A743" s="32"/>
      <c r="B743" s="65"/>
      <c r="C743" s="32"/>
      <c r="D743" s="32"/>
      <c r="E743" s="32"/>
      <c r="F743" s="67"/>
      <c r="G743" s="118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</row>
    <row r="744" ht="15.75" customHeight="1">
      <c r="A744" s="32"/>
      <c r="B744" s="65"/>
      <c r="C744" s="32"/>
      <c r="D744" s="32"/>
      <c r="E744" s="32"/>
      <c r="F744" s="67"/>
      <c r="G744" s="118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</row>
    <row r="745" ht="15.75" customHeight="1">
      <c r="A745" s="32"/>
      <c r="B745" s="65"/>
      <c r="C745" s="32"/>
      <c r="D745" s="32"/>
      <c r="E745" s="32"/>
      <c r="F745" s="67"/>
      <c r="G745" s="118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</row>
    <row r="746" ht="15.75" customHeight="1">
      <c r="A746" s="32"/>
      <c r="B746" s="65"/>
      <c r="C746" s="32"/>
      <c r="D746" s="32"/>
      <c r="E746" s="32"/>
      <c r="F746" s="67"/>
      <c r="G746" s="118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</row>
    <row r="747" ht="15.75" customHeight="1">
      <c r="A747" s="32"/>
      <c r="B747" s="65"/>
      <c r="C747" s="32"/>
      <c r="D747" s="32"/>
      <c r="E747" s="32"/>
      <c r="F747" s="67"/>
      <c r="G747" s="118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</row>
    <row r="748" ht="15.75" customHeight="1">
      <c r="A748" s="32"/>
      <c r="B748" s="65"/>
      <c r="C748" s="32"/>
      <c r="D748" s="32"/>
      <c r="E748" s="32"/>
      <c r="F748" s="67"/>
      <c r="G748" s="118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</row>
    <row r="749" ht="15.75" customHeight="1">
      <c r="A749" s="32"/>
      <c r="B749" s="65"/>
      <c r="C749" s="32"/>
      <c r="D749" s="32"/>
      <c r="E749" s="32"/>
      <c r="F749" s="67"/>
      <c r="G749" s="118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</row>
    <row r="750" ht="15.75" customHeight="1">
      <c r="A750" s="32"/>
      <c r="B750" s="65"/>
      <c r="C750" s="32"/>
      <c r="D750" s="32"/>
      <c r="E750" s="32"/>
      <c r="F750" s="67"/>
      <c r="G750" s="118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</row>
    <row r="751" ht="15.75" customHeight="1">
      <c r="A751" s="32"/>
      <c r="B751" s="65"/>
      <c r="C751" s="32"/>
      <c r="D751" s="32"/>
      <c r="E751" s="32"/>
      <c r="F751" s="67"/>
      <c r="G751" s="118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</row>
    <row r="752" ht="15.75" customHeight="1">
      <c r="A752" s="32"/>
      <c r="B752" s="65"/>
      <c r="C752" s="32"/>
      <c r="D752" s="32"/>
      <c r="E752" s="32"/>
      <c r="F752" s="67"/>
      <c r="G752" s="118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</row>
    <row r="753" ht="15.75" customHeight="1">
      <c r="A753" s="32"/>
      <c r="B753" s="65"/>
      <c r="C753" s="32"/>
      <c r="D753" s="32"/>
      <c r="E753" s="32"/>
      <c r="F753" s="67"/>
      <c r="G753" s="118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</row>
    <row r="754" ht="15.75" customHeight="1">
      <c r="A754" s="32"/>
      <c r="B754" s="65"/>
      <c r="C754" s="32"/>
      <c r="D754" s="32"/>
      <c r="E754" s="32"/>
      <c r="F754" s="67"/>
      <c r="G754" s="118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</row>
    <row r="755" ht="15.75" customHeight="1">
      <c r="A755" s="32"/>
      <c r="B755" s="65"/>
      <c r="C755" s="32"/>
      <c r="D755" s="32"/>
      <c r="E755" s="32"/>
      <c r="F755" s="67"/>
      <c r="G755" s="118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</row>
    <row r="756" ht="15.75" customHeight="1">
      <c r="A756" s="32"/>
      <c r="B756" s="65"/>
      <c r="C756" s="32"/>
      <c r="D756" s="32"/>
      <c r="E756" s="32"/>
      <c r="F756" s="67"/>
      <c r="G756" s="118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</row>
    <row r="757" ht="15.75" customHeight="1">
      <c r="A757" s="32"/>
      <c r="B757" s="65"/>
      <c r="C757" s="32"/>
      <c r="D757" s="32"/>
      <c r="E757" s="32"/>
      <c r="F757" s="67"/>
      <c r="G757" s="118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</row>
    <row r="758" ht="15.75" customHeight="1">
      <c r="A758" s="32"/>
      <c r="B758" s="65"/>
      <c r="C758" s="32"/>
      <c r="D758" s="32"/>
      <c r="E758" s="32"/>
      <c r="F758" s="67"/>
      <c r="G758" s="118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</row>
    <row r="759" ht="15.75" customHeight="1">
      <c r="A759" s="32"/>
      <c r="B759" s="65"/>
      <c r="C759" s="32"/>
      <c r="D759" s="32"/>
      <c r="E759" s="32"/>
      <c r="F759" s="67"/>
      <c r="G759" s="118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</row>
    <row r="760" ht="15.75" customHeight="1">
      <c r="A760" s="32"/>
      <c r="B760" s="65"/>
      <c r="C760" s="32"/>
      <c r="D760" s="32"/>
      <c r="E760" s="32"/>
      <c r="F760" s="67"/>
      <c r="G760" s="118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</row>
    <row r="761" ht="15.75" customHeight="1">
      <c r="A761" s="32"/>
      <c r="B761" s="65"/>
      <c r="C761" s="32"/>
      <c r="D761" s="32"/>
      <c r="E761" s="32"/>
      <c r="F761" s="67"/>
      <c r="G761" s="118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</row>
    <row r="762" ht="15.75" customHeight="1">
      <c r="A762" s="32"/>
      <c r="B762" s="65"/>
      <c r="C762" s="32"/>
      <c r="D762" s="32"/>
      <c r="E762" s="32"/>
      <c r="F762" s="67"/>
      <c r="G762" s="118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</row>
    <row r="763" ht="15.75" customHeight="1">
      <c r="A763" s="32"/>
      <c r="B763" s="65"/>
      <c r="C763" s="32"/>
      <c r="D763" s="32"/>
      <c r="E763" s="32"/>
      <c r="F763" s="67"/>
      <c r="G763" s="118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</row>
    <row r="764" ht="15.75" customHeight="1">
      <c r="A764" s="32"/>
      <c r="B764" s="65"/>
      <c r="C764" s="32"/>
      <c r="D764" s="32"/>
      <c r="E764" s="32"/>
      <c r="F764" s="67"/>
      <c r="G764" s="118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</row>
    <row r="765" ht="15.75" customHeight="1">
      <c r="A765" s="32"/>
      <c r="B765" s="65"/>
      <c r="C765" s="32"/>
      <c r="D765" s="32"/>
      <c r="E765" s="32"/>
      <c r="F765" s="67"/>
      <c r="G765" s="118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</row>
    <row r="766" ht="15.75" customHeight="1">
      <c r="A766" s="32"/>
      <c r="B766" s="65"/>
      <c r="C766" s="32"/>
      <c r="D766" s="32"/>
      <c r="E766" s="32"/>
      <c r="F766" s="67"/>
      <c r="G766" s="118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</row>
    <row r="767" ht="15.75" customHeight="1">
      <c r="A767" s="32"/>
      <c r="B767" s="65"/>
      <c r="C767" s="32"/>
      <c r="D767" s="32"/>
      <c r="E767" s="32"/>
      <c r="F767" s="67"/>
      <c r="G767" s="118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</row>
    <row r="768" ht="15.75" customHeight="1">
      <c r="A768" s="32"/>
      <c r="B768" s="65"/>
      <c r="C768" s="32"/>
      <c r="D768" s="32"/>
      <c r="E768" s="32"/>
      <c r="F768" s="67"/>
      <c r="G768" s="118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</row>
    <row r="769" ht="15.75" customHeight="1">
      <c r="A769" s="32"/>
      <c r="B769" s="65"/>
      <c r="C769" s="32"/>
      <c r="D769" s="32"/>
      <c r="E769" s="32"/>
      <c r="F769" s="67"/>
      <c r="G769" s="118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</row>
    <row r="770" ht="15.75" customHeight="1">
      <c r="A770" s="32"/>
      <c r="B770" s="65"/>
      <c r="C770" s="32"/>
      <c r="D770" s="32"/>
      <c r="E770" s="32"/>
      <c r="F770" s="67"/>
      <c r="G770" s="118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</row>
    <row r="771" ht="15.75" customHeight="1">
      <c r="A771" s="32"/>
      <c r="B771" s="65"/>
      <c r="C771" s="32"/>
      <c r="D771" s="32"/>
      <c r="E771" s="32"/>
      <c r="F771" s="67"/>
      <c r="G771" s="118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</row>
    <row r="772" ht="15.75" customHeight="1">
      <c r="A772" s="32"/>
      <c r="B772" s="65"/>
      <c r="C772" s="32"/>
      <c r="D772" s="32"/>
      <c r="E772" s="32"/>
      <c r="F772" s="67"/>
      <c r="G772" s="118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</row>
    <row r="773" ht="15.75" customHeight="1">
      <c r="A773" s="32"/>
      <c r="B773" s="65"/>
      <c r="C773" s="32"/>
      <c r="D773" s="32"/>
      <c r="E773" s="32"/>
      <c r="F773" s="67"/>
      <c r="G773" s="118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</row>
    <row r="774" ht="15.75" customHeight="1">
      <c r="A774" s="32"/>
      <c r="B774" s="65"/>
      <c r="C774" s="32"/>
      <c r="D774" s="32"/>
      <c r="E774" s="32"/>
      <c r="F774" s="67"/>
      <c r="G774" s="118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</row>
    <row r="775" ht="15.75" customHeight="1">
      <c r="A775" s="32"/>
      <c r="B775" s="65"/>
      <c r="C775" s="32"/>
      <c r="D775" s="32"/>
      <c r="E775" s="32"/>
      <c r="F775" s="67"/>
      <c r="G775" s="118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</row>
    <row r="776" ht="15.75" customHeight="1">
      <c r="A776" s="32"/>
      <c r="B776" s="65"/>
      <c r="C776" s="32"/>
      <c r="D776" s="32"/>
      <c r="E776" s="32"/>
      <c r="F776" s="67"/>
      <c r="G776" s="118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</row>
    <row r="777" ht="15.75" customHeight="1">
      <c r="A777" s="32"/>
      <c r="B777" s="65"/>
      <c r="C777" s="32"/>
      <c r="D777" s="32"/>
      <c r="E777" s="32"/>
      <c r="F777" s="67"/>
      <c r="G777" s="118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</row>
    <row r="778" ht="15.75" customHeight="1">
      <c r="A778" s="32"/>
      <c r="B778" s="65"/>
      <c r="C778" s="32"/>
      <c r="D778" s="32"/>
      <c r="E778" s="32"/>
      <c r="F778" s="67"/>
      <c r="G778" s="118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</row>
    <row r="779" ht="15.75" customHeight="1">
      <c r="A779" s="32"/>
      <c r="B779" s="65"/>
      <c r="C779" s="32"/>
      <c r="D779" s="32"/>
      <c r="E779" s="32"/>
      <c r="F779" s="67"/>
      <c r="G779" s="118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</row>
    <row r="780" ht="15.75" customHeight="1">
      <c r="A780" s="32"/>
      <c r="B780" s="65"/>
      <c r="C780" s="32"/>
      <c r="D780" s="32"/>
      <c r="E780" s="32"/>
      <c r="F780" s="67"/>
      <c r="G780" s="118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</row>
    <row r="781" ht="15.75" customHeight="1">
      <c r="A781" s="32"/>
      <c r="B781" s="65"/>
      <c r="C781" s="32"/>
      <c r="D781" s="32"/>
      <c r="E781" s="32"/>
      <c r="F781" s="67"/>
      <c r="G781" s="118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</row>
    <row r="782" ht="15.75" customHeight="1">
      <c r="A782" s="32"/>
      <c r="B782" s="65"/>
      <c r="C782" s="32"/>
      <c r="D782" s="32"/>
      <c r="E782" s="32"/>
      <c r="F782" s="67"/>
      <c r="G782" s="118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</row>
    <row r="783" ht="15.75" customHeight="1">
      <c r="A783" s="32"/>
      <c r="B783" s="65"/>
      <c r="C783" s="32"/>
      <c r="D783" s="32"/>
      <c r="E783" s="32"/>
      <c r="F783" s="67"/>
      <c r="G783" s="118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</row>
    <row r="784" ht="15.75" customHeight="1">
      <c r="A784" s="32"/>
      <c r="B784" s="65"/>
      <c r="C784" s="32"/>
      <c r="D784" s="32"/>
      <c r="E784" s="32"/>
      <c r="F784" s="67"/>
      <c r="G784" s="118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</row>
    <row r="785" ht="15.75" customHeight="1">
      <c r="A785" s="32"/>
      <c r="B785" s="65"/>
      <c r="C785" s="32"/>
      <c r="D785" s="32"/>
      <c r="E785" s="32"/>
      <c r="F785" s="67"/>
      <c r="G785" s="118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</row>
    <row r="786" ht="15.75" customHeight="1">
      <c r="A786" s="32"/>
      <c r="B786" s="65"/>
      <c r="C786" s="32"/>
      <c r="D786" s="32"/>
      <c r="E786" s="32"/>
      <c r="F786" s="67"/>
      <c r="G786" s="118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</row>
    <row r="787" ht="15.75" customHeight="1">
      <c r="A787" s="32"/>
      <c r="B787" s="65"/>
      <c r="C787" s="32"/>
      <c r="D787" s="32"/>
      <c r="E787" s="32"/>
      <c r="F787" s="67"/>
      <c r="G787" s="118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</row>
    <row r="788" ht="15.75" customHeight="1">
      <c r="A788" s="32"/>
      <c r="B788" s="65"/>
      <c r="C788" s="32"/>
      <c r="D788" s="32"/>
      <c r="E788" s="32"/>
      <c r="F788" s="67"/>
      <c r="G788" s="118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</row>
    <row r="789" ht="15.75" customHeight="1">
      <c r="A789" s="32"/>
      <c r="B789" s="65"/>
      <c r="C789" s="32"/>
      <c r="D789" s="32"/>
      <c r="E789" s="32"/>
      <c r="F789" s="67"/>
      <c r="G789" s="118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</row>
    <row r="790" ht="15.75" customHeight="1">
      <c r="A790" s="32"/>
      <c r="B790" s="65"/>
      <c r="C790" s="32"/>
      <c r="D790" s="32"/>
      <c r="E790" s="32"/>
      <c r="F790" s="67"/>
      <c r="G790" s="118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</row>
    <row r="791" ht="15.75" customHeight="1">
      <c r="A791" s="32"/>
      <c r="B791" s="65"/>
      <c r="C791" s="32"/>
      <c r="D791" s="32"/>
      <c r="E791" s="32"/>
      <c r="F791" s="67"/>
      <c r="G791" s="118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</row>
    <row r="792" ht="15.75" customHeight="1">
      <c r="A792" s="32"/>
      <c r="B792" s="65"/>
      <c r="C792" s="32"/>
      <c r="D792" s="32"/>
      <c r="E792" s="32"/>
      <c r="F792" s="67"/>
      <c r="G792" s="118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</row>
    <row r="793" ht="15.75" customHeight="1">
      <c r="A793" s="32"/>
      <c r="B793" s="65"/>
      <c r="C793" s="32"/>
      <c r="D793" s="32"/>
      <c r="E793" s="32"/>
      <c r="F793" s="67"/>
      <c r="G793" s="118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</row>
    <row r="794" ht="15.75" customHeight="1">
      <c r="A794" s="32"/>
      <c r="B794" s="65"/>
      <c r="C794" s="32"/>
      <c r="D794" s="32"/>
      <c r="E794" s="32"/>
      <c r="F794" s="67"/>
      <c r="G794" s="118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</row>
    <row r="795" ht="15.75" customHeight="1">
      <c r="A795" s="32"/>
      <c r="B795" s="65"/>
      <c r="C795" s="32"/>
      <c r="D795" s="32"/>
      <c r="E795" s="32"/>
      <c r="F795" s="67"/>
      <c r="G795" s="118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</row>
    <row r="796" ht="15.75" customHeight="1">
      <c r="A796" s="32"/>
      <c r="B796" s="65"/>
      <c r="C796" s="32"/>
      <c r="D796" s="32"/>
      <c r="E796" s="32"/>
      <c r="F796" s="67"/>
      <c r="G796" s="118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</row>
    <row r="797" ht="15.75" customHeight="1">
      <c r="A797" s="32"/>
      <c r="B797" s="65"/>
      <c r="C797" s="32"/>
      <c r="D797" s="32"/>
      <c r="E797" s="32"/>
      <c r="F797" s="67"/>
      <c r="G797" s="118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</row>
    <row r="798" ht="15.75" customHeight="1">
      <c r="A798" s="32"/>
      <c r="B798" s="65"/>
      <c r="C798" s="32"/>
      <c r="D798" s="32"/>
      <c r="E798" s="32"/>
      <c r="F798" s="67"/>
      <c r="G798" s="118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</row>
    <row r="799" ht="15.75" customHeight="1">
      <c r="A799" s="32"/>
      <c r="B799" s="65"/>
      <c r="C799" s="32"/>
      <c r="D799" s="32"/>
      <c r="E799" s="32"/>
      <c r="F799" s="67"/>
      <c r="G799" s="118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</row>
    <row r="800" ht="15.75" customHeight="1">
      <c r="A800" s="32"/>
      <c r="B800" s="65"/>
      <c r="C800" s="32"/>
      <c r="D800" s="32"/>
      <c r="E800" s="32"/>
      <c r="F800" s="67"/>
      <c r="G800" s="118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</row>
    <row r="801" ht="15.75" customHeight="1">
      <c r="A801" s="32"/>
      <c r="B801" s="65"/>
      <c r="C801" s="32"/>
      <c r="D801" s="32"/>
      <c r="E801" s="32"/>
      <c r="F801" s="67"/>
      <c r="G801" s="118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</row>
    <row r="802" ht="15.75" customHeight="1">
      <c r="A802" s="32"/>
      <c r="B802" s="65"/>
      <c r="C802" s="32"/>
      <c r="D802" s="32"/>
      <c r="E802" s="32"/>
      <c r="F802" s="67"/>
      <c r="G802" s="118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</row>
    <row r="803" ht="15.75" customHeight="1">
      <c r="A803" s="32"/>
      <c r="B803" s="65"/>
      <c r="C803" s="32"/>
      <c r="D803" s="32"/>
      <c r="E803" s="32"/>
      <c r="F803" s="67"/>
      <c r="G803" s="118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</row>
    <row r="804" ht="15.75" customHeight="1">
      <c r="A804" s="32"/>
      <c r="B804" s="65"/>
      <c r="C804" s="32"/>
      <c r="D804" s="32"/>
      <c r="E804" s="32"/>
      <c r="F804" s="67"/>
      <c r="G804" s="118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</row>
    <row r="805" ht="15.75" customHeight="1">
      <c r="A805" s="32"/>
      <c r="B805" s="65"/>
      <c r="C805" s="32"/>
      <c r="D805" s="32"/>
      <c r="E805" s="32"/>
      <c r="F805" s="67"/>
      <c r="G805" s="118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</row>
    <row r="806" ht="15.75" customHeight="1">
      <c r="A806" s="32"/>
      <c r="B806" s="65"/>
      <c r="C806" s="32"/>
      <c r="D806" s="32"/>
      <c r="E806" s="32"/>
      <c r="F806" s="67"/>
      <c r="G806" s="118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</row>
    <row r="807" ht="15.75" customHeight="1">
      <c r="A807" s="32"/>
      <c r="B807" s="65"/>
      <c r="C807" s="32"/>
      <c r="D807" s="32"/>
      <c r="E807" s="32"/>
      <c r="F807" s="67"/>
      <c r="G807" s="118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</row>
    <row r="808" ht="15.75" customHeight="1">
      <c r="A808" s="32"/>
      <c r="B808" s="65"/>
      <c r="C808" s="32"/>
      <c r="D808" s="32"/>
      <c r="E808" s="32"/>
      <c r="F808" s="67"/>
      <c r="G808" s="118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</row>
    <row r="809" ht="15.75" customHeight="1">
      <c r="A809" s="32"/>
      <c r="B809" s="65"/>
      <c r="C809" s="32"/>
      <c r="D809" s="32"/>
      <c r="E809" s="32"/>
      <c r="F809" s="67"/>
      <c r="G809" s="118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</row>
    <row r="810" ht="15.75" customHeight="1">
      <c r="A810" s="32"/>
      <c r="B810" s="65"/>
      <c r="C810" s="32"/>
      <c r="D810" s="32"/>
      <c r="E810" s="32"/>
      <c r="F810" s="67"/>
      <c r="G810" s="118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</row>
    <row r="811" ht="15.75" customHeight="1">
      <c r="A811" s="32"/>
      <c r="B811" s="65"/>
      <c r="C811" s="32"/>
      <c r="D811" s="32"/>
      <c r="E811" s="32"/>
      <c r="F811" s="67"/>
      <c r="G811" s="118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</row>
    <row r="812" ht="15.75" customHeight="1">
      <c r="A812" s="32"/>
      <c r="B812" s="65"/>
      <c r="C812" s="32"/>
      <c r="D812" s="32"/>
      <c r="E812" s="32"/>
      <c r="F812" s="67"/>
      <c r="G812" s="118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</row>
    <row r="813" ht="15.75" customHeight="1">
      <c r="A813" s="32"/>
      <c r="B813" s="65"/>
      <c r="C813" s="32"/>
      <c r="D813" s="32"/>
      <c r="E813" s="32"/>
      <c r="F813" s="67"/>
      <c r="G813" s="118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</row>
    <row r="814" ht="15.75" customHeight="1">
      <c r="A814" s="32"/>
      <c r="B814" s="65"/>
      <c r="C814" s="32"/>
      <c r="D814" s="32"/>
      <c r="E814" s="32"/>
      <c r="F814" s="67"/>
      <c r="G814" s="118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</row>
    <row r="815" ht="15.75" customHeight="1">
      <c r="A815" s="32"/>
      <c r="B815" s="65"/>
      <c r="C815" s="32"/>
      <c r="D815" s="32"/>
      <c r="E815" s="32"/>
      <c r="F815" s="67"/>
      <c r="G815" s="118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</row>
    <row r="816" ht="15.75" customHeight="1">
      <c r="A816" s="32"/>
      <c r="B816" s="65"/>
      <c r="C816" s="32"/>
      <c r="D816" s="32"/>
      <c r="E816" s="32"/>
      <c r="F816" s="67"/>
      <c r="G816" s="118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</row>
    <row r="817" ht="15.75" customHeight="1">
      <c r="A817" s="32"/>
      <c r="B817" s="65"/>
      <c r="C817" s="32"/>
      <c r="D817" s="32"/>
      <c r="E817" s="32"/>
      <c r="F817" s="67"/>
      <c r="G817" s="118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</row>
    <row r="818" ht="15.75" customHeight="1">
      <c r="A818" s="32"/>
      <c r="B818" s="65"/>
      <c r="C818" s="32"/>
      <c r="D818" s="32"/>
      <c r="E818" s="32"/>
      <c r="F818" s="67"/>
      <c r="G818" s="118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</row>
    <row r="819" ht="15.75" customHeight="1">
      <c r="A819" s="32"/>
      <c r="B819" s="65"/>
      <c r="C819" s="32"/>
      <c r="D819" s="32"/>
      <c r="E819" s="32"/>
      <c r="F819" s="67"/>
      <c r="G819" s="118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</row>
    <row r="820" ht="15.75" customHeight="1">
      <c r="A820" s="32"/>
      <c r="B820" s="65"/>
      <c r="C820" s="32"/>
      <c r="D820" s="32"/>
      <c r="E820" s="32"/>
      <c r="F820" s="67"/>
      <c r="G820" s="118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</row>
    <row r="821" ht="15.75" customHeight="1">
      <c r="A821" s="32"/>
      <c r="B821" s="65"/>
      <c r="C821" s="32"/>
      <c r="D821" s="32"/>
      <c r="E821" s="32"/>
      <c r="F821" s="67"/>
      <c r="G821" s="118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</row>
    <row r="822" ht="15.75" customHeight="1">
      <c r="A822" s="32"/>
      <c r="B822" s="65"/>
      <c r="C822" s="32"/>
      <c r="D822" s="32"/>
      <c r="E822" s="32"/>
      <c r="F822" s="67"/>
      <c r="G822" s="118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</row>
    <row r="823" ht="15.75" customHeight="1">
      <c r="A823" s="32"/>
      <c r="B823" s="65"/>
      <c r="C823" s="32"/>
      <c r="D823" s="32"/>
      <c r="E823" s="32"/>
      <c r="F823" s="67"/>
      <c r="G823" s="118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</row>
    <row r="824" ht="15.75" customHeight="1">
      <c r="A824" s="32"/>
      <c r="B824" s="65"/>
      <c r="C824" s="32"/>
      <c r="D824" s="32"/>
      <c r="E824" s="32"/>
      <c r="F824" s="67"/>
      <c r="G824" s="118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</row>
    <row r="825" ht="15.75" customHeight="1">
      <c r="A825" s="32"/>
      <c r="B825" s="65"/>
      <c r="C825" s="32"/>
      <c r="D825" s="32"/>
      <c r="E825" s="32"/>
      <c r="F825" s="67"/>
      <c r="G825" s="118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</row>
    <row r="826" ht="15.75" customHeight="1">
      <c r="A826" s="32"/>
      <c r="B826" s="65"/>
      <c r="C826" s="32"/>
      <c r="D826" s="32"/>
      <c r="E826" s="32"/>
      <c r="F826" s="67"/>
      <c r="G826" s="118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</row>
    <row r="827" ht="15.75" customHeight="1">
      <c r="A827" s="32"/>
      <c r="B827" s="65"/>
      <c r="C827" s="32"/>
      <c r="D827" s="32"/>
      <c r="E827" s="32"/>
      <c r="F827" s="67"/>
      <c r="G827" s="118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</row>
    <row r="828" ht="15.75" customHeight="1">
      <c r="A828" s="32"/>
      <c r="B828" s="65"/>
      <c r="C828" s="32"/>
      <c r="D828" s="32"/>
      <c r="E828" s="32"/>
      <c r="F828" s="67"/>
      <c r="G828" s="118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</row>
    <row r="829" ht="15.75" customHeight="1">
      <c r="A829" s="32"/>
      <c r="B829" s="65"/>
      <c r="C829" s="32"/>
      <c r="D829" s="32"/>
      <c r="E829" s="32"/>
      <c r="F829" s="67"/>
      <c r="G829" s="118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</row>
    <row r="830" ht="15.75" customHeight="1">
      <c r="A830" s="32"/>
      <c r="B830" s="65"/>
      <c r="C830" s="32"/>
      <c r="D830" s="32"/>
      <c r="E830" s="32"/>
      <c r="F830" s="67"/>
      <c r="G830" s="118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</row>
    <row r="831" ht="15.75" customHeight="1">
      <c r="A831" s="32"/>
      <c r="B831" s="65"/>
      <c r="C831" s="32"/>
      <c r="D831" s="32"/>
      <c r="E831" s="32"/>
      <c r="F831" s="67"/>
      <c r="G831" s="118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</row>
    <row r="832" ht="15.75" customHeight="1">
      <c r="A832" s="32"/>
      <c r="B832" s="65"/>
      <c r="C832" s="32"/>
      <c r="D832" s="32"/>
      <c r="E832" s="32"/>
      <c r="F832" s="67"/>
      <c r="G832" s="118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</row>
    <row r="833" ht="15.75" customHeight="1">
      <c r="A833" s="32"/>
      <c r="B833" s="65"/>
      <c r="C833" s="32"/>
      <c r="D833" s="32"/>
      <c r="E833" s="32"/>
      <c r="F833" s="67"/>
      <c r="G833" s="118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</row>
    <row r="834" ht="15.75" customHeight="1">
      <c r="A834" s="32"/>
      <c r="B834" s="65"/>
      <c r="C834" s="32"/>
      <c r="D834" s="32"/>
      <c r="E834" s="32"/>
      <c r="F834" s="67"/>
      <c r="G834" s="118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</row>
    <row r="835" ht="15.75" customHeight="1">
      <c r="A835" s="32"/>
      <c r="B835" s="65"/>
      <c r="C835" s="32"/>
      <c r="D835" s="32"/>
      <c r="E835" s="32"/>
      <c r="F835" s="67"/>
      <c r="G835" s="118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</row>
    <row r="836" ht="15.75" customHeight="1">
      <c r="A836" s="32"/>
      <c r="B836" s="65"/>
      <c r="C836" s="32"/>
      <c r="D836" s="32"/>
      <c r="E836" s="32"/>
      <c r="F836" s="67"/>
      <c r="G836" s="118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</row>
    <row r="837" ht="15.75" customHeight="1">
      <c r="A837" s="32"/>
      <c r="B837" s="65"/>
      <c r="C837" s="32"/>
      <c r="D837" s="32"/>
      <c r="E837" s="32"/>
      <c r="F837" s="67"/>
      <c r="G837" s="118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</row>
    <row r="838" ht="15.75" customHeight="1">
      <c r="A838" s="32"/>
      <c r="B838" s="65"/>
      <c r="C838" s="32"/>
      <c r="D838" s="32"/>
      <c r="E838" s="32"/>
      <c r="F838" s="67"/>
      <c r="G838" s="118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</row>
    <row r="839" ht="15.75" customHeight="1">
      <c r="A839" s="32"/>
      <c r="B839" s="65"/>
      <c r="C839" s="32"/>
      <c r="D839" s="32"/>
      <c r="E839" s="32"/>
      <c r="F839" s="67"/>
      <c r="G839" s="118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</row>
    <row r="840" ht="15.75" customHeight="1">
      <c r="A840" s="32"/>
      <c r="B840" s="65"/>
      <c r="C840" s="32"/>
      <c r="D840" s="32"/>
      <c r="E840" s="32"/>
      <c r="F840" s="67"/>
      <c r="G840" s="118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</row>
    <row r="841" ht="15.75" customHeight="1">
      <c r="A841" s="32"/>
      <c r="B841" s="65"/>
      <c r="C841" s="32"/>
      <c r="D841" s="32"/>
      <c r="E841" s="32"/>
      <c r="F841" s="67"/>
      <c r="G841" s="118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</row>
    <row r="842" ht="15.75" customHeight="1">
      <c r="A842" s="32"/>
      <c r="B842" s="65"/>
      <c r="C842" s="32"/>
      <c r="D842" s="32"/>
      <c r="E842" s="32"/>
      <c r="F842" s="67"/>
      <c r="G842" s="118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</row>
    <row r="843" ht="15.75" customHeight="1">
      <c r="A843" s="32"/>
      <c r="B843" s="65"/>
      <c r="C843" s="32"/>
      <c r="D843" s="32"/>
      <c r="E843" s="32"/>
      <c r="F843" s="67"/>
      <c r="G843" s="118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</row>
    <row r="844" ht="15.75" customHeight="1">
      <c r="A844" s="32"/>
      <c r="B844" s="65"/>
      <c r="C844" s="32"/>
      <c r="D844" s="32"/>
      <c r="E844" s="32"/>
      <c r="F844" s="67"/>
      <c r="G844" s="118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</row>
    <row r="845" ht="15.75" customHeight="1">
      <c r="A845" s="32"/>
      <c r="B845" s="65"/>
      <c r="C845" s="32"/>
      <c r="D845" s="32"/>
      <c r="E845" s="32"/>
      <c r="F845" s="67"/>
      <c r="G845" s="118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</row>
    <row r="846" ht="15.75" customHeight="1">
      <c r="A846" s="32"/>
      <c r="B846" s="65"/>
      <c r="C846" s="32"/>
      <c r="D846" s="32"/>
      <c r="E846" s="32"/>
      <c r="F846" s="67"/>
      <c r="G846" s="118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</row>
    <row r="847" ht="15.75" customHeight="1">
      <c r="A847" s="32"/>
      <c r="B847" s="65"/>
      <c r="C847" s="32"/>
      <c r="D847" s="32"/>
      <c r="E847" s="32"/>
      <c r="F847" s="67"/>
      <c r="G847" s="118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</row>
    <row r="848" ht="15.75" customHeight="1">
      <c r="A848" s="32"/>
      <c r="B848" s="65"/>
      <c r="C848" s="32"/>
      <c r="D848" s="32"/>
      <c r="E848" s="32"/>
      <c r="F848" s="67"/>
      <c r="G848" s="118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</row>
    <row r="849" ht="15.75" customHeight="1">
      <c r="A849" s="32"/>
      <c r="B849" s="65"/>
      <c r="C849" s="32"/>
      <c r="D849" s="32"/>
      <c r="E849" s="32"/>
      <c r="F849" s="67"/>
      <c r="G849" s="118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</row>
    <row r="850" ht="15.75" customHeight="1">
      <c r="A850" s="32"/>
      <c r="B850" s="65"/>
      <c r="C850" s="32"/>
      <c r="D850" s="32"/>
      <c r="E850" s="32"/>
      <c r="F850" s="67"/>
      <c r="G850" s="118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</row>
    <row r="851" ht="15.75" customHeight="1">
      <c r="A851" s="32"/>
      <c r="B851" s="65"/>
      <c r="C851" s="32"/>
      <c r="D851" s="32"/>
      <c r="E851" s="32"/>
      <c r="F851" s="67"/>
      <c r="G851" s="118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</row>
    <row r="852" ht="15.75" customHeight="1">
      <c r="A852" s="32"/>
      <c r="B852" s="65"/>
      <c r="C852" s="32"/>
      <c r="D852" s="32"/>
      <c r="E852" s="32"/>
      <c r="F852" s="67"/>
      <c r="G852" s="118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</row>
    <row r="853" ht="15.75" customHeight="1">
      <c r="A853" s="32"/>
      <c r="B853" s="65"/>
      <c r="C853" s="32"/>
      <c r="D853" s="32"/>
      <c r="E853" s="32"/>
      <c r="F853" s="67"/>
      <c r="G853" s="118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</row>
    <row r="854" ht="15.75" customHeight="1">
      <c r="A854" s="32"/>
      <c r="B854" s="65"/>
      <c r="C854" s="32"/>
      <c r="D854" s="32"/>
      <c r="E854" s="32"/>
      <c r="F854" s="67"/>
      <c r="G854" s="118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</row>
    <row r="855" ht="15.75" customHeight="1">
      <c r="A855" s="32"/>
      <c r="B855" s="65"/>
      <c r="C855" s="32"/>
      <c r="D855" s="32"/>
      <c r="E855" s="32"/>
      <c r="F855" s="67"/>
      <c r="G855" s="118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</row>
    <row r="856" ht="15.75" customHeight="1">
      <c r="A856" s="32"/>
      <c r="B856" s="65"/>
      <c r="C856" s="32"/>
      <c r="D856" s="32"/>
      <c r="E856" s="32"/>
      <c r="F856" s="67"/>
      <c r="G856" s="118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</row>
    <row r="857" ht="15.75" customHeight="1">
      <c r="A857" s="32"/>
      <c r="B857" s="65"/>
      <c r="C857" s="32"/>
      <c r="D857" s="32"/>
      <c r="E857" s="32"/>
      <c r="F857" s="67"/>
      <c r="G857" s="118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</row>
    <row r="858" ht="15.75" customHeight="1">
      <c r="A858" s="32"/>
      <c r="B858" s="65"/>
      <c r="C858" s="32"/>
      <c r="D858" s="32"/>
      <c r="E858" s="32"/>
      <c r="F858" s="67"/>
      <c r="G858" s="118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</row>
    <row r="859" ht="15.75" customHeight="1">
      <c r="A859" s="32"/>
      <c r="B859" s="65"/>
      <c r="C859" s="32"/>
      <c r="D859" s="32"/>
      <c r="E859" s="32"/>
      <c r="F859" s="67"/>
      <c r="G859" s="118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</row>
    <row r="860" ht="15.75" customHeight="1">
      <c r="A860" s="32"/>
      <c r="B860" s="65"/>
      <c r="C860" s="32"/>
      <c r="D860" s="32"/>
      <c r="E860" s="32"/>
      <c r="F860" s="67"/>
      <c r="G860" s="118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</row>
    <row r="861" ht="15.75" customHeight="1">
      <c r="A861" s="32"/>
      <c r="B861" s="65"/>
      <c r="C861" s="32"/>
      <c r="D861" s="32"/>
      <c r="E861" s="32"/>
      <c r="F861" s="67"/>
      <c r="G861" s="118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</row>
    <row r="862" ht="15.75" customHeight="1">
      <c r="A862" s="32"/>
      <c r="B862" s="65"/>
      <c r="C862" s="32"/>
      <c r="D862" s="32"/>
      <c r="E862" s="32"/>
      <c r="F862" s="67"/>
      <c r="G862" s="118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</row>
    <row r="863" ht="15.75" customHeight="1">
      <c r="A863" s="32"/>
      <c r="B863" s="65"/>
      <c r="C863" s="32"/>
      <c r="D863" s="32"/>
      <c r="E863" s="32"/>
      <c r="F863" s="67"/>
      <c r="G863" s="118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</row>
    <row r="864" ht="15.75" customHeight="1">
      <c r="A864" s="32"/>
      <c r="B864" s="65"/>
      <c r="C864" s="32"/>
      <c r="D864" s="32"/>
      <c r="E864" s="32"/>
      <c r="F864" s="67"/>
      <c r="G864" s="118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</row>
    <row r="865" ht="15.75" customHeight="1">
      <c r="A865" s="32"/>
      <c r="B865" s="65"/>
      <c r="C865" s="32"/>
      <c r="D865" s="32"/>
      <c r="E865" s="32"/>
      <c r="F865" s="67"/>
      <c r="G865" s="118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</row>
    <row r="866" ht="15.75" customHeight="1">
      <c r="A866" s="32"/>
      <c r="B866" s="65"/>
      <c r="C866" s="32"/>
      <c r="D866" s="32"/>
      <c r="E866" s="32"/>
      <c r="F866" s="67"/>
      <c r="G866" s="118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</row>
    <row r="867" ht="15.75" customHeight="1">
      <c r="A867" s="32"/>
      <c r="B867" s="65"/>
      <c r="C867" s="32"/>
      <c r="D867" s="32"/>
      <c r="E867" s="32"/>
      <c r="F867" s="67"/>
      <c r="G867" s="118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</row>
    <row r="868" ht="15.75" customHeight="1">
      <c r="A868" s="32"/>
      <c r="B868" s="65"/>
      <c r="C868" s="32"/>
      <c r="D868" s="32"/>
      <c r="E868" s="32"/>
      <c r="F868" s="67"/>
      <c r="G868" s="118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</row>
    <row r="869" ht="15.75" customHeight="1">
      <c r="A869" s="32"/>
      <c r="B869" s="65"/>
      <c r="C869" s="32"/>
      <c r="D869" s="32"/>
      <c r="E869" s="32"/>
      <c r="F869" s="67"/>
      <c r="G869" s="118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</row>
    <row r="870" ht="15.75" customHeight="1">
      <c r="A870" s="32"/>
      <c r="B870" s="65"/>
      <c r="C870" s="32"/>
      <c r="D870" s="32"/>
      <c r="E870" s="32"/>
      <c r="F870" s="67"/>
      <c r="G870" s="118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</row>
    <row r="871" ht="15.75" customHeight="1">
      <c r="A871" s="32"/>
      <c r="B871" s="65"/>
      <c r="C871" s="32"/>
      <c r="D871" s="32"/>
      <c r="E871" s="32"/>
      <c r="F871" s="67"/>
      <c r="G871" s="118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</row>
    <row r="872" ht="15.75" customHeight="1">
      <c r="A872" s="32"/>
      <c r="B872" s="65"/>
      <c r="C872" s="32"/>
      <c r="D872" s="32"/>
      <c r="E872" s="32"/>
      <c r="F872" s="67"/>
      <c r="G872" s="118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</row>
    <row r="873" ht="15.75" customHeight="1">
      <c r="A873" s="32"/>
      <c r="B873" s="65"/>
      <c r="C873" s="32"/>
      <c r="D873" s="32"/>
      <c r="E873" s="32"/>
      <c r="F873" s="67"/>
      <c r="G873" s="118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</row>
    <row r="874" ht="15.75" customHeight="1">
      <c r="A874" s="32"/>
      <c r="B874" s="65"/>
      <c r="C874" s="32"/>
      <c r="D874" s="32"/>
      <c r="E874" s="32"/>
      <c r="F874" s="67"/>
      <c r="G874" s="118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</row>
    <row r="875" ht="15.75" customHeight="1">
      <c r="A875" s="32"/>
      <c r="B875" s="65"/>
      <c r="C875" s="32"/>
      <c r="D875" s="32"/>
      <c r="E875" s="32"/>
      <c r="F875" s="67"/>
      <c r="G875" s="118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</row>
    <row r="876" ht="15.75" customHeight="1">
      <c r="A876" s="32"/>
      <c r="B876" s="65"/>
      <c r="C876" s="32"/>
      <c r="D876" s="32"/>
      <c r="E876" s="32"/>
      <c r="F876" s="67"/>
      <c r="G876" s="118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</row>
    <row r="877" ht="15.75" customHeight="1">
      <c r="A877" s="32"/>
      <c r="B877" s="65"/>
      <c r="C877" s="32"/>
      <c r="D877" s="32"/>
      <c r="E877" s="32"/>
      <c r="F877" s="67"/>
      <c r="G877" s="118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</row>
    <row r="878" ht="15.75" customHeight="1">
      <c r="A878" s="32"/>
      <c r="B878" s="65"/>
      <c r="C878" s="32"/>
      <c r="D878" s="32"/>
      <c r="E878" s="32"/>
      <c r="F878" s="67"/>
      <c r="G878" s="118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</row>
    <row r="879" ht="15.75" customHeight="1">
      <c r="A879" s="32"/>
      <c r="B879" s="65"/>
      <c r="C879" s="32"/>
      <c r="D879" s="32"/>
      <c r="E879" s="32"/>
      <c r="F879" s="67"/>
      <c r="G879" s="118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</row>
    <row r="880" ht="15.75" customHeight="1">
      <c r="A880" s="32"/>
      <c r="B880" s="65"/>
      <c r="C880" s="32"/>
      <c r="D880" s="32"/>
      <c r="E880" s="32"/>
      <c r="F880" s="67"/>
      <c r="G880" s="118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</row>
    <row r="881" ht="15.75" customHeight="1">
      <c r="A881" s="32"/>
      <c r="B881" s="65"/>
      <c r="C881" s="32"/>
      <c r="D881" s="32"/>
      <c r="E881" s="32"/>
      <c r="F881" s="67"/>
      <c r="G881" s="118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</row>
    <row r="882" ht="15.75" customHeight="1">
      <c r="A882" s="32"/>
      <c r="B882" s="65"/>
      <c r="C882" s="32"/>
      <c r="D882" s="32"/>
      <c r="E882" s="32"/>
      <c r="F882" s="67"/>
      <c r="G882" s="118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</row>
    <row r="883" ht="15.75" customHeight="1">
      <c r="A883" s="32"/>
      <c r="B883" s="65"/>
      <c r="C883" s="32"/>
      <c r="D883" s="32"/>
      <c r="E883" s="32"/>
      <c r="F883" s="67"/>
      <c r="G883" s="118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</row>
    <row r="884" ht="15.75" customHeight="1">
      <c r="A884" s="32"/>
      <c r="B884" s="65"/>
      <c r="C884" s="32"/>
      <c r="D884" s="32"/>
      <c r="E884" s="32"/>
      <c r="F884" s="67"/>
      <c r="G884" s="118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</row>
    <row r="885" ht="15.75" customHeight="1">
      <c r="A885" s="32"/>
      <c r="B885" s="65"/>
      <c r="C885" s="32"/>
      <c r="D885" s="32"/>
      <c r="E885" s="32"/>
      <c r="F885" s="67"/>
      <c r="G885" s="118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</row>
    <row r="886" ht="15.75" customHeight="1">
      <c r="A886" s="32"/>
      <c r="B886" s="65"/>
      <c r="C886" s="32"/>
      <c r="D886" s="32"/>
      <c r="E886" s="32"/>
      <c r="F886" s="67"/>
      <c r="G886" s="118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</row>
    <row r="887" ht="15.75" customHeight="1">
      <c r="A887" s="32"/>
      <c r="B887" s="65"/>
      <c r="C887" s="32"/>
      <c r="D887" s="32"/>
      <c r="E887" s="32"/>
      <c r="F887" s="67"/>
      <c r="G887" s="118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</row>
    <row r="888" ht="15.75" customHeight="1">
      <c r="A888" s="32"/>
      <c r="B888" s="65"/>
      <c r="C888" s="32"/>
      <c r="D888" s="32"/>
      <c r="E888" s="32"/>
      <c r="F888" s="67"/>
      <c r="G888" s="118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</row>
    <row r="889" ht="15.75" customHeight="1">
      <c r="A889" s="32"/>
      <c r="B889" s="65"/>
      <c r="C889" s="32"/>
      <c r="D889" s="32"/>
      <c r="E889" s="32"/>
      <c r="F889" s="67"/>
      <c r="G889" s="118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</row>
    <row r="890" ht="15.75" customHeight="1">
      <c r="A890" s="32"/>
      <c r="B890" s="65"/>
      <c r="C890" s="32"/>
      <c r="D890" s="32"/>
      <c r="E890" s="32"/>
      <c r="F890" s="67"/>
      <c r="G890" s="118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</row>
    <row r="891" ht="15.75" customHeight="1">
      <c r="A891" s="32"/>
      <c r="B891" s="65"/>
      <c r="C891" s="32"/>
      <c r="D891" s="32"/>
      <c r="E891" s="32"/>
      <c r="F891" s="67"/>
      <c r="G891" s="118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</row>
    <row r="892" ht="15.75" customHeight="1">
      <c r="A892" s="32"/>
      <c r="B892" s="65"/>
      <c r="C892" s="32"/>
      <c r="D892" s="32"/>
      <c r="E892" s="32"/>
      <c r="F892" s="67"/>
      <c r="G892" s="118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</row>
    <row r="893" ht="15.75" customHeight="1">
      <c r="A893" s="32"/>
      <c r="B893" s="65"/>
      <c r="C893" s="32"/>
      <c r="D893" s="32"/>
      <c r="E893" s="32"/>
      <c r="F893" s="67"/>
      <c r="G893" s="118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</row>
    <row r="894" ht="15.75" customHeight="1">
      <c r="A894" s="32"/>
      <c r="B894" s="65"/>
      <c r="C894" s="32"/>
      <c r="D894" s="32"/>
      <c r="E894" s="32"/>
      <c r="F894" s="67"/>
      <c r="G894" s="118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</row>
    <row r="895" ht="15.75" customHeight="1">
      <c r="A895" s="32"/>
      <c r="B895" s="65"/>
      <c r="C895" s="32"/>
      <c r="D895" s="32"/>
      <c r="E895" s="32"/>
      <c r="F895" s="67"/>
      <c r="G895" s="118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</row>
    <row r="896" ht="15.75" customHeight="1">
      <c r="A896" s="32"/>
      <c r="B896" s="65"/>
      <c r="C896" s="32"/>
      <c r="D896" s="32"/>
      <c r="E896" s="32"/>
      <c r="F896" s="67"/>
      <c r="G896" s="118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</row>
    <row r="897" ht="15.75" customHeight="1">
      <c r="A897" s="32"/>
      <c r="B897" s="65"/>
      <c r="C897" s="32"/>
      <c r="D897" s="32"/>
      <c r="E897" s="32"/>
      <c r="F897" s="67"/>
      <c r="G897" s="118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</row>
    <row r="898" ht="15.75" customHeight="1">
      <c r="A898" s="32"/>
      <c r="B898" s="65"/>
      <c r="C898" s="32"/>
      <c r="D898" s="32"/>
      <c r="E898" s="32"/>
      <c r="F898" s="67"/>
      <c r="G898" s="118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</row>
    <row r="899" ht="15.75" customHeight="1">
      <c r="A899" s="32"/>
      <c r="B899" s="65"/>
      <c r="C899" s="32"/>
      <c r="D899" s="32"/>
      <c r="E899" s="32"/>
      <c r="F899" s="67"/>
      <c r="G899" s="118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</row>
    <row r="900" ht="15.75" customHeight="1">
      <c r="A900" s="32"/>
      <c r="B900" s="65"/>
      <c r="C900" s="32"/>
      <c r="D900" s="32"/>
      <c r="E900" s="32"/>
      <c r="F900" s="67"/>
      <c r="G900" s="118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</row>
    <row r="901" ht="15.75" customHeight="1">
      <c r="A901" s="32"/>
      <c r="B901" s="65"/>
      <c r="C901" s="32"/>
      <c r="D901" s="32"/>
      <c r="E901" s="32"/>
      <c r="F901" s="67"/>
      <c r="G901" s="118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</row>
    <row r="902" ht="15.75" customHeight="1">
      <c r="A902" s="32"/>
      <c r="B902" s="65"/>
      <c r="C902" s="32"/>
      <c r="D902" s="32"/>
      <c r="E902" s="32"/>
      <c r="F902" s="67"/>
      <c r="G902" s="118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</row>
    <row r="903" ht="15.75" customHeight="1">
      <c r="A903" s="32"/>
      <c r="B903" s="65"/>
      <c r="C903" s="32"/>
      <c r="D903" s="32"/>
      <c r="E903" s="32"/>
      <c r="F903" s="67"/>
      <c r="G903" s="118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</row>
    <row r="904" ht="15.75" customHeight="1">
      <c r="A904" s="32"/>
      <c r="B904" s="65"/>
      <c r="C904" s="32"/>
      <c r="D904" s="32"/>
      <c r="E904" s="32"/>
      <c r="F904" s="67"/>
      <c r="G904" s="118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</row>
    <row r="905" ht="15.75" customHeight="1">
      <c r="A905" s="32"/>
      <c r="B905" s="65"/>
      <c r="C905" s="32"/>
      <c r="D905" s="32"/>
      <c r="E905" s="32"/>
      <c r="F905" s="67"/>
      <c r="G905" s="118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</row>
    <row r="906" ht="15.75" customHeight="1">
      <c r="A906" s="32"/>
      <c r="B906" s="65"/>
      <c r="C906" s="32"/>
      <c r="D906" s="32"/>
      <c r="E906" s="32"/>
      <c r="F906" s="67"/>
      <c r="G906" s="118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</row>
    <row r="907" ht="15.75" customHeight="1">
      <c r="A907" s="32"/>
      <c r="B907" s="65"/>
      <c r="C907" s="32"/>
      <c r="D907" s="32"/>
      <c r="E907" s="32"/>
      <c r="F907" s="67"/>
      <c r="G907" s="118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</row>
    <row r="908" ht="15.75" customHeight="1">
      <c r="A908" s="32"/>
      <c r="B908" s="65"/>
      <c r="C908" s="32"/>
      <c r="D908" s="32"/>
      <c r="E908" s="32"/>
      <c r="F908" s="67"/>
      <c r="G908" s="118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</row>
    <row r="909" ht="15.75" customHeight="1">
      <c r="A909" s="32"/>
      <c r="B909" s="65"/>
      <c r="C909" s="32"/>
      <c r="D909" s="32"/>
      <c r="E909" s="32"/>
      <c r="F909" s="67"/>
      <c r="G909" s="118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</row>
    <row r="910" ht="15.75" customHeight="1">
      <c r="A910" s="32"/>
      <c r="B910" s="65"/>
      <c r="C910" s="32"/>
      <c r="D910" s="32"/>
      <c r="E910" s="32"/>
      <c r="F910" s="67"/>
      <c r="G910" s="118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</row>
    <row r="911" ht="15.75" customHeight="1">
      <c r="A911" s="32"/>
      <c r="B911" s="65"/>
      <c r="C911" s="32"/>
      <c r="D911" s="32"/>
      <c r="E911" s="32"/>
      <c r="F911" s="67"/>
      <c r="G911" s="118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</row>
    <row r="912" ht="15.75" customHeight="1">
      <c r="A912" s="32"/>
      <c r="B912" s="65"/>
      <c r="C912" s="32"/>
      <c r="D912" s="32"/>
      <c r="E912" s="32"/>
      <c r="F912" s="67"/>
      <c r="G912" s="118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</row>
    <row r="913" ht="15.75" customHeight="1">
      <c r="A913" s="32"/>
      <c r="B913" s="65"/>
      <c r="C913" s="32"/>
      <c r="D913" s="32"/>
      <c r="E913" s="32"/>
      <c r="F913" s="67"/>
      <c r="G913" s="118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</row>
    <row r="914" ht="15.75" customHeight="1">
      <c r="A914" s="32"/>
      <c r="B914" s="65"/>
      <c r="C914" s="32"/>
      <c r="D914" s="32"/>
      <c r="E914" s="32"/>
      <c r="F914" s="67"/>
      <c r="G914" s="118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</row>
    <row r="915" ht="15.75" customHeight="1">
      <c r="A915" s="32"/>
      <c r="B915" s="65"/>
      <c r="C915" s="32"/>
      <c r="D915" s="32"/>
      <c r="E915" s="32"/>
      <c r="F915" s="67"/>
      <c r="G915" s="118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</row>
    <row r="916" ht="15.75" customHeight="1">
      <c r="A916" s="32"/>
      <c r="B916" s="65"/>
      <c r="C916" s="32"/>
      <c r="D916" s="32"/>
      <c r="E916" s="32"/>
      <c r="F916" s="67"/>
      <c r="G916" s="118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</row>
    <row r="917" ht="15.75" customHeight="1">
      <c r="A917" s="32"/>
      <c r="B917" s="65"/>
      <c r="C917" s="32"/>
      <c r="D917" s="32"/>
      <c r="E917" s="32"/>
      <c r="F917" s="67"/>
      <c r="G917" s="118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</row>
    <row r="918" ht="15.75" customHeight="1">
      <c r="A918" s="32"/>
      <c r="B918" s="65"/>
      <c r="C918" s="32"/>
      <c r="D918" s="32"/>
      <c r="E918" s="32"/>
      <c r="F918" s="67"/>
      <c r="G918" s="118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</row>
    <row r="919" ht="15.75" customHeight="1">
      <c r="A919" s="32"/>
      <c r="B919" s="65"/>
      <c r="C919" s="32"/>
      <c r="D919" s="32"/>
      <c r="E919" s="32"/>
      <c r="F919" s="67"/>
      <c r="G919" s="118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</row>
    <row r="920" ht="15.75" customHeight="1">
      <c r="A920" s="32"/>
      <c r="B920" s="65"/>
      <c r="C920" s="32"/>
      <c r="D920" s="32"/>
      <c r="E920" s="32"/>
      <c r="F920" s="67"/>
      <c r="G920" s="118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</row>
    <row r="921" ht="15.75" customHeight="1">
      <c r="A921" s="32"/>
      <c r="B921" s="65"/>
      <c r="C921" s="32"/>
      <c r="D921" s="32"/>
      <c r="E921" s="32"/>
      <c r="F921" s="67"/>
      <c r="G921" s="118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</row>
    <row r="922" ht="15.75" customHeight="1">
      <c r="A922" s="32"/>
      <c r="B922" s="65"/>
      <c r="C922" s="32"/>
      <c r="D922" s="32"/>
      <c r="E922" s="32"/>
      <c r="F922" s="67"/>
      <c r="G922" s="118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</row>
    <row r="923" ht="15.75" customHeight="1">
      <c r="A923" s="32"/>
      <c r="B923" s="65"/>
      <c r="C923" s="32"/>
      <c r="D923" s="32"/>
      <c r="E923" s="32"/>
      <c r="F923" s="67"/>
      <c r="G923" s="118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</row>
    <row r="924" ht="15.75" customHeight="1">
      <c r="A924" s="32"/>
      <c r="B924" s="65"/>
      <c r="C924" s="32"/>
      <c r="D924" s="32"/>
      <c r="E924" s="32"/>
      <c r="F924" s="67"/>
      <c r="G924" s="118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</row>
    <row r="925" ht="15.75" customHeight="1">
      <c r="A925" s="32"/>
      <c r="B925" s="65"/>
      <c r="C925" s="32"/>
      <c r="D925" s="32"/>
      <c r="E925" s="32"/>
      <c r="F925" s="67"/>
      <c r="G925" s="118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</row>
    <row r="926" ht="15.75" customHeight="1">
      <c r="A926" s="32"/>
      <c r="B926" s="65"/>
      <c r="C926" s="32"/>
      <c r="D926" s="32"/>
      <c r="E926" s="32"/>
      <c r="F926" s="67"/>
      <c r="G926" s="118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</row>
    <row r="927" ht="15.75" customHeight="1">
      <c r="A927" s="32"/>
      <c r="B927" s="65"/>
      <c r="C927" s="32"/>
      <c r="D927" s="32"/>
      <c r="E927" s="32"/>
      <c r="F927" s="67"/>
      <c r="G927" s="118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</row>
    <row r="928" ht="15.75" customHeight="1">
      <c r="A928" s="32"/>
      <c r="B928" s="65"/>
      <c r="C928" s="32"/>
      <c r="D928" s="32"/>
      <c r="E928" s="32"/>
      <c r="F928" s="67"/>
      <c r="G928" s="118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</row>
    <row r="929" ht="15.75" customHeight="1">
      <c r="A929" s="32"/>
      <c r="B929" s="65"/>
      <c r="C929" s="32"/>
      <c r="D929" s="32"/>
      <c r="E929" s="32"/>
      <c r="F929" s="67"/>
      <c r="G929" s="118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</row>
    <row r="930" ht="15.75" customHeight="1">
      <c r="A930" s="32"/>
      <c r="B930" s="65"/>
      <c r="C930" s="32"/>
      <c r="D930" s="32"/>
      <c r="E930" s="32"/>
      <c r="F930" s="67"/>
      <c r="G930" s="118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</row>
    <row r="931" ht="15.75" customHeight="1">
      <c r="A931" s="32"/>
      <c r="B931" s="65"/>
      <c r="C931" s="32"/>
      <c r="D931" s="32"/>
      <c r="E931" s="32"/>
      <c r="F931" s="67"/>
      <c r="G931" s="118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</row>
    <row r="932" ht="15.75" customHeight="1">
      <c r="A932" s="32"/>
      <c r="B932" s="65"/>
      <c r="C932" s="32"/>
      <c r="D932" s="32"/>
      <c r="E932" s="32"/>
      <c r="F932" s="67"/>
      <c r="G932" s="118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</row>
    <row r="933" ht="15.75" customHeight="1">
      <c r="A933" s="32"/>
      <c r="B933" s="65"/>
      <c r="C933" s="32"/>
      <c r="D933" s="32"/>
      <c r="E933" s="32"/>
      <c r="F933" s="67"/>
      <c r="G933" s="118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</row>
    <row r="934" ht="15.75" customHeight="1">
      <c r="A934" s="32"/>
      <c r="B934" s="65"/>
      <c r="C934" s="32"/>
      <c r="D934" s="32"/>
      <c r="E934" s="32"/>
      <c r="F934" s="67"/>
      <c r="G934" s="118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</row>
    <row r="935" ht="15.75" customHeight="1">
      <c r="A935" s="32"/>
      <c r="B935" s="65"/>
      <c r="C935" s="32"/>
      <c r="D935" s="32"/>
      <c r="E935" s="32"/>
      <c r="F935" s="67"/>
      <c r="G935" s="118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</row>
    <row r="936" ht="15.75" customHeight="1">
      <c r="A936" s="32"/>
      <c r="B936" s="65"/>
      <c r="C936" s="32"/>
      <c r="D936" s="32"/>
      <c r="E936" s="32"/>
      <c r="F936" s="67"/>
      <c r="G936" s="118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</row>
    <row r="937" ht="15.75" customHeight="1">
      <c r="A937" s="32"/>
      <c r="B937" s="65"/>
      <c r="C937" s="32"/>
      <c r="D937" s="32"/>
      <c r="E937" s="32"/>
      <c r="F937" s="67"/>
      <c r="G937" s="118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</row>
    <row r="938" ht="15.75" customHeight="1">
      <c r="A938" s="32"/>
      <c r="B938" s="65"/>
      <c r="C938" s="32"/>
      <c r="D938" s="32"/>
      <c r="E938" s="32"/>
      <c r="F938" s="67"/>
      <c r="G938" s="118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</row>
    <row r="939" ht="15.75" customHeight="1">
      <c r="A939" s="32"/>
      <c r="B939" s="65"/>
      <c r="C939" s="32"/>
      <c r="D939" s="32"/>
      <c r="E939" s="32"/>
      <c r="F939" s="67"/>
      <c r="G939" s="118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</row>
    <row r="940" ht="15.75" customHeight="1">
      <c r="A940" s="32"/>
      <c r="B940" s="65"/>
      <c r="C940" s="32"/>
      <c r="D940" s="32"/>
      <c r="E940" s="32"/>
      <c r="F940" s="67"/>
      <c r="G940" s="118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</row>
    <row r="941" ht="15.75" customHeight="1">
      <c r="A941" s="32"/>
      <c r="B941" s="65"/>
      <c r="C941" s="32"/>
      <c r="D941" s="32"/>
      <c r="E941" s="32"/>
      <c r="F941" s="67"/>
      <c r="G941" s="118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</row>
    <row r="942" ht="15.75" customHeight="1">
      <c r="A942" s="32"/>
      <c r="B942" s="65"/>
      <c r="C942" s="32"/>
      <c r="D942" s="32"/>
      <c r="E942" s="32"/>
      <c r="F942" s="67"/>
      <c r="G942" s="118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</row>
    <row r="943" ht="15.75" customHeight="1">
      <c r="A943" s="32"/>
      <c r="B943" s="65"/>
      <c r="C943" s="32"/>
      <c r="D943" s="32"/>
      <c r="E943" s="32"/>
      <c r="F943" s="67"/>
      <c r="G943" s="118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</row>
    <row r="944" ht="15.75" customHeight="1">
      <c r="A944" s="32"/>
      <c r="B944" s="65"/>
      <c r="C944" s="32"/>
      <c r="D944" s="32"/>
      <c r="E944" s="32"/>
      <c r="F944" s="67"/>
      <c r="G944" s="118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</row>
    <row r="945" ht="15.75" customHeight="1">
      <c r="A945" s="32"/>
      <c r="B945" s="65"/>
      <c r="C945" s="32"/>
      <c r="D945" s="32"/>
      <c r="E945" s="32"/>
      <c r="F945" s="67"/>
      <c r="G945" s="118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</row>
    <row r="946" ht="15.75" customHeight="1">
      <c r="A946" s="32"/>
      <c r="B946" s="65"/>
      <c r="C946" s="32"/>
      <c r="D946" s="32"/>
      <c r="E946" s="32"/>
      <c r="F946" s="67"/>
      <c r="G946" s="118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</row>
    <row r="947" ht="15.75" customHeight="1">
      <c r="A947" s="32"/>
      <c r="B947" s="65"/>
      <c r="C947" s="32"/>
      <c r="D947" s="32"/>
      <c r="E947" s="32"/>
      <c r="F947" s="67"/>
      <c r="G947" s="118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</row>
    <row r="948" ht="15.75" customHeight="1">
      <c r="A948" s="32"/>
      <c r="B948" s="65"/>
      <c r="C948" s="32"/>
      <c r="D948" s="32"/>
      <c r="E948" s="32"/>
      <c r="F948" s="67"/>
      <c r="G948" s="118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</row>
    <row r="949" ht="15.75" customHeight="1">
      <c r="A949" s="32"/>
      <c r="B949" s="65"/>
      <c r="C949" s="32"/>
      <c r="D949" s="32"/>
      <c r="E949" s="32"/>
      <c r="F949" s="67"/>
      <c r="G949" s="118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</row>
    <row r="950" ht="15.75" customHeight="1">
      <c r="A950" s="32"/>
      <c r="B950" s="65"/>
      <c r="C950" s="32"/>
      <c r="D950" s="32"/>
      <c r="E950" s="32"/>
      <c r="F950" s="67"/>
      <c r="G950" s="118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</row>
    <row r="951" ht="15.75" customHeight="1">
      <c r="A951" s="32"/>
      <c r="B951" s="65"/>
      <c r="C951" s="32"/>
      <c r="D951" s="32"/>
      <c r="E951" s="32"/>
      <c r="F951" s="67"/>
      <c r="G951" s="118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</row>
    <row r="952" ht="15.75" customHeight="1">
      <c r="A952" s="32"/>
      <c r="B952" s="65"/>
      <c r="C952" s="32"/>
      <c r="D952" s="32"/>
      <c r="E952" s="32"/>
      <c r="F952" s="67"/>
      <c r="G952" s="118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</row>
    <row r="953" ht="15.75" customHeight="1">
      <c r="A953" s="32"/>
      <c r="B953" s="65"/>
      <c r="C953" s="32"/>
      <c r="D953" s="32"/>
      <c r="E953" s="32"/>
      <c r="F953" s="67"/>
      <c r="G953" s="118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</row>
    <row r="954" ht="15.75" customHeight="1">
      <c r="A954" s="32"/>
      <c r="B954" s="65"/>
      <c r="C954" s="32"/>
      <c r="D954" s="32"/>
      <c r="E954" s="32"/>
      <c r="F954" s="67"/>
      <c r="G954" s="118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</row>
    <row r="955" ht="15.75" customHeight="1">
      <c r="A955" s="32"/>
      <c r="B955" s="65"/>
      <c r="C955" s="32"/>
      <c r="D955" s="32"/>
      <c r="E955" s="32"/>
      <c r="F955" s="67"/>
      <c r="G955" s="118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</row>
    <row r="956" ht="15.75" customHeight="1">
      <c r="A956" s="32"/>
      <c r="B956" s="65"/>
      <c r="C956" s="32"/>
      <c r="D956" s="32"/>
      <c r="E956" s="32"/>
      <c r="F956" s="67"/>
      <c r="G956" s="118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</row>
    <row r="957" ht="15.75" customHeight="1">
      <c r="A957" s="32"/>
      <c r="B957" s="65"/>
      <c r="C957" s="32"/>
      <c r="D957" s="32"/>
      <c r="E957" s="32"/>
      <c r="F957" s="67"/>
      <c r="G957" s="118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</row>
    <row r="958" ht="15.75" customHeight="1">
      <c r="A958" s="32"/>
      <c r="B958" s="65"/>
      <c r="C958" s="32"/>
      <c r="D958" s="32"/>
      <c r="E958" s="32"/>
      <c r="F958" s="67"/>
      <c r="G958" s="118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</row>
    <row r="959" ht="15.75" customHeight="1">
      <c r="A959" s="32"/>
      <c r="B959" s="65"/>
      <c r="C959" s="32"/>
      <c r="D959" s="32"/>
      <c r="E959" s="32"/>
      <c r="F959" s="67"/>
      <c r="G959" s="118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</row>
    <row r="960" ht="15.75" customHeight="1">
      <c r="A960" s="32"/>
      <c r="B960" s="65"/>
      <c r="C960" s="32"/>
      <c r="D960" s="32"/>
      <c r="E960" s="32"/>
      <c r="F960" s="67"/>
      <c r="G960" s="118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</row>
    <row r="961" ht="15.75" customHeight="1">
      <c r="A961" s="32"/>
      <c r="B961" s="65"/>
      <c r="C961" s="32"/>
      <c r="D961" s="32"/>
      <c r="E961" s="32"/>
      <c r="F961" s="67"/>
      <c r="G961" s="118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</row>
    <row r="962" ht="15.75" customHeight="1">
      <c r="A962" s="32"/>
      <c r="B962" s="65"/>
      <c r="C962" s="32"/>
      <c r="D962" s="32"/>
      <c r="E962" s="32"/>
      <c r="F962" s="67"/>
      <c r="G962" s="118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</row>
    <row r="963" ht="15.75" customHeight="1">
      <c r="A963" s="32"/>
      <c r="B963" s="65"/>
      <c r="C963" s="32"/>
      <c r="D963" s="32"/>
      <c r="E963" s="32"/>
      <c r="F963" s="67"/>
      <c r="G963" s="118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</row>
    <row r="964" ht="15.75" customHeight="1">
      <c r="A964" s="32"/>
      <c r="B964" s="65"/>
      <c r="C964" s="32"/>
      <c r="D964" s="32"/>
      <c r="E964" s="32"/>
      <c r="F964" s="67"/>
      <c r="G964" s="118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</row>
    <row r="965" ht="15.75" customHeight="1">
      <c r="A965" s="32"/>
      <c r="B965" s="65"/>
      <c r="C965" s="32"/>
      <c r="D965" s="32"/>
      <c r="E965" s="32"/>
      <c r="F965" s="67"/>
      <c r="G965" s="118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</row>
    <row r="966" ht="15.75" customHeight="1">
      <c r="A966" s="32"/>
      <c r="B966" s="65"/>
      <c r="C966" s="32"/>
      <c r="D966" s="32"/>
      <c r="E966" s="32"/>
      <c r="F966" s="67"/>
      <c r="G966" s="118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</row>
    <row r="967" ht="15.75" customHeight="1">
      <c r="A967" s="32"/>
      <c r="B967" s="65"/>
      <c r="C967" s="32"/>
      <c r="D967" s="32"/>
      <c r="E967" s="32"/>
      <c r="F967" s="67"/>
      <c r="G967" s="118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</row>
    <row r="968" ht="15.75" customHeight="1">
      <c r="A968" s="32"/>
      <c r="B968" s="65"/>
      <c r="C968" s="32"/>
      <c r="D968" s="32"/>
      <c r="E968" s="32"/>
      <c r="F968" s="67"/>
      <c r="G968" s="118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</row>
    <row r="969" ht="15.75" customHeight="1">
      <c r="A969" s="32"/>
      <c r="B969" s="65"/>
      <c r="C969" s="32"/>
      <c r="D969" s="32"/>
      <c r="E969" s="32"/>
      <c r="F969" s="67"/>
      <c r="G969" s="118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</row>
    <row r="970" ht="15.75" customHeight="1">
      <c r="A970" s="32"/>
      <c r="B970" s="65"/>
      <c r="C970" s="32"/>
      <c r="D970" s="32"/>
      <c r="E970" s="32"/>
      <c r="F970" s="67"/>
      <c r="G970" s="118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</row>
    <row r="971" ht="15.75" customHeight="1">
      <c r="A971" s="32"/>
      <c r="B971" s="65"/>
      <c r="C971" s="32"/>
      <c r="D971" s="32"/>
      <c r="E971" s="32"/>
      <c r="F971" s="67"/>
      <c r="G971" s="118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</row>
    <row r="972" ht="15.75" customHeight="1">
      <c r="A972" s="32"/>
      <c r="B972" s="65"/>
      <c r="C972" s="32"/>
      <c r="D972" s="32"/>
      <c r="E972" s="32"/>
      <c r="F972" s="67"/>
      <c r="G972" s="118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</row>
    <row r="973" ht="15.75" customHeight="1">
      <c r="A973" s="32"/>
      <c r="B973" s="65"/>
      <c r="C973" s="32"/>
      <c r="D973" s="32"/>
      <c r="E973" s="32"/>
      <c r="F973" s="67"/>
      <c r="G973" s="118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</row>
    <row r="974" ht="15.75" customHeight="1">
      <c r="A974" s="32"/>
      <c r="B974" s="65"/>
      <c r="C974" s="32"/>
      <c r="D974" s="32"/>
      <c r="E974" s="32"/>
      <c r="F974" s="67"/>
      <c r="G974" s="118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</row>
    <row r="975" ht="15.75" customHeight="1">
      <c r="A975" s="32"/>
      <c r="B975" s="65"/>
      <c r="C975" s="32"/>
      <c r="D975" s="32"/>
      <c r="E975" s="32"/>
      <c r="F975" s="67"/>
      <c r="G975" s="118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</row>
    <row r="976" ht="15.75" customHeight="1">
      <c r="A976" s="32"/>
      <c r="B976" s="65"/>
      <c r="C976" s="32"/>
      <c r="D976" s="32"/>
      <c r="E976" s="32"/>
      <c r="F976" s="67"/>
      <c r="G976" s="118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</row>
    <row r="977" ht="15.75" customHeight="1">
      <c r="A977" s="32"/>
      <c r="B977" s="65"/>
      <c r="C977" s="32"/>
      <c r="D977" s="32"/>
      <c r="E977" s="32"/>
      <c r="F977" s="67"/>
      <c r="G977" s="118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</row>
    <row r="978" ht="15.75" customHeight="1">
      <c r="A978" s="32"/>
      <c r="B978" s="65"/>
      <c r="C978" s="32"/>
      <c r="D978" s="32"/>
      <c r="E978" s="32"/>
      <c r="F978" s="67"/>
      <c r="G978" s="118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</row>
    <row r="979" ht="15.75" customHeight="1">
      <c r="A979" s="32"/>
      <c r="B979" s="65"/>
      <c r="C979" s="32"/>
      <c r="D979" s="32"/>
      <c r="E979" s="32"/>
      <c r="F979" s="67"/>
      <c r="G979" s="118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</row>
    <row r="980" ht="15.75" customHeight="1">
      <c r="A980" s="32"/>
      <c r="B980" s="65"/>
      <c r="C980" s="32"/>
      <c r="D980" s="32"/>
      <c r="E980" s="32"/>
      <c r="F980" s="67"/>
      <c r="G980" s="118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</row>
    <row r="981" ht="15.75" customHeight="1">
      <c r="A981" s="32"/>
      <c r="B981" s="65"/>
      <c r="C981" s="32"/>
      <c r="D981" s="32"/>
      <c r="E981" s="32"/>
      <c r="F981" s="67"/>
      <c r="G981" s="118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</row>
    <row r="982" ht="15.75" customHeight="1">
      <c r="A982" s="32"/>
      <c r="B982" s="65"/>
      <c r="C982" s="32"/>
      <c r="D982" s="32"/>
      <c r="E982" s="32"/>
      <c r="F982" s="67"/>
      <c r="G982" s="118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</row>
    <row r="983" ht="15.75" customHeight="1">
      <c r="A983" s="32"/>
      <c r="B983" s="65"/>
      <c r="C983" s="32"/>
      <c r="D983" s="32"/>
      <c r="E983" s="32"/>
      <c r="F983" s="67"/>
      <c r="G983" s="118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</row>
    <row r="984" ht="15.75" customHeight="1">
      <c r="A984" s="32"/>
      <c r="B984" s="65"/>
      <c r="C984" s="32"/>
      <c r="D984" s="32"/>
      <c r="E984" s="32"/>
      <c r="F984" s="67"/>
      <c r="G984" s="118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</row>
    <row r="985" ht="15.75" customHeight="1">
      <c r="A985" s="32"/>
      <c r="B985" s="65"/>
      <c r="C985" s="32"/>
      <c r="D985" s="32"/>
      <c r="E985" s="32"/>
      <c r="F985" s="67"/>
      <c r="G985" s="118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</row>
    <row r="986" ht="15.75" customHeight="1">
      <c r="A986" s="32"/>
      <c r="B986" s="65"/>
      <c r="C986" s="32"/>
      <c r="D986" s="32"/>
      <c r="E986" s="32"/>
      <c r="F986" s="67"/>
      <c r="G986" s="118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</row>
    <row r="987" ht="15.75" customHeight="1">
      <c r="A987" s="32"/>
      <c r="B987" s="65"/>
      <c r="C987" s="32"/>
      <c r="D987" s="32"/>
      <c r="E987" s="32"/>
      <c r="F987" s="67"/>
      <c r="G987" s="118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</row>
    <row r="988" ht="15.75" customHeight="1">
      <c r="A988" s="32"/>
      <c r="B988" s="65"/>
      <c r="C988" s="32"/>
      <c r="D988" s="32"/>
      <c r="E988" s="32"/>
      <c r="F988" s="67"/>
      <c r="G988" s="118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</row>
    <row r="989" ht="15.75" customHeight="1">
      <c r="A989" s="32"/>
      <c r="B989" s="65"/>
      <c r="C989" s="32"/>
      <c r="D989" s="32"/>
      <c r="E989" s="32"/>
      <c r="F989" s="67"/>
      <c r="G989" s="118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</row>
    <row r="990" ht="15.75" customHeight="1">
      <c r="A990" s="32"/>
      <c r="B990" s="65"/>
      <c r="C990" s="32"/>
      <c r="D990" s="32"/>
      <c r="E990" s="32"/>
      <c r="F990" s="67"/>
      <c r="G990" s="118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</row>
    <row r="991" ht="15.75" customHeight="1">
      <c r="A991" s="32"/>
      <c r="B991" s="65"/>
      <c r="C991" s="32"/>
      <c r="D991" s="32"/>
      <c r="E991" s="32"/>
      <c r="F991" s="67"/>
      <c r="G991" s="118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</row>
    <row r="992" ht="15.75" customHeight="1">
      <c r="A992" s="32"/>
      <c r="B992" s="65"/>
      <c r="C992" s="32"/>
      <c r="D992" s="32"/>
      <c r="E992" s="32"/>
      <c r="F992" s="67"/>
      <c r="G992" s="118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</row>
    <row r="993" ht="15.75" customHeight="1">
      <c r="A993" s="32"/>
      <c r="B993" s="65"/>
      <c r="C993" s="32"/>
      <c r="D993" s="32"/>
      <c r="E993" s="32"/>
      <c r="F993" s="67"/>
      <c r="G993" s="118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</row>
    <row r="994" ht="15.75" customHeight="1">
      <c r="A994" s="32"/>
      <c r="B994" s="65"/>
      <c r="C994" s="32"/>
      <c r="D994" s="32"/>
      <c r="E994" s="32"/>
      <c r="F994" s="67"/>
      <c r="G994" s="118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</row>
    <row r="995" ht="15.75" customHeight="1">
      <c r="A995" s="32"/>
      <c r="B995" s="65"/>
      <c r="C995" s="32"/>
      <c r="D995" s="32"/>
      <c r="E995" s="32"/>
      <c r="F995" s="67"/>
      <c r="G995" s="118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</row>
    <row r="996" ht="15.75" customHeight="1">
      <c r="A996" s="32"/>
      <c r="B996" s="65"/>
      <c r="C996" s="32"/>
      <c r="D996" s="32"/>
      <c r="E996" s="32"/>
      <c r="F996" s="67"/>
      <c r="G996" s="118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</row>
    <row r="997" ht="15.75" customHeight="1">
      <c r="A997" s="32"/>
      <c r="B997" s="65"/>
      <c r="C997" s="32"/>
      <c r="D997" s="32"/>
      <c r="E997" s="32"/>
      <c r="F997" s="67"/>
      <c r="G997" s="118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</row>
    <row r="998" ht="15.75" customHeight="1">
      <c r="A998" s="32"/>
      <c r="B998" s="65"/>
      <c r="C998" s="32"/>
      <c r="D998" s="32"/>
      <c r="E998" s="32"/>
      <c r="F998" s="67"/>
      <c r="G998" s="118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</row>
    <row r="999" ht="15.75" customHeight="1">
      <c r="A999" s="32"/>
      <c r="B999" s="65"/>
      <c r="C999" s="32"/>
      <c r="D999" s="32"/>
      <c r="E999" s="32"/>
      <c r="F999" s="67"/>
      <c r="G999" s="118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</row>
    <row r="1000" ht="15.75" customHeight="1">
      <c r="A1000" s="32"/>
      <c r="B1000" s="65"/>
      <c r="C1000" s="32"/>
      <c r="D1000" s="32"/>
      <c r="E1000" s="32"/>
      <c r="F1000" s="67"/>
      <c r="G1000" s="118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</row>
  </sheetData>
  <mergeCells count="1">
    <mergeCell ref="H4:H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8.13"/>
    <col customWidth="1" min="3" max="3" width="11.38"/>
    <col customWidth="1" hidden="1" min="4" max="4" width="21.13"/>
    <col customWidth="1" hidden="1" min="5" max="5" width="27.38"/>
    <col customWidth="1" min="6" max="6" width="28.25"/>
    <col customWidth="1" min="7" max="7" width="8.38"/>
    <col customWidth="1" min="8" max="8" width="13.63"/>
    <col customWidth="1" min="9" max="9" width="14.0"/>
    <col customWidth="1" min="10" max="10" width="5.0"/>
    <col customWidth="1" min="11" max="11" width="44.38"/>
    <col customWidth="1" min="12" max="12" width="15.63"/>
    <col customWidth="1" min="13" max="28" width="7.63"/>
  </cols>
  <sheetData>
    <row r="1">
      <c r="A1" s="136"/>
      <c r="B1" s="137"/>
      <c r="C1" s="137"/>
      <c r="D1" s="136"/>
      <c r="E1" s="136"/>
      <c r="F1" s="136"/>
      <c r="G1" s="136"/>
      <c r="H1" s="138"/>
      <c r="I1" s="138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</row>
    <row r="2">
      <c r="A2" s="136"/>
      <c r="B2" s="119" t="s">
        <v>191</v>
      </c>
      <c r="C2" s="119"/>
      <c r="D2" s="136"/>
      <c r="E2" s="136"/>
      <c r="F2" s="136"/>
      <c r="G2" s="136"/>
      <c r="H2" s="138"/>
      <c r="I2" s="138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>
      <c r="A3" s="139"/>
      <c r="B3" s="140" t="s">
        <v>20</v>
      </c>
      <c r="C3" s="141" t="s">
        <v>22</v>
      </c>
      <c r="D3" s="140" t="s">
        <v>24</v>
      </c>
      <c r="E3" s="140" t="s">
        <v>26</v>
      </c>
      <c r="F3" s="142" t="s">
        <v>28</v>
      </c>
      <c r="G3" s="140" t="s">
        <v>30</v>
      </c>
      <c r="H3" s="38" t="s">
        <v>33</v>
      </c>
      <c r="I3" s="143" t="s">
        <v>36</v>
      </c>
      <c r="J3" s="142" t="s">
        <v>41</v>
      </c>
      <c r="K3" s="142" t="s">
        <v>38</v>
      </c>
      <c r="L3" s="140" t="s">
        <v>16</v>
      </c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</row>
    <row r="4">
      <c r="A4" s="136"/>
      <c r="B4" s="144">
        <v>1.0</v>
      </c>
      <c r="C4" s="144" t="str">
        <f t="shared" ref="C4:C9" si="1">IF(ISNUMBER(B4), "P03" &amp; TEXT(B4, "00"), "")</f>
        <v>P0301</v>
      </c>
      <c r="D4" s="145" t="s">
        <v>192</v>
      </c>
      <c r="E4" s="146" t="s">
        <v>193</v>
      </c>
      <c r="F4" s="147" t="s">
        <v>194</v>
      </c>
      <c r="G4" s="142" t="s">
        <v>52</v>
      </c>
      <c r="H4" s="148">
        <v>10.5</v>
      </c>
      <c r="I4" s="88">
        <f t="shared" ref="I4:I9" si="2">LET(v,H4*1.15,
i,INT(v),
d,v-i,
IF(d&lt;=0.2,
i-0.1,
IF(d&lt;=0.7,
i+0.5,
i+0.9)))
</f>
        <v>11.9</v>
      </c>
      <c r="J4" s="149">
        <v>24.0</v>
      </c>
      <c r="K4" s="149" t="s">
        <v>195</v>
      </c>
      <c r="L4" s="150" t="s">
        <v>196</v>
      </c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</row>
    <row r="5">
      <c r="A5" s="136"/>
      <c r="B5" s="144">
        <v>2.0</v>
      </c>
      <c r="C5" s="144" t="str">
        <f t="shared" si="1"/>
        <v>P0302</v>
      </c>
      <c r="D5" s="145" t="s">
        <v>197</v>
      </c>
      <c r="E5" s="146" t="s">
        <v>198</v>
      </c>
      <c r="F5" s="147" t="s">
        <v>199</v>
      </c>
      <c r="G5" s="142" t="s">
        <v>52</v>
      </c>
      <c r="H5" s="148">
        <v>10.5</v>
      </c>
      <c r="I5" s="88">
        <f t="shared" si="2"/>
        <v>11.9</v>
      </c>
      <c r="J5" s="149">
        <v>25.0</v>
      </c>
      <c r="K5" s="149" t="s">
        <v>200</v>
      </c>
      <c r="L5" s="151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</row>
    <row r="6" ht="15.75" customHeight="1">
      <c r="A6" s="136"/>
      <c r="B6" s="144">
        <v>3.0</v>
      </c>
      <c r="C6" s="144" t="str">
        <f t="shared" si="1"/>
        <v>P0303</v>
      </c>
      <c r="D6" s="145" t="s">
        <v>201</v>
      </c>
      <c r="E6" s="146" t="s">
        <v>202</v>
      </c>
      <c r="F6" s="147" t="s">
        <v>203</v>
      </c>
      <c r="G6" s="142" t="s">
        <v>52</v>
      </c>
      <c r="H6" s="152">
        <v>9.9</v>
      </c>
      <c r="I6" s="88">
        <f t="shared" si="2"/>
        <v>11.5</v>
      </c>
      <c r="J6" s="149">
        <v>26.0</v>
      </c>
      <c r="K6" s="149" t="s">
        <v>204</v>
      </c>
      <c r="L6" s="151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</row>
    <row r="7" ht="15.75" customHeight="1">
      <c r="A7" s="136"/>
      <c r="B7" s="144">
        <v>4.0</v>
      </c>
      <c r="C7" s="144" t="str">
        <f t="shared" si="1"/>
        <v>P0304</v>
      </c>
      <c r="D7" s="145" t="s">
        <v>205</v>
      </c>
      <c r="E7" s="146" t="s">
        <v>206</v>
      </c>
      <c r="F7" s="147" t="s">
        <v>206</v>
      </c>
      <c r="G7" s="142" t="s">
        <v>52</v>
      </c>
      <c r="H7" s="152">
        <v>9.9</v>
      </c>
      <c r="I7" s="88">
        <f t="shared" si="2"/>
        <v>11.5</v>
      </c>
      <c r="J7" s="149">
        <v>27.0</v>
      </c>
      <c r="K7" s="149" t="s">
        <v>207</v>
      </c>
      <c r="L7" s="151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</row>
    <row r="8" ht="15.75" customHeight="1">
      <c r="A8" s="136"/>
      <c r="B8" s="144">
        <v>5.0</v>
      </c>
      <c r="C8" s="144" t="str">
        <f t="shared" si="1"/>
        <v>P0305</v>
      </c>
      <c r="D8" s="145" t="s">
        <v>208</v>
      </c>
      <c r="E8" s="146" t="s">
        <v>209</v>
      </c>
      <c r="F8" s="147" t="s">
        <v>209</v>
      </c>
      <c r="G8" s="142" t="s">
        <v>52</v>
      </c>
      <c r="H8" s="152">
        <v>9.9</v>
      </c>
      <c r="I8" s="88">
        <f t="shared" si="2"/>
        <v>11.5</v>
      </c>
      <c r="J8" s="149">
        <v>28.0</v>
      </c>
      <c r="K8" s="149" t="s">
        <v>210</v>
      </c>
      <c r="L8" s="151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</row>
    <row r="9" ht="15.75" customHeight="1">
      <c r="A9" s="136"/>
      <c r="B9" s="144">
        <v>6.0</v>
      </c>
      <c r="C9" s="144" t="str">
        <f t="shared" si="1"/>
        <v>P0306</v>
      </c>
      <c r="D9" s="145" t="s">
        <v>211</v>
      </c>
      <c r="E9" s="146" t="s">
        <v>212</v>
      </c>
      <c r="F9" s="147" t="s">
        <v>212</v>
      </c>
      <c r="G9" s="142" t="s">
        <v>52</v>
      </c>
      <c r="H9" s="152">
        <v>9.9</v>
      </c>
      <c r="I9" s="88">
        <f t="shared" si="2"/>
        <v>11.5</v>
      </c>
      <c r="J9" s="149">
        <v>29.0</v>
      </c>
      <c r="K9" s="149" t="s">
        <v>213</v>
      </c>
      <c r="L9" s="153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</row>
    <row r="10" ht="15.75" customHeight="1">
      <c r="A10" s="136"/>
      <c r="B10" s="137"/>
      <c r="C10" s="137"/>
      <c r="D10" s="136"/>
      <c r="E10" s="136"/>
      <c r="F10" s="136"/>
      <c r="G10" s="136"/>
      <c r="H10" s="138"/>
      <c r="I10" s="138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</row>
    <row r="11" ht="15.75" customHeight="1">
      <c r="A11" s="136"/>
      <c r="B11" s="69"/>
      <c r="G11" s="136"/>
      <c r="H11" s="138"/>
      <c r="I11" s="138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</row>
    <row r="12" ht="15.75" customHeight="1">
      <c r="A12" s="136"/>
      <c r="G12" s="136"/>
      <c r="H12" s="138"/>
      <c r="I12" s="138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</row>
    <row r="13" ht="15.75" customHeight="1">
      <c r="A13" s="136"/>
      <c r="G13" s="136"/>
      <c r="H13" s="138"/>
      <c r="I13" s="138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</row>
    <row r="14" ht="15.75" customHeight="1">
      <c r="A14" s="136"/>
      <c r="G14" s="136"/>
      <c r="H14" s="138"/>
      <c r="I14" s="138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</row>
    <row r="15" ht="15.75" customHeight="1">
      <c r="A15" s="136"/>
      <c r="G15" s="136"/>
      <c r="H15" s="138"/>
      <c r="I15" s="138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</row>
    <row r="16" ht="15.75" customHeight="1">
      <c r="A16" s="136"/>
      <c r="B16" s="137"/>
      <c r="C16" s="137"/>
      <c r="D16" s="136"/>
      <c r="E16" s="136"/>
      <c r="F16" s="136"/>
      <c r="G16" s="136"/>
      <c r="H16" s="138"/>
      <c r="I16" s="138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</row>
    <row r="17" ht="15.75" customHeight="1">
      <c r="A17" s="136"/>
      <c r="B17" s="137"/>
      <c r="C17" s="137"/>
      <c r="D17" s="136"/>
      <c r="E17" s="136"/>
      <c r="F17" s="136"/>
      <c r="G17" s="136"/>
      <c r="H17" s="138"/>
      <c r="I17" s="138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</row>
    <row r="18" ht="15.75" customHeight="1">
      <c r="A18" s="136"/>
      <c r="B18" s="137"/>
      <c r="C18" s="137"/>
      <c r="D18" s="136"/>
      <c r="E18" s="136"/>
      <c r="F18" s="136"/>
      <c r="G18" s="136"/>
      <c r="H18" s="138"/>
      <c r="I18" s="138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</row>
    <row r="19" ht="15.75" customHeight="1">
      <c r="A19" s="136"/>
      <c r="B19" s="137"/>
      <c r="C19" s="137"/>
      <c r="D19" s="136"/>
      <c r="E19" s="136"/>
      <c r="F19" s="136"/>
      <c r="G19" s="136"/>
      <c r="H19" s="138"/>
      <c r="I19" s="138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</row>
    <row r="20" ht="15.75" customHeight="1">
      <c r="A20" s="136"/>
      <c r="B20" s="137"/>
      <c r="C20" s="137"/>
      <c r="D20" s="136"/>
      <c r="E20" s="136"/>
      <c r="F20" s="136"/>
      <c r="G20" s="136"/>
      <c r="H20" s="138"/>
      <c r="I20" s="138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</row>
    <row r="21" ht="15.75" customHeight="1">
      <c r="A21" s="136"/>
      <c r="B21" s="137"/>
      <c r="C21" s="137"/>
      <c r="D21" s="136"/>
      <c r="E21" s="136"/>
      <c r="F21" s="136"/>
      <c r="G21" s="136"/>
      <c r="H21" s="138"/>
      <c r="I21" s="138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</row>
    <row r="22" ht="15.75" customHeight="1">
      <c r="A22" s="136"/>
      <c r="B22" s="137"/>
      <c r="C22" s="137"/>
      <c r="D22" s="136"/>
      <c r="E22" s="136"/>
      <c r="F22" s="136"/>
      <c r="G22" s="136"/>
      <c r="H22" s="138"/>
      <c r="I22" s="138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</row>
    <row r="23" ht="15.75" customHeight="1">
      <c r="A23" s="136"/>
      <c r="B23" s="137"/>
      <c r="C23" s="137"/>
      <c r="D23" s="136"/>
      <c r="E23" s="136"/>
      <c r="F23" s="136"/>
      <c r="G23" s="136"/>
      <c r="H23" s="138"/>
      <c r="I23" s="138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</row>
    <row r="24" ht="15.75" customHeight="1">
      <c r="A24" s="136"/>
      <c r="B24" s="137"/>
      <c r="C24" s="137"/>
      <c r="D24" s="136"/>
      <c r="E24" s="136"/>
      <c r="F24" s="136"/>
      <c r="G24" s="136"/>
      <c r="H24" s="138"/>
      <c r="I24" s="138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</row>
    <row r="25" ht="15.75" customHeight="1">
      <c r="A25" s="136"/>
      <c r="B25" s="137"/>
      <c r="C25" s="137"/>
      <c r="D25" s="136"/>
      <c r="E25" s="136"/>
      <c r="F25" s="136"/>
      <c r="G25" s="136"/>
      <c r="H25" s="138"/>
      <c r="I25" s="138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</row>
    <row r="26" ht="15.75" customHeight="1">
      <c r="A26" s="136"/>
      <c r="B26" s="137"/>
      <c r="C26" s="137"/>
      <c r="D26" s="136"/>
      <c r="E26" s="136"/>
      <c r="F26" s="136"/>
      <c r="G26" s="136"/>
      <c r="H26" s="138"/>
      <c r="I26" s="138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</row>
    <row r="27" ht="15.75" customHeight="1">
      <c r="A27" s="136"/>
      <c r="B27" s="137"/>
      <c r="C27" s="137"/>
      <c r="D27" s="136"/>
      <c r="E27" s="136"/>
      <c r="F27" s="136"/>
      <c r="G27" s="136"/>
      <c r="H27" s="138"/>
      <c r="I27" s="138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</row>
    <row r="28" ht="15.75" customHeight="1">
      <c r="A28" s="136"/>
      <c r="B28" s="137"/>
      <c r="C28" s="137"/>
      <c r="D28" s="136"/>
      <c r="E28" s="136"/>
      <c r="F28" s="136"/>
      <c r="G28" s="136"/>
      <c r="H28" s="138"/>
      <c r="I28" s="138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</row>
    <row r="29" ht="15.75" customHeight="1">
      <c r="A29" s="136"/>
      <c r="B29" s="137"/>
      <c r="C29" s="137"/>
      <c r="D29" s="136"/>
      <c r="E29" s="136"/>
      <c r="F29" s="136"/>
      <c r="G29" s="136"/>
      <c r="H29" s="138"/>
      <c r="I29" s="138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</row>
    <row r="30" ht="15.75" customHeight="1">
      <c r="A30" s="136"/>
      <c r="B30" s="137"/>
      <c r="C30" s="137"/>
      <c r="D30" s="136"/>
      <c r="E30" s="136"/>
      <c r="F30" s="136"/>
      <c r="G30" s="136"/>
      <c r="H30" s="138"/>
      <c r="I30" s="138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</row>
    <row r="31" ht="15.75" customHeight="1">
      <c r="A31" s="136"/>
      <c r="B31" s="137"/>
      <c r="C31" s="137"/>
      <c r="D31" s="136"/>
      <c r="E31" s="136"/>
      <c r="F31" s="136"/>
      <c r="G31" s="136"/>
      <c r="H31" s="138"/>
      <c r="I31" s="138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</row>
    <row r="32" ht="15.75" customHeight="1">
      <c r="A32" s="136"/>
      <c r="B32" s="137"/>
      <c r="C32" s="137"/>
      <c r="D32" s="136"/>
      <c r="E32" s="136"/>
      <c r="F32" s="136"/>
      <c r="G32" s="136"/>
      <c r="H32" s="138"/>
      <c r="I32" s="138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</row>
    <row r="33" ht="15.75" customHeight="1">
      <c r="A33" s="136"/>
      <c r="B33" s="137"/>
      <c r="C33" s="137"/>
      <c r="D33" s="136"/>
      <c r="E33" s="136"/>
      <c r="F33" s="136"/>
      <c r="G33" s="136"/>
      <c r="H33" s="138"/>
      <c r="I33" s="138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</row>
    <row r="34" ht="15.75" customHeight="1">
      <c r="A34" s="136"/>
      <c r="B34" s="137"/>
      <c r="C34" s="137"/>
      <c r="D34" s="136"/>
      <c r="E34" s="136"/>
      <c r="F34" s="136"/>
      <c r="G34" s="136"/>
      <c r="H34" s="138"/>
      <c r="I34" s="138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</row>
    <row r="35" ht="15.75" customHeight="1">
      <c r="A35" s="136"/>
      <c r="B35" s="137"/>
      <c r="C35" s="137"/>
      <c r="D35" s="136"/>
      <c r="E35" s="136"/>
      <c r="F35" s="136"/>
      <c r="G35" s="136"/>
      <c r="H35" s="138"/>
      <c r="I35" s="138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</row>
    <row r="36" ht="15.75" customHeight="1">
      <c r="A36" s="136"/>
      <c r="B36" s="137"/>
      <c r="C36" s="137"/>
      <c r="D36" s="136"/>
      <c r="E36" s="136"/>
      <c r="F36" s="136"/>
      <c r="G36" s="136"/>
      <c r="H36" s="138"/>
      <c r="I36" s="138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</row>
    <row r="37" ht="15.75" customHeight="1">
      <c r="A37" s="136"/>
      <c r="B37" s="137"/>
      <c r="C37" s="137"/>
      <c r="D37" s="136"/>
      <c r="E37" s="136"/>
      <c r="F37" s="136"/>
      <c r="G37" s="136"/>
      <c r="H37" s="138"/>
      <c r="I37" s="138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</row>
    <row r="38" ht="15.75" customHeight="1">
      <c r="A38" s="136"/>
      <c r="B38" s="137"/>
      <c r="C38" s="137"/>
      <c r="D38" s="136"/>
      <c r="E38" s="136"/>
      <c r="F38" s="136"/>
      <c r="G38" s="136"/>
      <c r="H38" s="138"/>
      <c r="I38" s="138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</row>
    <row r="39" ht="15.75" customHeight="1">
      <c r="A39" s="136"/>
      <c r="B39" s="137"/>
      <c r="C39" s="137"/>
      <c r="D39" s="136"/>
      <c r="E39" s="136"/>
      <c r="F39" s="136"/>
      <c r="G39" s="136"/>
      <c r="H39" s="138"/>
      <c r="I39" s="138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</row>
    <row r="40" ht="15.75" customHeight="1">
      <c r="A40" s="136"/>
      <c r="B40" s="137"/>
      <c r="C40" s="137"/>
      <c r="D40" s="136"/>
      <c r="E40" s="136"/>
      <c r="F40" s="136"/>
      <c r="G40" s="136"/>
      <c r="H40" s="138"/>
      <c r="I40" s="138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</row>
    <row r="41" ht="15.75" customHeight="1">
      <c r="A41" s="136"/>
      <c r="B41" s="137"/>
      <c r="C41" s="137"/>
      <c r="D41" s="136"/>
      <c r="E41" s="136"/>
      <c r="F41" s="136"/>
      <c r="G41" s="136"/>
      <c r="H41" s="138"/>
      <c r="I41" s="138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</row>
    <row r="42" ht="15.75" customHeight="1">
      <c r="A42" s="136"/>
      <c r="B42" s="137"/>
      <c r="C42" s="137"/>
      <c r="D42" s="136"/>
      <c r="E42" s="136"/>
      <c r="F42" s="136"/>
      <c r="G42" s="136"/>
      <c r="H42" s="138"/>
      <c r="I42" s="138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</row>
    <row r="43" ht="15.75" customHeight="1">
      <c r="A43" s="136"/>
      <c r="B43" s="137"/>
      <c r="C43" s="137"/>
      <c r="D43" s="136"/>
      <c r="E43" s="136"/>
      <c r="F43" s="136"/>
      <c r="G43" s="136"/>
      <c r="H43" s="138"/>
      <c r="I43" s="138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</row>
    <row r="44" ht="15.75" customHeight="1">
      <c r="A44" s="136"/>
      <c r="B44" s="137"/>
      <c r="C44" s="137"/>
      <c r="D44" s="136"/>
      <c r="E44" s="136"/>
      <c r="F44" s="136"/>
      <c r="G44" s="136"/>
      <c r="H44" s="138"/>
      <c r="I44" s="138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</row>
    <row r="45" ht="15.75" customHeight="1">
      <c r="A45" s="136"/>
      <c r="B45" s="137"/>
      <c r="C45" s="137"/>
      <c r="D45" s="136"/>
      <c r="E45" s="136"/>
      <c r="F45" s="136"/>
      <c r="G45" s="136"/>
      <c r="H45" s="138"/>
      <c r="I45" s="138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</row>
    <row r="46" ht="15.75" customHeight="1">
      <c r="A46" s="136"/>
      <c r="B46" s="137"/>
      <c r="C46" s="137"/>
      <c r="D46" s="136"/>
      <c r="E46" s="136"/>
      <c r="F46" s="136"/>
      <c r="G46" s="136"/>
      <c r="H46" s="138"/>
      <c r="I46" s="138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</row>
    <row r="47" ht="15.75" customHeight="1">
      <c r="A47" s="136"/>
      <c r="B47" s="137"/>
      <c r="C47" s="137"/>
      <c r="D47" s="136"/>
      <c r="E47" s="136"/>
      <c r="F47" s="136"/>
      <c r="G47" s="136"/>
      <c r="H47" s="138"/>
      <c r="I47" s="138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</row>
    <row r="48" ht="15.75" customHeight="1">
      <c r="A48" s="136"/>
      <c r="B48" s="137"/>
      <c r="C48" s="137"/>
      <c r="D48" s="136"/>
      <c r="E48" s="136"/>
      <c r="F48" s="136"/>
      <c r="G48" s="136"/>
      <c r="H48" s="138"/>
      <c r="I48" s="138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</row>
    <row r="49" ht="15.75" customHeight="1">
      <c r="A49" s="136"/>
      <c r="B49" s="137"/>
      <c r="C49" s="137"/>
      <c r="D49" s="136"/>
      <c r="E49" s="136"/>
      <c r="F49" s="136"/>
      <c r="G49" s="136"/>
      <c r="H49" s="138"/>
      <c r="I49" s="138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</row>
    <row r="50" ht="15.75" customHeight="1">
      <c r="A50" s="136"/>
      <c r="B50" s="137"/>
      <c r="C50" s="137"/>
      <c r="D50" s="136"/>
      <c r="E50" s="136"/>
      <c r="F50" s="136"/>
      <c r="G50" s="136"/>
      <c r="H50" s="138"/>
      <c r="I50" s="138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</row>
    <row r="51" ht="15.75" customHeight="1">
      <c r="A51" s="136"/>
      <c r="B51" s="137"/>
      <c r="C51" s="137"/>
      <c r="D51" s="136"/>
      <c r="E51" s="136"/>
      <c r="F51" s="136"/>
      <c r="G51" s="136"/>
      <c r="H51" s="138"/>
      <c r="I51" s="138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  <row r="52" ht="15.75" customHeight="1">
      <c r="A52" s="136"/>
      <c r="B52" s="137"/>
      <c r="C52" s="137"/>
      <c r="D52" s="136"/>
      <c r="E52" s="136"/>
      <c r="F52" s="136"/>
      <c r="G52" s="136"/>
      <c r="H52" s="138"/>
      <c r="I52" s="138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</row>
    <row r="53" ht="15.75" customHeight="1">
      <c r="A53" s="136"/>
      <c r="B53" s="137"/>
      <c r="C53" s="137"/>
      <c r="D53" s="136"/>
      <c r="E53" s="136"/>
      <c r="F53" s="136"/>
      <c r="G53" s="136"/>
      <c r="H53" s="138"/>
      <c r="I53" s="138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</row>
    <row r="54" ht="15.75" customHeight="1">
      <c r="A54" s="136"/>
      <c r="B54" s="137"/>
      <c r="C54" s="137"/>
      <c r="D54" s="136"/>
      <c r="E54" s="136"/>
      <c r="F54" s="136"/>
      <c r="G54" s="136"/>
      <c r="H54" s="138"/>
      <c r="I54" s="138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</row>
    <row r="55" ht="15.75" customHeight="1">
      <c r="A55" s="136"/>
      <c r="B55" s="137"/>
      <c r="C55" s="137"/>
      <c r="D55" s="136"/>
      <c r="E55" s="136"/>
      <c r="F55" s="136"/>
      <c r="G55" s="136"/>
      <c r="H55" s="138"/>
      <c r="I55" s="138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</row>
    <row r="56" ht="15.75" customHeight="1">
      <c r="A56" s="136"/>
      <c r="B56" s="137"/>
      <c r="C56" s="137"/>
      <c r="D56" s="136"/>
      <c r="E56" s="136"/>
      <c r="F56" s="136"/>
      <c r="G56" s="136"/>
      <c r="H56" s="138"/>
      <c r="I56" s="138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</row>
    <row r="57" ht="15.75" customHeight="1">
      <c r="A57" s="136"/>
      <c r="B57" s="137"/>
      <c r="C57" s="137"/>
      <c r="D57" s="136"/>
      <c r="E57" s="136"/>
      <c r="F57" s="136"/>
      <c r="G57" s="136"/>
      <c r="H57" s="138"/>
      <c r="I57" s="138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</row>
    <row r="58" ht="15.75" customHeight="1">
      <c r="A58" s="136"/>
      <c r="B58" s="137"/>
      <c r="C58" s="137"/>
      <c r="D58" s="136"/>
      <c r="E58" s="136"/>
      <c r="F58" s="136"/>
      <c r="G58" s="136"/>
      <c r="H58" s="138"/>
      <c r="I58" s="138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</row>
    <row r="59" ht="15.75" customHeight="1">
      <c r="A59" s="136"/>
      <c r="B59" s="137"/>
      <c r="C59" s="137"/>
      <c r="D59" s="136"/>
      <c r="E59" s="136"/>
      <c r="F59" s="136"/>
      <c r="G59" s="136"/>
      <c r="H59" s="138"/>
      <c r="I59" s="138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</row>
    <row r="60" ht="15.75" customHeight="1">
      <c r="A60" s="136"/>
      <c r="B60" s="137"/>
      <c r="C60" s="137"/>
      <c r="D60" s="136"/>
      <c r="E60" s="136"/>
      <c r="F60" s="136"/>
      <c r="G60" s="136"/>
      <c r="H60" s="138"/>
      <c r="I60" s="138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</row>
    <row r="61" ht="15.75" customHeight="1">
      <c r="A61" s="136"/>
      <c r="B61" s="137"/>
      <c r="C61" s="137"/>
      <c r="D61" s="136"/>
      <c r="E61" s="136"/>
      <c r="F61" s="136"/>
      <c r="G61" s="136"/>
      <c r="H61" s="138"/>
      <c r="I61" s="138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</row>
    <row r="62" ht="15.75" customHeight="1">
      <c r="A62" s="136"/>
      <c r="B62" s="137"/>
      <c r="C62" s="137"/>
      <c r="D62" s="136"/>
      <c r="E62" s="136"/>
      <c r="F62" s="136"/>
      <c r="G62" s="136"/>
      <c r="H62" s="138"/>
      <c r="I62" s="138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</row>
    <row r="63" ht="15.75" customHeight="1">
      <c r="A63" s="136"/>
      <c r="B63" s="137"/>
      <c r="C63" s="137"/>
      <c r="D63" s="136"/>
      <c r="E63" s="136"/>
      <c r="F63" s="136"/>
      <c r="G63" s="136"/>
      <c r="H63" s="138"/>
      <c r="I63" s="138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</row>
    <row r="64" ht="15.75" customHeight="1">
      <c r="A64" s="136"/>
      <c r="B64" s="137"/>
      <c r="C64" s="137"/>
      <c r="D64" s="136"/>
      <c r="E64" s="136"/>
      <c r="F64" s="136"/>
      <c r="G64" s="136"/>
      <c r="H64" s="138"/>
      <c r="I64" s="138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</row>
    <row r="65" ht="15.75" customHeight="1">
      <c r="A65" s="136"/>
      <c r="B65" s="137"/>
      <c r="C65" s="137"/>
      <c r="D65" s="136"/>
      <c r="E65" s="136"/>
      <c r="F65" s="136"/>
      <c r="G65" s="136"/>
      <c r="H65" s="138"/>
      <c r="I65" s="138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</row>
    <row r="66" ht="15.75" customHeight="1">
      <c r="A66" s="136"/>
      <c r="B66" s="137"/>
      <c r="C66" s="137"/>
      <c r="D66" s="136"/>
      <c r="E66" s="136"/>
      <c r="F66" s="136"/>
      <c r="G66" s="136"/>
      <c r="H66" s="138"/>
      <c r="I66" s="138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</row>
    <row r="67" ht="15.75" customHeight="1">
      <c r="A67" s="136"/>
      <c r="B67" s="137"/>
      <c r="C67" s="137"/>
      <c r="D67" s="136"/>
      <c r="E67" s="136"/>
      <c r="F67" s="136"/>
      <c r="G67" s="136"/>
      <c r="H67" s="138"/>
      <c r="I67" s="138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</row>
    <row r="68" ht="15.75" customHeight="1">
      <c r="A68" s="136"/>
      <c r="B68" s="137"/>
      <c r="C68" s="137"/>
      <c r="D68" s="136"/>
      <c r="E68" s="136"/>
      <c r="F68" s="136"/>
      <c r="G68" s="136"/>
      <c r="H68" s="138"/>
      <c r="I68" s="138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</row>
    <row r="69" ht="15.75" customHeight="1">
      <c r="A69" s="136"/>
      <c r="B69" s="137"/>
      <c r="C69" s="137"/>
      <c r="D69" s="136"/>
      <c r="E69" s="136"/>
      <c r="F69" s="136"/>
      <c r="G69" s="136"/>
      <c r="H69" s="138"/>
      <c r="I69" s="138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</row>
    <row r="70" ht="15.75" customHeight="1">
      <c r="A70" s="136"/>
      <c r="B70" s="137"/>
      <c r="C70" s="137"/>
      <c r="D70" s="136"/>
      <c r="E70" s="136"/>
      <c r="F70" s="136"/>
      <c r="G70" s="136"/>
      <c r="H70" s="138"/>
      <c r="I70" s="138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</row>
    <row r="71" ht="15.75" customHeight="1">
      <c r="A71" s="136"/>
      <c r="B71" s="137"/>
      <c r="C71" s="137"/>
      <c r="D71" s="136"/>
      <c r="E71" s="136"/>
      <c r="F71" s="136"/>
      <c r="G71" s="136"/>
      <c r="H71" s="138"/>
      <c r="I71" s="138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</row>
    <row r="72" ht="15.75" customHeight="1">
      <c r="A72" s="136"/>
      <c r="B72" s="137"/>
      <c r="C72" s="137"/>
      <c r="D72" s="136"/>
      <c r="E72" s="136"/>
      <c r="F72" s="136"/>
      <c r="G72" s="136"/>
      <c r="H72" s="138"/>
      <c r="I72" s="138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</row>
    <row r="73" ht="15.75" customHeight="1">
      <c r="A73" s="136"/>
      <c r="B73" s="137"/>
      <c r="C73" s="137"/>
      <c r="D73" s="136"/>
      <c r="E73" s="136"/>
      <c r="F73" s="136"/>
      <c r="G73" s="136"/>
      <c r="H73" s="138"/>
      <c r="I73" s="138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</row>
    <row r="74" ht="15.75" customHeight="1">
      <c r="A74" s="136"/>
      <c r="B74" s="137"/>
      <c r="C74" s="137"/>
      <c r="D74" s="136"/>
      <c r="E74" s="136"/>
      <c r="F74" s="136"/>
      <c r="G74" s="136"/>
      <c r="H74" s="138"/>
      <c r="I74" s="138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</row>
    <row r="75" ht="15.75" customHeight="1">
      <c r="A75" s="136"/>
      <c r="B75" s="137"/>
      <c r="C75" s="137"/>
      <c r="D75" s="136"/>
      <c r="E75" s="136"/>
      <c r="F75" s="136"/>
      <c r="G75" s="136"/>
      <c r="H75" s="138"/>
      <c r="I75" s="138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</row>
    <row r="76" ht="15.75" customHeight="1">
      <c r="A76" s="136"/>
      <c r="B76" s="137"/>
      <c r="C76" s="137"/>
      <c r="D76" s="136"/>
      <c r="E76" s="136"/>
      <c r="F76" s="136"/>
      <c r="G76" s="136"/>
      <c r="H76" s="138"/>
      <c r="I76" s="138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</row>
    <row r="77" ht="15.75" customHeight="1">
      <c r="A77" s="136"/>
      <c r="B77" s="137"/>
      <c r="C77" s="137"/>
      <c r="D77" s="136"/>
      <c r="E77" s="136"/>
      <c r="F77" s="136"/>
      <c r="G77" s="136"/>
      <c r="H77" s="138"/>
      <c r="I77" s="138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</row>
    <row r="78" ht="15.75" customHeight="1">
      <c r="A78" s="136"/>
      <c r="B78" s="137"/>
      <c r="C78" s="137"/>
      <c r="D78" s="136"/>
      <c r="E78" s="136"/>
      <c r="F78" s="136"/>
      <c r="G78" s="136"/>
      <c r="H78" s="138"/>
      <c r="I78" s="138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</row>
    <row r="79" ht="15.75" customHeight="1">
      <c r="A79" s="136"/>
      <c r="B79" s="137"/>
      <c r="C79" s="137"/>
      <c r="D79" s="136"/>
      <c r="E79" s="136"/>
      <c r="F79" s="136"/>
      <c r="G79" s="136"/>
      <c r="H79" s="138"/>
      <c r="I79" s="138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</row>
    <row r="80" ht="15.75" customHeight="1">
      <c r="A80" s="136"/>
      <c r="B80" s="137"/>
      <c r="C80" s="137"/>
      <c r="D80" s="136"/>
      <c r="E80" s="136"/>
      <c r="F80" s="136"/>
      <c r="G80" s="136"/>
      <c r="H80" s="138"/>
      <c r="I80" s="138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</row>
    <row r="81" ht="15.75" customHeight="1">
      <c r="A81" s="136"/>
      <c r="B81" s="137"/>
      <c r="C81" s="137"/>
      <c r="D81" s="136"/>
      <c r="E81" s="136"/>
      <c r="F81" s="136"/>
      <c r="G81" s="136"/>
      <c r="H81" s="138"/>
      <c r="I81" s="138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</row>
    <row r="82" ht="15.75" customHeight="1">
      <c r="A82" s="136"/>
      <c r="B82" s="137"/>
      <c r="C82" s="137"/>
      <c r="D82" s="136"/>
      <c r="E82" s="136"/>
      <c r="F82" s="136"/>
      <c r="G82" s="136"/>
      <c r="H82" s="138"/>
      <c r="I82" s="138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</row>
    <row r="83" ht="15.75" customHeight="1">
      <c r="A83" s="136"/>
      <c r="B83" s="137"/>
      <c r="C83" s="137"/>
      <c r="D83" s="136"/>
      <c r="E83" s="136"/>
      <c r="F83" s="136"/>
      <c r="G83" s="136"/>
      <c r="H83" s="138"/>
      <c r="I83" s="138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</row>
    <row r="84" ht="15.75" customHeight="1">
      <c r="A84" s="136"/>
      <c r="B84" s="137"/>
      <c r="C84" s="137"/>
      <c r="D84" s="136"/>
      <c r="E84" s="136"/>
      <c r="F84" s="136"/>
      <c r="G84" s="136"/>
      <c r="H84" s="138"/>
      <c r="I84" s="138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</row>
    <row r="85" ht="15.75" customHeight="1">
      <c r="A85" s="136"/>
      <c r="B85" s="137"/>
      <c r="C85" s="137"/>
      <c r="D85" s="136"/>
      <c r="E85" s="136"/>
      <c r="F85" s="136"/>
      <c r="G85" s="136"/>
      <c r="H85" s="138"/>
      <c r="I85" s="138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</row>
    <row r="86" ht="15.75" customHeight="1">
      <c r="A86" s="136"/>
      <c r="B86" s="137"/>
      <c r="C86" s="137"/>
      <c r="D86" s="136"/>
      <c r="E86" s="136"/>
      <c r="F86" s="136"/>
      <c r="G86" s="136"/>
      <c r="H86" s="138"/>
      <c r="I86" s="138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</row>
    <row r="87" ht="15.75" customHeight="1">
      <c r="A87" s="136"/>
      <c r="B87" s="137"/>
      <c r="C87" s="137"/>
      <c r="D87" s="136"/>
      <c r="E87" s="136"/>
      <c r="F87" s="136"/>
      <c r="G87" s="136"/>
      <c r="H87" s="138"/>
      <c r="I87" s="138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</row>
    <row r="88" ht="15.75" customHeight="1">
      <c r="A88" s="136"/>
      <c r="B88" s="137"/>
      <c r="C88" s="137"/>
      <c r="D88" s="136"/>
      <c r="E88" s="136"/>
      <c r="F88" s="136"/>
      <c r="G88" s="136"/>
      <c r="H88" s="138"/>
      <c r="I88" s="138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</row>
    <row r="89" ht="15.75" customHeight="1">
      <c r="A89" s="136"/>
      <c r="B89" s="137"/>
      <c r="C89" s="137"/>
      <c r="D89" s="136"/>
      <c r="E89" s="136"/>
      <c r="F89" s="136"/>
      <c r="G89" s="136"/>
      <c r="H89" s="138"/>
      <c r="I89" s="138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</row>
    <row r="90" ht="15.75" customHeight="1">
      <c r="A90" s="136"/>
      <c r="B90" s="137"/>
      <c r="C90" s="137"/>
      <c r="D90" s="136"/>
      <c r="E90" s="136"/>
      <c r="F90" s="136"/>
      <c r="G90" s="136"/>
      <c r="H90" s="138"/>
      <c r="I90" s="138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</row>
    <row r="91" ht="15.75" customHeight="1">
      <c r="A91" s="136"/>
      <c r="B91" s="137"/>
      <c r="C91" s="137"/>
      <c r="D91" s="136"/>
      <c r="E91" s="136"/>
      <c r="F91" s="136"/>
      <c r="G91" s="136"/>
      <c r="H91" s="138"/>
      <c r="I91" s="138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</row>
    <row r="92" ht="15.75" customHeight="1">
      <c r="A92" s="136"/>
      <c r="B92" s="137"/>
      <c r="C92" s="137"/>
      <c r="D92" s="136"/>
      <c r="E92" s="136"/>
      <c r="F92" s="136"/>
      <c r="G92" s="136"/>
      <c r="H92" s="138"/>
      <c r="I92" s="138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</row>
    <row r="93" ht="15.75" customHeight="1">
      <c r="A93" s="136"/>
      <c r="B93" s="137"/>
      <c r="C93" s="137"/>
      <c r="D93" s="136"/>
      <c r="E93" s="136"/>
      <c r="F93" s="136"/>
      <c r="G93" s="136"/>
      <c r="H93" s="138"/>
      <c r="I93" s="138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</row>
    <row r="94" ht="15.75" customHeight="1">
      <c r="A94" s="136"/>
      <c r="B94" s="137"/>
      <c r="C94" s="137"/>
      <c r="D94" s="136"/>
      <c r="E94" s="136"/>
      <c r="F94" s="136"/>
      <c r="G94" s="136"/>
      <c r="H94" s="138"/>
      <c r="I94" s="138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</row>
    <row r="95" ht="15.75" customHeight="1">
      <c r="A95" s="136"/>
      <c r="B95" s="137"/>
      <c r="C95" s="137"/>
      <c r="D95" s="136"/>
      <c r="E95" s="136"/>
      <c r="F95" s="136"/>
      <c r="G95" s="136"/>
      <c r="H95" s="138"/>
      <c r="I95" s="138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</row>
    <row r="96" ht="15.75" customHeight="1">
      <c r="A96" s="136"/>
      <c r="B96" s="137"/>
      <c r="C96" s="137"/>
      <c r="D96" s="136"/>
      <c r="E96" s="136"/>
      <c r="F96" s="136"/>
      <c r="G96" s="136"/>
      <c r="H96" s="138"/>
      <c r="I96" s="138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</row>
    <row r="97" ht="15.75" customHeight="1">
      <c r="A97" s="136"/>
      <c r="B97" s="137"/>
      <c r="C97" s="137"/>
      <c r="D97" s="136"/>
      <c r="E97" s="136"/>
      <c r="F97" s="136"/>
      <c r="G97" s="136"/>
      <c r="H97" s="138"/>
      <c r="I97" s="138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</row>
    <row r="98" ht="15.75" customHeight="1">
      <c r="A98" s="136"/>
      <c r="B98" s="137"/>
      <c r="C98" s="137"/>
      <c r="D98" s="136"/>
      <c r="E98" s="136"/>
      <c r="F98" s="136"/>
      <c r="G98" s="136"/>
      <c r="H98" s="138"/>
      <c r="I98" s="138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</row>
    <row r="99" ht="15.75" customHeight="1">
      <c r="A99" s="136"/>
      <c r="B99" s="137"/>
      <c r="C99" s="137"/>
      <c r="D99" s="136"/>
      <c r="E99" s="136"/>
      <c r="F99" s="136"/>
      <c r="G99" s="136"/>
      <c r="H99" s="138"/>
      <c r="I99" s="138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</row>
    <row r="100" ht="15.75" customHeight="1">
      <c r="A100" s="136"/>
      <c r="B100" s="137"/>
      <c r="C100" s="137"/>
      <c r="D100" s="136"/>
      <c r="E100" s="136"/>
      <c r="F100" s="136"/>
      <c r="G100" s="136"/>
      <c r="H100" s="138"/>
      <c r="I100" s="138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</row>
    <row r="101" ht="15.75" customHeight="1">
      <c r="A101" s="136"/>
      <c r="B101" s="137"/>
      <c r="C101" s="137"/>
      <c r="D101" s="136"/>
      <c r="E101" s="136"/>
      <c r="F101" s="136"/>
      <c r="G101" s="136"/>
      <c r="H101" s="138"/>
      <c r="I101" s="138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</row>
    <row r="102" ht="15.75" customHeight="1">
      <c r="A102" s="136"/>
      <c r="B102" s="137"/>
      <c r="C102" s="137"/>
      <c r="D102" s="136"/>
      <c r="E102" s="136"/>
      <c r="F102" s="136"/>
      <c r="G102" s="136"/>
      <c r="H102" s="138"/>
      <c r="I102" s="138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</row>
    <row r="103" ht="15.75" customHeight="1">
      <c r="A103" s="136"/>
      <c r="B103" s="137"/>
      <c r="C103" s="137"/>
      <c r="D103" s="136"/>
      <c r="E103" s="136"/>
      <c r="F103" s="136"/>
      <c r="G103" s="136"/>
      <c r="H103" s="138"/>
      <c r="I103" s="138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</row>
    <row r="104" ht="15.75" customHeight="1">
      <c r="A104" s="136"/>
      <c r="B104" s="137"/>
      <c r="C104" s="137"/>
      <c r="D104" s="136"/>
      <c r="E104" s="136"/>
      <c r="F104" s="136"/>
      <c r="G104" s="136"/>
      <c r="H104" s="138"/>
      <c r="I104" s="138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</row>
    <row r="105" ht="15.75" customHeight="1">
      <c r="A105" s="136"/>
      <c r="B105" s="137"/>
      <c r="C105" s="137"/>
      <c r="D105" s="136"/>
      <c r="E105" s="136"/>
      <c r="F105" s="136"/>
      <c r="G105" s="136"/>
      <c r="H105" s="138"/>
      <c r="I105" s="138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</row>
    <row r="106" ht="15.75" customHeight="1">
      <c r="A106" s="136"/>
      <c r="B106" s="137"/>
      <c r="C106" s="137"/>
      <c r="D106" s="136"/>
      <c r="E106" s="136"/>
      <c r="F106" s="136"/>
      <c r="G106" s="136"/>
      <c r="H106" s="138"/>
      <c r="I106" s="138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</row>
    <row r="107" ht="15.75" customHeight="1">
      <c r="A107" s="136"/>
      <c r="B107" s="137"/>
      <c r="C107" s="137"/>
      <c r="D107" s="136"/>
      <c r="E107" s="136"/>
      <c r="F107" s="136"/>
      <c r="G107" s="136"/>
      <c r="H107" s="138"/>
      <c r="I107" s="138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</row>
    <row r="108" ht="15.75" customHeight="1">
      <c r="A108" s="136"/>
      <c r="B108" s="137"/>
      <c r="C108" s="137"/>
      <c r="D108" s="136"/>
      <c r="E108" s="136"/>
      <c r="F108" s="136"/>
      <c r="G108" s="136"/>
      <c r="H108" s="138"/>
      <c r="I108" s="138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</row>
    <row r="109" ht="15.75" customHeight="1">
      <c r="A109" s="136"/>
      <c r="B109" s="137"/>
      <c r="C109" s="137"/>
      <c r="D109" s="136"/>
      <c r="E109" s="136"/>
      <c r="F109" s="136"/>
      <c r="G109" s="136"/>
      <c r="H109" s="138"/>
      <c r="I109" s="138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</row>
    <row r="110" ht="15.75" customHeight="1">
      <c r="A110" s="136"/>
      <c r="B110" s="137"/>
      <c r="C110" s="137"/>
      <c r="D110" s="136"/>
      <c r="E110" s="136"/>
      <c r="F110" s="136"/>
      <c r="G110" s="136"/>
      <c r="H110" s="138"/>
      <c r="I110" s="138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</row>
    <row r="111" ht="15.75" customHeight="1">
      <c r="A111" s="136"/>
      <c r="B111" s="137"/>
      <c r="C111" s="137"/>
      <c r="D111" s="136"/>
      <c r="E111" s="136"/>
      <c r="F111" s="136"/>
      <c r="G111" s="136"/>
      <c r="H111" s="138"/>
      <c r="I111" s="138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</row>
    <row r="112" ht="15.75" customHeight="1">
      <c r="A112" s="136"/>
      <c r="B112" s="137"/>
      <c r="C112" s="137"/>
      <c r="D112" s="136"/>
      <c r="E112" s="136"/>
      <c r="F112" s="136"/>
      <c r="G112" s="136"/>
      <c r="H112" s="138"/>
      <c r="I112" s="138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</row>
    <row r="113" ht="15.75" customHeight="1">
      <c r="A113" s="136"/>
      <c r="B113" s="137"/>
      <c r="C113" s="137"/>
      <c r="D113" s="136"/>
      <c r="E113" s="136"/>
      <c r="F113" s="136"/>
      <c r="G113" s="136"/>
      <c r="H113" s="138"/>
      <c r="I113" s="138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</row>
    <row r="114" ht="15.75" customHeight="1">
      <c r="A114" s="136"/>
      <c r="B114" s="137"/>
      <c r="C114" s="137"/>
      <c r="D114" s="136"/>
      <c r="E114" s="136"/>
      <c r="F114" s="136"/>
      <c r="G114" s="136"/>
      <c r="H114" s="138"/>
      <c r="I114" s="138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</row>
    <row r="115" ht="15.75" customHeight="1">
      <c r="A115" s="136"/>
      <c r="B115" s="137"/>
      <c r="C115" s="137"/>
      <c r="D115" s="136"/>
      <c r="E115" s="136"/>
      <c r="F115" s="136"/>
      <c r="G115" s="136"/>
      <c r="H115" s="138"/>
      <c r="I115" s="138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</row>
    <row r="116" ht="15.75" customHeight="1">
      <c r="A116" s="136"/>
      <c r="B116" s="137"/>
      <c r="C116" s="137"/>
      <c r="D116" s="136"/>
      <c r="E116" s="136"/>
      <c r="F116" s="136"/>
      <c r="G116" s="136"/>
      <c r="H116" s="138"/>
      <c r="I116" s="138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</row>
    <row r="117" ht="15.75" customHeight="1">
      <c r="A117" s="136"/>
      <c r="B117" s="137"/>
      <c r="C117" s="137"/>
      <c r="D117" s="136"/>
      <c r="E117" s="136"/>
      <c r="F117" s="136"/>
      <c r="G117" s="136"/>
      <c r="H117" s="138"/>
      <c r="I117" s="138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</row>
    <row r="118" ht="15.75" customHeight="1">
      <c r="A118" s="136"/>
      <c r="B118" s="137"/>
      <c r="C118" s="137"/>
      <c r="D118" s="136"/>
      <c r="E118" s="136"/>
      <c r="F118" s="136"/>
      <c r="G118" s="136"/>
      <c r="H118" s="138"/>
      <c r="I118" s="138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</row>
    <row r="119" ht="15.75" customHeight="1">
      <c r="A119" s="136"/>
      <c r="B119" s="137"/>
      <c r="C119" s="137"/>
      <c r="D119" s="136"/>
      <c r="E119" s="136"/>
      <c r="F119" s="136"/>
      <c r="G119" s="136"/>
      <c r="H119" s="138"/>
      <c r="I119" s="138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</row>
    <row r="120" ht="15.75" customHeight="1">
      <c r="A120" s="136"/>
      <c r="B120" s="137"/>
      <c r="C120" s="137"/>
      <c r="D120" s="136"/>
      <c r="E120" s="136"/>
      <c r="F120" s="136"/>
      <c r="G120" s="136"/>
      <c r="H120" s="138"/>
      <c r="I120" s="138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</row>
    <row r="121" ht="15.75" customHeight="1">
      <c r="A121" s="136"/>
      <c r="B121" s="137"/>
      <c r="C121" s="137"/>
      <c r="D121" s="136"/>
      <c r="E121" s="136"/>
      <c r="F121" s="136"/>
      <c r="G121" s="136"/>
      <c r="H121" s="138"/>
      <c r="I121" s="138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</row>
    <row r="122" ht="15.75" customHeight="1">
      <c r="A122" s="136"/>
      <c r="B122" s="137"/>
      <c r="C122" s="137"/>
      <c r="D122" s="136"/>
      <c r="E122" s="136"/>
      <c r="F122" s="136"/>
      <c r="G122" s="136"/>
      <c r="H122" s="138"/>
      <c r="I122" s="138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</row>
    <row r="123" ht="15.75" customHeight="1">
      <c r="A123" s="136"/>
      <c r="B123" s="137"/>
      <c r="C123" s="137"/>
      <c r="D123" s="136"/>
      <c r="E123" s="136"/>
      <c r="F123" s="136"/>
      <c r="G123" s="136"/>
      <c r="H123" s="138"/>
      <c r="I123" s="138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</row>
    <row r="124" ht="15.75" customHeight="1">
      <c r="A124" s="136"/>
      <c r="B124" s="137"/>
      <c r="C124" s="137"/>
      <c r="D124" s="136"/>
      <c r="E124" s="136"/>
      <c r="F124" s="136"/>
      <c r="G124" s="136"/>
      <c r="H124" s="138"/>
      <c r="I124" s="138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</row>
    <row r="125" ht="15.75" customHeight="1">
      <c r="A125" s="136"/>
      <c r="B125" s="137"/>
      <c r="C125" s="137"/>
      <c r="D125" s="136"/>
      <c r="E125" s="136"/>
      <c r="F125" s="136"/>
      <c r="G125" s="136"/>
      <c r="H125" s="138"/>
      <c r="I125" s="138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</row>
    <row r="126" ht="15.75" customHeight="1">
      <c r="A126" s="136"/>
      <c r="B126" s="137"/>
      <c r="C126" s="137"/>
      <c r="D126" s="136"/>
      <c r="E126" s="136"/>
      <c r="F126" s="136"/>
      <c r="G126" s="136"/>
      <c r="H126" s="138"/>
      <c r="I126" s="138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</row>
    <row r="127" ht="15.75" customHeight="1">
      <c r="A127" s="136"/>
      <c r="B127" s="137"/>
      <c r="C127" s="137"/>
      <c r="D127" s="136"/>
      <c r="E127" s="136"/>
      <c r="F127" s="136"/>
      <c r="G127" s="136"/>
      <c r="H127" s="138"/>
      <c r="I127" s="138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</row>
    <row r="128" ht="15.75" customHeight="1">
      <c r="A128" s="136"/>
      <c r="B128" s="137"/>
      <c r="C128" s="137"/>
      <c r="D128" s="136"/>
      <c r="E128" s="136"/>
      <c r="F128" s="136"/>
      <c r="G128" s="136"/>
      <c r="H128" s="138"/>
      <c r="I128" s="138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</row>
    <row r="129" ht="15.75" customHeight="1">
      <c r="A129" s="136"/>
      <c r="B129" s="137"/>
      <c r="C129" s="137"/>
      <c r="D129" s="136"/>
      <c r="E129" s="136"/>
      <c r="F129" s="136"/>
      <c r="G129" s="136"/>
      <c r="H129" s="138"/>
      <c r="I129" s="138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</row>
    <row r="130" ht="15.75" customHeight="1">
      <c r="A130" s="136"/>
      <c r="B130" s="137"/>
      <c r="C130" s="137"/>
      <c r="D130" s="136"/>
      <c r="E130" s="136"/>
      <c r="F130" s="136"/>
      <c r="G130" s="136"/>
      <c r="H130" s="138"/>
      <c r="I130" s="138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</row>
    <row r="131" ht="15.75" customHeight="1">
      <c r="A131" s="136"/>
      <c r="B131" s="137"/>
      <c r="C131" s="137"/>
      <c r="D131" s="136"/>
      <c r="E131" s="136"/>
      <c r="F131" s="136"/>
      <c r="G131" s="136"/>
      <c r="H131" s="138"/>
      <c r="I131" s="138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</row>
    <row r="132" ht="15.75" customHeight="1">
      <c r="A132" s="136"/>
      <c r="B132" s="137"/>
      <c r="C132" s="137"/>
      <c r="D132" s="136"/>
      <c r="E132" s="136"/>
      <c r="F132" s="136"/>
      <c r="G132" s="136"/>
      <c r="H132" s="138"/>
      <c r="I132" s="138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</row>
    <row r="133" ht="15.75" customHeight="1">
      <c r="A133" s="136"/>
      <c r="B133" s="137"/>
      <c r="C133" s="137"/>
      <c r="D133" s="136"/>
      <c r="E133" s="136"/>
      <c r="F133" s="136"/>
      <c r="G133" s="136"/>
      <c r="H133" s="138"/>
      <c r="I133" s="138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</row>
    <row r="134" ht="15.75" customHeight="1">
      <c r="A134" s="136"/>
      <c r="B134" s="137"/>
      <c r="C134" s="137"/>
      <c r="D134" s="136"/>
      <c r="E134" s="136"/>
      <c r="F134" s="136"/>
      <c r="G134" s="136"/>
      <c r="H134" s="138"/>
      <c r="I134" s="138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</row>
    <row r="135" ht="15.75" customHeight="1">
      <c r="A135" s="136"/>
      <c r="B135" s="137"/>
      <c r="C135" s="137"/>
      <c r="D135" s="136"/>
      <c r="E135" s="136"/>
      <c r="F135" s="136"/>
      <c r="G135" s="136"/>
      <c r="H135" s="138"/>
      <c r="I135" s="138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</row>
    <row r="136" ht="15.75" customHeight="1">
      <c r="A136" s="136"/>
      <c r="B136" s="137"/>
      <c r="C136" s="137"/>
      <c r="D136" s="136"/>
      <c r="E136" s="136"/>
      <c r="F136" s="136"/>
      <c r="G136" s="136"/>
      <c r="H136" s="138"/>
      <c r="I136" s="138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</row>
    <row r="137" ht="15.75" customHeight="1">
      <c r="A137" s="136"/>
      <c r="B137" s="137"/>
      <c r="C137" s="137"/>
      <c r="D137" s="136"/>
      <c r="E137" s="136"/>
      <c r="F137" s="136"/>
      <c r="G137" s="136"/>
      <c r="H137" s="138"/>
      <c r="I137" s="138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</row>
    <row r="138" ht="15.75" customHeight="1">
      <c r="A138" s="136"/>
      <c r="B138" s="137"/>
      <c r="C138" s="137"/>
      <c r="D138" s="136"/>
      <c r="E138" s="136"/>
      <c r="F138" s="136"/>
      <c r="G138" s="136"/>
      <c r="H138" s="138"/>
      <c r="I138" s="138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</row>
    <row r="139" ht="15.75" customHeight="1">
      <c r="A139" s="136"/>
      <c r="B139" s="137"/>
      <c r="C139" s="137"/>
      <c r="D139" s="136"/>
      <c r="E139" s="136"/>
      <c r="F139" s="136"/>
      <c r="G139" s="136"/>
      <c r="H139" s="138"/>
      <c r="I139" s="138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</row>
    <row r="140" ht="15.75" customHeight="1">
      <c r="A140" s="136"/>
      <c r="B140" s="137"/>
      <c r="C140" s="137"/>
      <c r="D140" s="136"/>
      <c r="E140" s="136"/>
      <c r="F140" s="136"/>
      <c r="G140" s="136"/>
      <c r="H140" s="138"/>
      <c r="I140" s="138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</row>
    <row r="141" ht="15.75" customHeight="1">
      <c r="A141" s="136"/>
      <c r="B141" s="137"/>
      <c r="C141" s="137"/>
      <c r="D141" s="136"/>
      <c r="E141" s="136"/>
      <c r="F141" s="136"/>
      <c r="G141" s="136"/>
      <c r="H141" s="138"/>
      <c r="I141" s="138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</row>
    <row r="142" ht="15.75" customHeight="1">
      <c r="A142" s="136"/>
      <c r="B142" s="137"/>
      <c r="C142" s="137"/>
      <c r="D142" s="136"/>
      <c r="E142" s="136"/>
      <c r="F142" s="136"/>
      <c r="G142" s="136"/>
      <c r="H142" s="138"/>
      <c r="I142" s="138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</row>
    <row r="143" ht="15.75" customHeight="1">
      <c r="A143" s="136"/>
      <c r="B143" s="137"/>
      <c r="C143" s="137"/>
      <c r="D143" s="136"/>
      <c r="E143" s="136"/>
      <c r="F143" s="136"/>
      <c r="G143" s="136"/>
      <c r="H143" s="138"/>
      <c r="I143" s="138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</row>
    <row r="144" ht="15.75" customHeight="1">
      <c r="A144" s="136"/>
      <c r="B144" s="137"/>
      <c r="C144" s="137"/>
      <c r="D144" s="136"/>
      <c r="E144" s="136"/>
      <c r="F144" s="136"/>
      <c r="G144" s="136"/>
      <c r="H144" s="138"/>
      <c r="I144" s="138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</row>
    <row r="145" ht="15.75" customHeight="1">
      <c r="A145" s="136"/>
      <c r="B145" s="137"/>
      <c r="C145" s="137"/>
      <c r="D145" s="136"/>
      <c r="E145" s="136"/>
      <c r="F145" s="136"/>
      <c r="G145" s="136"/>
      <c r="H145" s="138"/>
      <c r="I145" s="138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</row>
    <row r="146" ht="15.75" customHeight="1">
      <c r="A146" s="136"/>
      <c r="B146" s="137"/>
      <c r="C146" s="137"/>
      <c r="D146" s="136"/>
      <c r="E146" s="136"/>
      <c r="F146" s="136"/>
      <c r="G146" s="136"/>
      <c r="H146" s="138"/>
      <c r="I146" s="138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</row>
    <row r="147" ht="15.75" customHeight="1">
      <c r="A147" s="136"/>
      <c r="B147" s="137"/>
      <c r="C147" s="137"/>
      <c r="D147" s="136"/>
      <c r="E147" s="136"/>
      <c r="F147" s="136"/>
      <c r="G147" s="136"/>
      <c r="H147" s="138"/>
      <c r="I147" s="138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</row>
    <row r="148" ht="15.75" customHeight="1">
      <c r="A148" s="136"/>
      <c r="B148" s="137"/>
      <c r="C148" s="137"/>
      <c r="D148" s="136"/>
      <c r="E148" s="136"/>
      <c r="F148" s="136"/>
      <c r="G148" s="136"/>
      <c r="H148" s="138"/>
      <c r="I148" s="138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</row>
    <row r="149" ht="15.75" customHeight="1">
      <c r="A149" s="136"/>
      <c r="B149" s="137"/>
      <c r="C149" s="137"/>
      <c r="D149" s="136"/>
      <c r="E149" s="136"/>
      <c r="F149" s="136"/>
      <c r="G149" s="136"/>
      <c r="H149" s="138"/>
      <c r="I149" s="138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</row>
    <row r="150" ht="15.75" customHeight="1">
      <c r="A150" s="136"/>
      <c r="B150" s="137"/>
      <c r="C150" s="137"/>
      <c r="D150" s="136"/>
      <c r="E150" s="136"/>
      <c r="F150" s="136"/>
      <c r="G150" s="136"/>
      <c r="H150" s="138"/>
      <c r="I150" s="138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</row>
    <row r="151" ht="15.75" customHeight="1">
      <c r="A151" s="136"/>
      <c r="B151" s="137"/>
      <c r="C151" s="137"/>
      <c r="D151" s="136"/>
      <c r="E151" s="136"/>
      <c r="F151" s="136"/>
      <c r="G151" s="136"/>
      <c r="H151" s="138"/>
      <c r="I151" s="138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</row>
    <row r="152" ht="15.75" customHeight="1">
      <c r="A152" s="136"/>
      <c r="B152" s="137"/>
      <c r="C152" s="137"/>
      <c r="D152" s="136"/>
      <c r="E152" s="136"/>
      <c r="F152" s="136"/>
      <c r="G152" s="136"/>
      <c r="H152" s="138"/>
      <c r="I152" s="138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</row>
    <row r="153" ht="15.75" customHeight="1">
      <c r="A153" s="136"/>
      <c r="B153" s="137"/>
      <c r="C153" s="137"/>
      <c r="D153" s="136"/>
      <c r="E153" s="136"/>
      <c r="F153" s="136"/>
      <c r="G153" s="136"/>
      <c r="H153" s="138"/>
      <c r="I153" s="138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</row>
    <row r="154" ht="15.75" customHeight="1">
      <c r="A154" s="136"/>
      <c r="B154" s="137"/>
      <c r="C154" s="137"/>
      <c r="D154" s="136"/>
      <c r="E154" s="136"/>
      <c r="F154" s="136"/>
      <c r="G154" s="136"/>
      <c r="H154" s="138"/>
      <c r="I154" s="138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</row>
    <row r="155" ht="15.75" customHeight="1">
      <c r="A155" s="136"/>
      <c r="B155" s="137"/>
      <c r="C155" s="137"/>
      <c r="D155" s="136"/>
      <c r="E155" s="136"/>
      <c r="F155" s="136"/>
      <c r="G155" s="136"/>
      <c r="H155" s="138"/>
      <c r="I155" s="138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</row>
    <row r="156" ht="15.75" customHeight="1">
      <c r="A156" s="136"/>
      <c r="B156" s="137"/>
      <c r="C156" s="137"/>
      <c r="D156" s="136"/>
      <c r="E156" s="136"/>
      <c r="F156" s="136"/>
      <c r="G156" s="136"/>
      <c r="H156" s="138"/>
      <c r="I156" s="138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</row>
    <row r="157" ht="15.75" customHeight="1">
      <c r="A157" s="136"/>
      <c r="B157" s="137"/>
      <c r="C157" s="137"/>
      <c r="D157" s="136"/>
      <c r="E157" s="136"/>
      <c r="F157" s="136"/>
      <c r="G157" s="136"/>
      <c r="H157" s="138"/>
      <c r="I157" s="138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</row>
    <row r="158" ht="15.75" customHeight="1">
      <c r="A158" s="136"/>
      <c r="B158" s="137"/>
      <c r="C158" s="137"/>
      <c r="D158" s="136"/>
      <c r="E158" s="136"/>
      <c r="F158" s="136"/>
      <c r="G158" s="136"/>
      <c r="H158" s="138"/>
      <c r="I158" s="138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</row>
    <row r="159" ht="15.75" customHeight="1">
      <c r="A159" s="136"/>
      <c r="B159" s="137"/>
      <c r="C159" s="137"/>
      <c r="D159" s="136"/>
      <c r="E159" s="136"/>
      <c r="F159" s="136"/>
      <c r="G159" s="136"/>
      <c r="H159" s="138"/>
      <c r="I159" s="138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</row>
    <row r="160" ht="15.75" customHeight="1">
      <c r="A160" s="136"/>
      <c r="B160" s="137"/>
      <c r="C160" s="137"/>
      <c r="D160" s="136"/>
      <c r="E160" s="136"/>
      <c r="F160" s="136"/>
      <c r="G160" s="136"/>
      <c r="H160" s="138"/>
      <c r="I160" s="138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</row>
    <row r="161" ht="15.75" customHeight="1">
      <c r="A161" s="136"/>
      <c r="B161" s="137"/>
      <c r="C161" s="137"/>
      <c r="D161" s="136"/>
      <c r="E161" s="136"/>
      <c r="F161" s="136"/>
      <c r="G161" s="136"/>
      <c r="H161" s="138"/>
      <c r="I161" s="138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</row>
    <row r="162" ht="15.75" customHeight="1">
      <c r="A162" s="136"/>
      <c r="B162" s="137"/>
      <c r="C162" s="137"/>
      <c r="D162" s="136"/>
      <c r="E162" s="136"/>
      <c r="F162" s="136"/>
      <c r="G162" s="136"/>
      <c r="H162" s="138"/>
      <c r="I162" s="138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</row>
    <row r="163" ht="15.75" customHeight="1">
      <c r="A163" s="136"/>
      <c r="B163" s="137"/>
      <c r="C163" s="137"/>
      <c r="D163" s="136"/>
      <c r="E163" s="136"/>
      <c r="F163" s="136"/>
      <c r="G163" s="136"/>
      <c r="H163" s="138"/>
      <c r="I163" s="138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</row>
    <row r="164" ht="15.75" customHeight="1">
      <c r="A164" s="136"/>
      <c r="B164" s="137"/>
      <c r="C164" s="137"/>
      <c r="D164" s="136"/>
      <c r="E164" s="136"/>
      <c r="F164" s="136"/>
      <c r="G164" s="136"/>
      <c r="H164" s="138"/>
      <c r="I164" s="138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</row>
    <row r="165" ht="15.75" customHeight="1">
      <c r="A165" s="136"/>
      <c r="B165" s="137"/>
      <c r="C165" s="137"/>
      <c r="D165" s="136"/>
      <c r="E165" s="136"/>
      <c r="F165" s="136"/>
      <c r="G165" s="136"/>
      <c r="H165" s="138"/>
      <c r="I165" s="138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</row>
    <row r="166" ht="15.75" customHeight="1">
      <c r="A166" s="136"/>
      <c r="B166" s="137"/>
      <c r="C166" s="137"/>
      <c r="D166" s="136"/>
      <c r="E166" s="136"/>
      <c r="F166" s="136"/>
      <c r="G166" s="136"/>
      <c r="H166" s="138"/>
      <c r="I166" s="138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</row>
    <row r="167" ht="15.75" customHeight="1">
      <c r="A167" s="136"/>
      <c r="B167" s="137"/>
      <c r="C167" s="137"/>
      <c r="D167" s="136"/>
      <c r="E167" s="136"/>
      <c r="F167" s="136"/>
      <c r="G167" s="136"/>
      <c r="H167" s="138"/>
      <c r="I167" s="138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</row>
    <row r="168" ht="15.75" customHeight="1">
      <c r="A168" s="136"/>
      <c r="B168" s="137"/>
      <c r="C168" s="137"/>
      <c r="D168" s="136"/>
      <c r="E168" s="136"/>
      <c r="F168" s="136"/>
      <c r="G168" s="136"/>
      <c r="H168" s="138"/>
      <c r="I168" s="138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</row>
    <row r="169" ht="15.75" customHeight="1">
      <c r="A169" s="136"/>
      <c r="B169" s="137"/>
      <c r="C169" s="137"/>
      <c r="D169" s="136"/>
      <c r="E169" s="136"/>
      <c r="F169" s="136"/>
      <c r="G169" s="136"/>
      <c r="H169" s="138"/>
      <c r="I169" s="138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</row>
    <row r="170" ht="15.75" customHeight="1">
      <c r="A170" s="136"/>
      <c r="B170" s="137"/>
      <c r="C170" s="137"/>
      <c r="D170" s="136"/>
      <c r="E170" s="136"/>
      <c r="F170" s="136"/>
      <c r="G170" s="136"/>
      <c r="H170" s="138"/>
      <c r="I170" s="138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</row>
    <row r="171" ht="15.75" customHeight="1">
      <c r="A171" s="136"/>
      <c r="B171" s="137"/>
      <c r="C171" s="137"/>
      <c r="D171" s="136"/>
      <c r="E171" s="136"/>
      <c r="F171" s="136"/>
      <c r="G171" s="136"/>
      <c r="H171" s="138"/>
      <c r="I171" s="138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</row>
    <row r="172" ht="15.75" customHeight="1">
      <c r="A172" s="136"/>
      <c r="B172" s="137"/>
      <c r="C172" s="137"/>
      <c r="D172" s="136"/>
      <c r="E172" s="136"/>
      <c r="F172" s="136"/>
      <c r="G172" s="136"/>
      <c r="H172" s="138"/>
      <c r="I172" s="138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</row>
    <row r="173" ht="15.75" customHeight="1">
      <c r="A173" s="136"/>
      <c r="B173" s="137"/>
      <c r="C173" s="137"/>
      <c r="D173" s="136"/>
      <c r="E173" s="136"/>
      <c r="F173" s="136"/>
      <c r="G173" s="136"/>
      <c r="H173" s="138"/>
      <c r="I173" s="138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</row>
    <row r="174" ht="15.75" customHeight="1">
      <c r="A174" s="136"/>
      <c r="B174" s="137"/>
      <c r="C174" s="137"/>
      <c r="D174" s="136"/>
      <c r="E174" s="136"/>
      <c r="F174" s="136"/>
      <c r="G174" s="136"/>
      <c r="H174" s="138"/>
      <c r="I174" s="138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</row>
    <row r="175" ht="15.75" customHeight="1">
      <c r="A175" s="136"/>
      <c r="B175" s="137"/>
      <c r="C175" s="137"/>
      <c r="D175" s="136"/>
      <c r="E175" s="136"/>
      <c r="F175" s="136"/>
      <c r="G175" s="136"/>
      <c r="H175" s="138"/>
      <c r="I175" s="138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</row>
    <row r="176" ht="15.75" customHeight="1">
      <c r="A176" s="136"/>
      <c r="B176" s="137"/>
      <c r="C176" s="137"/>
      <c r="D176" s="136"/>
      <c r="E176" s="136"/>
      <c r="F176" s="136"/>
      <c r="G176" s="136"/>
      <c r="H176" s="138"/>
      <c r="I176" s="138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</row>
    <row r="177" ht="15.75" customHeight="1">
      <c r="A177" s="136"/>
      <c r="B177" s="137"/>
      <c r="C177" s="137"/>
      <c r="D177" s="136"/>
      <c r="E177" s="136"/>
      <c r="F177" s="136"/>
      <c r="G177" s="136"/>
      <c r="H177" s="138"/>
      <c r="I177" s="138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</row>
    <row r="178" ht="15.75" customHeight="1">
      <c r="A178" s="136"/>
      <c r="B178" s="137"/>
      <c r="C178" s="137"/>
      <c r="D178" s="136"/>
      <c r="E178" s="136"/>
      <c r="F178" s="136"/>
      <c r="G178" s="136"/>
      <c r="H178" s="138"/>
      <c r="I178" s="138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</row>
    <row r="179" ht="15.75" customHeight="1">
      <c r="A179" s="136"/>
      <c r="B179" s="137"/>
      <c r="C179" s="137"/>
      <c r="D179" s="136"/>
      <c r="E179" s="136"/>
      <c r="F179" s="136"/>
      <c r="G179" s="136"/>
      <c r="H179" s="138"/>
      <c r="I179" s="138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</row>
    <row r="180" ht="15.75" customHeight="1">
      <c r="A180" s="136"/>
      <c r="B180" s="137"/>
      <c r="C180" s="137"/>
      <c r="D180" s="136"/>
      <c r="E180" s="136"/>
      <c r="F180" s="136"/>
      <c r="G180" s="136"/>
      <c r="H180" s="138"/>
      <c r="I180" s="138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</row>
    <row r="181" ht="15.75" customHeight="1">
      <c r="A181" s="136"/>
      <c r="B181" s="137"/>
      <c r="C181" s="137"/>
      <c r="D181" s="136"/>
      <c r="E181" s="136"/>
      <c r="F181" s="136"/>
      <c r="G181" s="136"/>
      <c r="H181" s="138"/>
      <c r="I181" s="138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</row>
    <row r="182" ht="15.75" customHeight="1">
      <c r="A182" s="136"/>
      <c r="B182" s="137"/>
      <c r="C182" s="137"/>
      <c r="D182" s="136"/>
      <c r="E182" s="136"/>
      <c r="F182" s="136"/>
      <c r="G182" s="136"/>
      <c r="H182" s="138"/>
      <c r="I182" s="138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</row>
    <row r="183" ht="15.75" customHeight="1">
      <c r="A183" s="136"/>
      <c r="B183" s="137"/>
      <c r="C183" s="137"/>
      <c r="D183" s="136"/>
      <c r="E183" s="136"/>
      <c r="F183" s="136"/>
      <c r="G183" s="136"/>
      <c r="H183" s="138"/>
      <c r="I183" s="138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</row>
    <row r="184" ht="15.75" customHeight="1">
      <c r="A184" s="136"/>
      <c r="B184" s="137"/>
      <c r="C184" s="137"/>
      <c r="D184" s="136"/>
      <c r="E184" s="136"/>
      <c r="F184" s="136"/>
      <c r="G184" s="136"/>
      <c r="H184" s="138"/>
      <c r="I184" s="138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</row>
    <row r="185" ht="15.75" customHeight="1">
      <c r="A185" s="136"/>
      <c r="B185" s="137"/>
      <c r="C185" s="137"/>
      <c r="D185" s="136"/>
      <c r="E185" s="136"/>
      <c r="F185" s="136"/>
      <c r="G185" s="136"/>
      <c r="H185" s="138"/>
      <c r="I185" s="138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</row>
    <row r="186" ht="15.75" customHeight="1">
      <c r="A186" s="136"/>
      <c r="B186" s="137"/>
      <c r="C186" s="137"/>
      <c r="D186" s="136"/>
      <c r="E186" s="136"/>
      <c r="F186" s="136"/>
      <c r="G186" s="136"/>
      <c r="H186" s="138"/>
      <c r="I186" s="138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</row>
    <row r="187" ht="15.75" customHeight="1">
      <c r="A187" s="136"/>
      <c r="B187" s="137"/>
      <c r="C187" s="137"/>
      <c r="D187" s="136"/>
      <c r="E187" s="136"/>
      <c r="F187" s="136"/>
      <c r="G187" s="136"/>
      <c r="H187" s="138"/>
      <c r="I187" s="138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</row>
    <row r="188" ht="15.75" customHeight="1">
      <c r="A188" s="136"/>
      <c r="B188" s="137"/>
      <c r="C188" s="137"/>
      <c r="D188" s="136"/>
      <c r="E188" s="136"/>
      <c r="F188" s="136"/>
      <c r="G188" s="136"/>
      <c r="H188" s="138"/>
      <c r="I188" s="138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</row>
    <row r="189" ht="15.75" customHeight="1">
      <c r="A189" s="136"/>
      <c r="B189" s="137"/>
      <c r="C189" s="137"/>
      <c r="D189" s="136"/>
      <c r="E189" s="136"/>
      <c r="F189" s="136"/>
      <c r="G189" s="136"/>
      <c r="H189" s="138"/>
      <c r="I189" s="138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</row>
    <row r="190" ht="15.75" customHeight="1">
      <c r="A190" s="136"/>
      <c r="B190" s="137"/>
      <c r="C190" s="137"/>
      <c r="D190" s="136"/>
      <c r="E190" s="136"/>
      <c r="F190" s="136"/>
      <c r="G190" s="136"/>
      <c r="H190" s="138"/>
      <c r="I190" s="138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</row>
    <row r="191" ht="15.75" customHeight="1">
      <c r="A191" s="136"/>
      <c r="B191" s="137"/>
      <c r="C191" s="137"/>
      <c r="D191" s="136"/>
      <c r="E191" s="136"/>
      <c r="F191" s="136"/>
      <c r="G191" s="136"/>
      <c r="H191" s="138"/>
      <c r="I191" s="138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</row>
    <row r="192" ht="15.75" customHeight="1">
      <c r="A192" s="136"/>
      <c r="B192" s="137"/>
      <c r="C192" s="137"/>
      <c r="D192" s="136"/>
      <c r="E192" s="136"/>
      <c r="F192" s="136"/>
      <c r="G192" s="136"/>
      <c r="H192" s="138"/>
      <c r="I192" s="138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</row>
    <row r="193" ht="15.75" customHeight="1">
      <c r="A193" s="136"/>
      <c r="B193" s="137"/>
      <c r="C193" s="137"/>
      <c r="D193" s="136"/>
      <c r="E193" s="136"/>
      <c r="F193" s="136"/>
      <c r="G193" s="136"/>
      <c r="H193" s="138"/>
      <c r="I193" s="138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</row>
    <row r="194" ht="15.75" customHeight="1">
      <c r="A194" s="136"/>
      <c r="B194" s="137"/>
      <c r="C194" s="137"/>
      <c r="D194" s="136"/>
      <c r="E194" s="136"/>
      <c r="F194" s="136"/>
      <c r="G194" s="136"/>
      <c r="H194" s="138"/>
      <c r="I194" s="138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</row>
    <row r="195" ht="15.75" customHeight="1">
      <c r="A195" s="136"/>
      <c r="B195" s="137"/>
      <c r="C195" s="137"/>
      <c r="D195" s="136"/>
      <c r="E195" s="136"/>
      <c r="F195" s="136"/>
      <c r="G195" s="136"/>
      <c r="H195" s="138"/>
      <c r="I195" s="138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</row>
    <row r="196" ht="15.75" customHeight="1">
      <c r="A196" s="136"/>
      <c r="B196" s="137"/>
      <c r="C196" s="137"/>
      <c r="D196" s="136"/>
      <c r="E196" s="136"/>
      <c r="F196" s="136"/>
      <c r="G196" s="136"/>
      <c r="H196" s="138"/>
      <c r="I196" s="138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</row>
    <row r="197" ht="15.75" customHeight="1">
      <c r="A197" s="136"/>
      <c r="B197" s="137"/>
      <c r="C197" s="137"/>
      <c r="D197" s="136"/>
      <c r="E197" s="136"/>
      <c r="F197" s="136"/>
      <c r="G197" s="136"/>
      <c r="H197" s="138"/>
      <c r="I197" s="138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</row>
    <row r="198" ht="15.75" customHeight="1">
      <c r="A198" s="136"/>
      <c r="B198" s="137"/>
      <c r="C198" s="137"/>
      <c r="D198" s="136"/>
      <c r="E198" s="136"/>
      <c r="F198" s="136"/>
      <c r="G198" s="136"/>
      <c r="H198" s="138"/>
      <c r="I198" s="138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</row>
    <row r="199" ht="15.75" customHeight="1">
      <c r="A199" s="136"/>
      <c r="B199" s="137"/>
      <c r="C199" s="137"/>
      <c r="D199" s="136"/>
      <c r="E199" s="136"/>
      <c r="F199" s="136"/>
      <c r="G199" s="136"/>
      <c r="H199" s="138"/>
      <c r="I199" s="138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</row>
    <row r="200" ht="15.75" customHeight="1">
      <c r="A200" s="136"/>
      <c r="B200" s="137"/>
      <c r="C200" s="137"/>
      <c r="D200" s="136"/>
      <c r="E200" s="136"/>
      <c r="F200" s="136"/>
      <c r="G200" s="136"/>
      <c r="H200" s="138"/>
      <c r="I200" s="138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</row>
    <row r="201" ht="15.75" customHeight="1">
      <c r="A201" s="136"/>
      <c r="B201" s="137"/>
      <c r="C201" s="137"/>
      <c r="D201" s="136"/>
      <c r="E201" s="136"/>
      <c r="F201" s="136"/>
      <c r="G201" s="136"/>
      <c r="H201" s="138"/>
      <c r="I201" s="138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</row>
    <row r="202" ht="15.75" customHeight="1">
      <c r="A202" s="136"/>
      <c r="B202" s="137"/>
      <c r="C202" s="137"/>
      <c r="D202" s="136"/>
      <c r="E202" s="136"/>
      <c r="F202" s="136"/>
      <c r="G202" s="136"/>
      <c r="H202" s="138"/>
      <c r="I202" s="138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</row>
    <row r="203" ht="15.75" customHeight="1">
      <c r="A203" s="136"/>
      <c r="B203" s="137"/>
      <c r="C203" s="137"/>
      <c r="D203" s="136"/>
      <c r="E203" s="136"/>
      <c r="F203" s="136"/>
      <c r="G203" s="136"/>
      <c r="H203" s="138"/>
      <c r="I203" s="138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</row>
    <row r="204" ht="15.75" customHeight="1">
      <c r="A204" s="136"/>
      <c r="B204" s="137"/>
      <c r="C204" s="137"/>
      <c r="D204" s="136"/>
      <c r="E204" s="136"/>
      <c r="F204" s="136"/>
      <c r="G204" s="136"/>
      <c r="H204" s="138"/>
      <c r="I204" s="138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</row>
    <row r="205" ht="15.75" customHeight="1">
      <c r="A205" s="136"/>
      <c r="B205" s="137"/>
      <c r="C205" s="137"/>
      <c r="D205" s="136"/>
      <c r="E205" s="136"/>
      <c r="F205" s="136"/>
      <c r="G205" s="136"/>
      <c r="H205" s="138"/>
      <c r="I205" s="138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</row>
    <row r="206" ht="15.75" customHeight="1">
      <c r="A206" s="136"/>
      <c r="B206" s="137"/>
      <c r="C206" s="137"/>
      <c r="D206" s="136"/>
      <c r="E206" s="136"/>
      <c r="F206" s="136"/>
      <c r="G206" s="136"/>
      <c r="H206" s="138"/>
      <c r="I206" s="138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</row>
    <row r="207" ht="15.75" customHeight="1">
      <c r="A207" s="136"/>
      <c r="B207" s="137"/>
      <c r="C207" s="137"/>
      <c r="D207" s="136"/>
      <c r="E207" s="136"/>
      <c r="F207" s="136"/>
      <c r="G207" s="136"/>
      <c r="H207" s="138"/>
      <c r="I207" s="138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</row>
    <row r="208" ht="15.75" customHeight="1">
      <c r="A208" s="136"/>
      <c r="B208" s="137"/>
      <c r="C208" s="137"/>
      <c r="D208" s="136"/>
      <c r="E208" s="136"/>
      <c r="F208" s="136"/>
      <c r="G208" s="136"/>
      <c r="H208" s="138"/>
      <c r="I208" s="138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</row>
    <row r="209" ht="15.75" customHeight="1">
      <c r="A209" s="136"/>
      <c r="B209" s="137"/>
      <c r="C209" s="137"/>
      <c r="D209" s="136"/>
      <c r="E209" s="136"/>
      <c r="F209" s="136"/>
      <c r="G209" s="136"/>
      <c r="H209" s="138"/>
      <c r="I209" s="138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</row>
    <row r="210" ht="15.75" customHeight="1">
      <c r="A210" s="136"/>
      <c r="B210" s="137"/>
      <c r="C210" s="137"/>
      <c r="D210" s="136"/>
      <c r="E210" s="136"/>
      <c r="F210" s="136"/>
      <c r="G210" s="136"/>
      <c r="H210" s="138"/>
      <c r="I210" s="138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</row>
    <row r="211" ht="15.75" customHeight="1">
      <c r="A211" s="136"/>
      <c r="B211" s="137"/>
      <c r="C211" s="137"/>
      <c r="D211" s="136"/>
      <c r="E211" s="136"/>
      <c r="F211" s="136"/>
      <c r="G211" s="136"/>
      <c r="H211" s="138"/>
      <c r="I211" s="138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</row>
    <row r="212" ht="15.75" customHeight="1">
      <c r="A212" s="136"/>
      <c r="B212" s="137"/>
      <c r="C212" s="137"/>
      <c r="D212" s="136"/>
      <c r="E212" s="136"/>
      <c r="F212" s="136"/>
      <c r="G212" s="136"/>
      <c r="H212" s="138"/>
      <c r="I212" s="138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</row>
    <row r="213" ht="15.75" customHeight="1">
      <c r="A213" s="136"/>
      <c r="B213" s="137"/>
      <c r="C213" s="137"/>
      <c r="D213" s="136"/>
      <c r="E213" s="136"/>
      <c r="F213" s="136"/>
      <c r="G213" s="136"/>
      <c r="H213" s="138"/>
      <c r="I213" s="138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</row>
    <row r="214" ht="15.75" customHeight="1">
      <c r="A214" s="136"/>
      <c r="B214" s="137"/>
      <c r="C214" s="137"/>
      <c r="D214" s="136"/>
      <c r="E214" s="136"/>
      <c r="F214" s="136"/>
      <c r="G214" s="136"/>
      <c r="H214" s="138"/>
      <c r="I214" s="138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</row>
    <row r="215" ht="15.75" customHeight="1">
      <c r="A215" s="136"/>
      <c r="B215" s="137"/>
      <c r="C215" s="137"/>
      <c r="D215" s="136"/>
      <c r="E215" s="136"/>
      <c r="F215" s="136"/>
      <c r="G215" s="136"/>
      <c r="H215" s="138"/>
      <c r="I215" s="138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</row>
    <row r="216" ht="15.75" customHeight="1">
      <c r="A216" s="136"/>
      <c r="B216" s="137"/>
      <c r="C216" s="137"/>
      <c r="D216" s="136"/>
      <c r="E216" s="136"/>
      <c r="F216" s="136"/>
      <c r="G216" s="136"/>
      <c r="H216" s="138"/>
      <c r="I216" s="138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</row>
    <row r="217" ht="15.75" customHeight="1">
      <c r="A217" s="136"/>
      <c r="B217" s="137"/>
      <c r="C217" s="137"/>
      <c r="D217" s="136"/>
      <c r="E217" s="136"/>
      <c r="F217" s="136"/>
      <c r="G217" s="136"/>
      <c r="H217" s="138"/>
      <c r="I217" s="138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</row>
    <row r="218" ht="15.75" customHeight="1">
      <c r="A218" s="136"/>
      <c r="B218" s="137"/>
      <c r="C218" s="137"/>
      <c r="D218" s="136"/>
      <c r="E218" s="136"/>
      <c r="F218" s="136"/>
      <c r="G218" s="136"/>
      <c r="H218" s="138"/>
      <c r="I218" s="138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</row>
    <row r="219" ht="15.75" customHeight="1">
      <c r="A219" s="136"/>
      <c r="B219" s="137"/>
      <c r="C219" s="137"/>
      <c r="D219" s="136"/>
      <c r="E219" s="136"/>
      <c r="F219" s="136"/>
      <c r="G219" s="136"/>
      <c r="H219" s="138"/>
      <c r="I219" s="138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</row>
    <row r="220" ht="15.75" customHeight="1">
      <c r="A220" s="136"/>
      <c r="B220" s="137"/>
      <c r="C220" s="137"/>
      <c r="D220" s="136"/>
      <c r="E220" s="136"/>
      <c r="F220" s="136"/>
      <c r="G220" s="136"/>
      <c r="H220" s="138"/>
      <c r="I220" s="138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</row>
    <row r="221" ht="15.75" customHeight="1">
      <c r="A221" s="136"/>
      <c r="B221" s="137"/>
      <c r="C221" s="137"/>
      <c r="D221" s="136"/>
      <c r="E221" s="136"/>
      <c r="F221" s="136"/>
      <c r="G221" s="136"/>
      <c r="H221" s="138"/>
      <c r="I221" s="138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</row>
    <row r="222" ht="15.75" customHeight="1">
      <c r="A222" s="136"/>
      <c r="B222" s="137"/>
      <c r="C222" s="137"/>
      <c r="D222" s="136"/>
      <c r="E222" s="136"/>
      <c r="F222" s="136"/>
      <c r="G222" s="136"/>
      <c r="H222" s="138"/>
      <c r="I222" s="138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</row>
    <row r="223" ht="15.75" customHeight="1">
      <c r="A223" s="136"/>
      <c r="B223" s="137"/>
      <c r="C223" s="137"/>
      <c r="D223" s="136"/>
      <c r="E223" s="136"/>
      <c r="F223" s="136"/>
      <c r="G223" s="136"/>
      <c r="H223" s="138"/>
      <c r="I223" s="138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</row>
    <row r="224" ht="15.75" customHeight="1">
      <c r="A224" s="136"/>
      <c r="B224" s="137"/>
      <c r="C224" s="137"/>
      <c r="D224" s="136"/>
      <c r="E224" s="136"/>
      <c r="F224" s="136"/>
      <c r="G224" s="136"/>
      <c r="H224" s="138"/>
      <c r="I224" s="138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</row>
    <row r="225" ht="15.75" customHeight="1">
      <c r="A225" s="136"/>
      <c r="B225" s="137"/>
      <c r="C225" s="137"/>
      <c r="D225" s="136"/>
      <c r="E225" s="136"/>
      <c r="F225" s="136"/>
      <c r="G225" s="136"/>
      <c r="H225" s="138"/>
      <c r="I225" s="138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</row>
    <row r="226" ht="15.75" customHeight="1">
      <c r="A226" s="136"/>
      <c r="B226" s="137"/>
      <c r="C226" s="137"/>
      <c r="D226" s="136"/>
      <c r="E226" s="136"/>
      <c r="F226" s="136"/>
      <c r="G226" s="136"/>
      <c r="H226" s="138"/>
      <c r="I226" s="138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</row>
    <row r="227" ht="15.75" customHeight="1">
      <c r="A227" s="136"/>
      <c r="B227" s="137"/>
      <c r="C227" s="137"/>
      <c r="D227" s="136"/>
      <c r="E227" s="136"/>
      <c r="F227" s="136"/>
      <c r="G227" s="136"/>
      <c r="H227" s="138"/>
      <c r="I227" s="138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</row>
    <row r="228" ht="15.75" customHeight="1">
      <c r="A228" s="136"/>
      <c r="B228" s="137"/>
      <c r="C228" s="137"/>
      <c r="D228" s="136"/>
      <c r="E228" s="136"/>
      <c r="F228" s="136"/>
      <c r="G228" s="136"/>
      <c r="H228" s="138"/>
      <c r="I228" s="138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</row>
    <row r="229" ht="15.75" customHeight="1">
      <c r="A229" s="136"/>
      <c r="B229" s="137"/>
      <c r="C229" s="137"/>
      <c r="D229" s="136"/>
      <c r="E229" s="136"/>
      <c r="F229" s="136"/>
      <c r="G229" s="136"/>
      <c r="H229" s="138"/>
      <c r="I229" s="138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</row>
    <row r="230" ht="15.75" customHeight="1">
      <c r="A230" s="136"/>
      <c r="B230" s="137"/>
      <c r="C230" s="137"/>
      <c r="D230" s="136"/>
      <c r="E230" s="136"/>
      <c r="F230" s="136"/>
      <c r="G230" s="136"/>
      <c r="H230" s="138"/>
      <c r="I230" s="138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</row>
    <row r="231" ht="15.75" customHeight="1">
      <c r="A231" s="136"/>
      <c r="B231" s="137"/>
      <c r="C231" s="137"/>
      <c r="D231" s="136"/>
      <c r="E231" s="136"/>
      <c r="F231" s="136"/>
      <c r="G231" s="136"/>
      <c r="H231" s="138"/>
      <c r="I231" s="138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</row>
    <row r="232" ht="15.75" customHeight="1">
      <c r="A232" s="136"/>
      <c r="B232" s="137"/>
      <c r="C232" s="137"/>
      <c r="D232" s="136"/>
      <c r="E232" s="136"/>
      <c r="F232" s="136"/>
      <c r="G232" s="136"/>
      <c r="H232" s="138"/>
      <c r="I232" s="138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</row>
    <row r="233" ht="15.75" customHeight="1">
      <c r="A233" s="136"/>
      <c r="B233" s="137"/>
      <c r="C233" s="137"/>
      <c r="D233" s="136"/>
      <c r="E233" s="136"/>
      <c r="F233" s="136"/>
      <c r="G233" s="136"/>
      <c r="H233" s="138"/>
      <c r="I233" s="138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</row>
    <row r="234" ht="15.75" customHeight="1">
      <c r="A234" s="136"/>
      <c r="B234" s="137"/>
      <c r="C234" s="137"/>
      <c r="D234" s="136"/>
      <c r="E234" s="136"/>
      <c r="F234" s="136"/>
      <c r="G234" s="136"/>
      <c r="H234" s="138"/>
      <c r="I234" s="138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</row>
    <row r="235" ht="15.75" customHeight="1">
      <c r="A235" s="136"/>
      <c r="B235" s="137"/>
      <c r="C235" s="137"/>
      <c r="D235" s="136"/>
      <c r="E235" s="136"/>
      <c r="F235" s="136"/>
      <c r="G235" s="136"/>
      <c r="H235" s="138"/>
      <c r="I235" s="138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</row>
    <row r="236" ht="15.75" customHeight="1">
      <c r="A236" s="136"/>
      <c r="B236" s="137"/>
      <c r="C236" s="137"/>
      <c r="D236" s="136"/>
      <c r="E236" s="136"/>
      <c r="F236" s="136"/>
      <c r="G236" s="136"/>
      <c r="H236" s="138"/>
      <c r="I236" s="138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</row>
    <row r="237" ht="15.75" customHeight="1">
      <c r="A237" s="136"/>
      <c r="B237" s="137"/>
      <c r="C237" s="137"/>
      <c r="D237" s="136"/>
      <c r="E237" s="136"/>
      <c r="F237" s="136"/>
      <c r="G237" s="136"/>
      <c r="H237" s="138"/>
      <c r="I237" s="138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</row>
    <row r="238" ht="15.75" customHeight="1">
      <c r="A238" s="136"/>
      <c r="B238" s="137"/>
      <c r="C238" s="137"/>
      <c r="D238" s="136"/>
      <c r="E238" s="136"/>
      <c r="F238" s="136"/>
      <c r="G238" s="136"/>
      <c r="H238" s="138"/>
      <c r="I238" s="138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</row>
    <row r="239" ht="15.75" customHeight="1">
      <c r="A239" s="136"/>
      <c r="B239" s="137"/>
      <c r="C239" s="137"/>
      <c r="D239" s="136"/>
      <c r="E239" s="136"/>
      <c r="F239" s="136"/>
      <c r="G239" s="136"/>
      <c r="H239" s="138"/>
      <c r="I239" s="138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</row>
    <row r="240" ht="15.75" customHeight="1">
      <c r="A240" s="136"/>
      <c r="B240" s="137"/>
      <c r="C240" s="137"/>
      <c r="D240" s="136"/>
      <c r="E240" s="136"/>
      <c r="F240" s="136"/>
      <c r="G240" s="136"/>
      <c r="H240" s="138"/>
      <c r="I240" s="138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</row>
    <row r="241" ht="15.75" customHeight="1">
      <c r="A241" s="136"/>
      <c r="B241" s="137"/>
      <c r="C241" s="137"/>
      <c r="D241" s="136"/>
      <c r="E241" s="136"/>
      <c r="F241" s="136"/>
      <c r="G241" s="136"/>
      <c r="H241" s="138"/>
      <c r="I241" s="138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</row>
    <row r="242" ht="15.75" customHeight="1">
      <c r="A242" s="136"/>
      <c r="B242" s="137"/>
      <c r="C242" s="137"/>
      <c r="D242" s="136"/>
      <c r="E242" s="136"/>
      <c r="F242" s="136"/>
      <c r="G242" s="136"/>
      <c r="H242" s="138"/>
      <c r="I242" s="138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</row>
    <row r="243" ht="15.75" customHeight="1">
      <c r="A243" s="136"/>
      <c r="B243" s="137"/>
      <c r="C243" s="137"/>
      <c r="D243" s="136"/>
      <c r="E243" s="136"/>
      <c r="F243" s="136"/>
      <c r="G243" s="136"/>
      <c r="H243" s="138"/>
      <c r="I243" s="138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</row>
    <row r="244" ht="15.75" customHeight="1">
      <c r="A244" s="136"/>
      <c r="B244" s="137"/>
      <c r="C244" s="137"/>
      <c r="D244" s="136"/>
      <c r="E244" s="136"/>
      <c r="F244" s="136"/>
      <c r="G244" s="136"/>
      <c r="H244" s="138"/>
      <c r="I244" s="138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</row>
    <row r="245" ht="15.75" customHeight="1">
      <c r="A245" s="136"/>
      <c r="B245" s="137"/>
      <c r="C245" s="137"/>
      <c r="D245" s="136"/>
      <c r="E245" s="136"/>
      <c r="F245" s="136"/>
      <c r="G245" s="136"/>
      <c r="H245" s="138"/>
      <c r="I245" s="138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</row>
    <row r="246" ht="15.75" customHeight="1">
      <c r="A246" s="136"/>
      <c r="B246" s="137"/>
      <c r="C246" s="137"/>
      <c r="D246" s="136"/>
      <c r="E246" s="136"/>
      <c r="F246" s="136"/>
      <c r="G246" s="136"/>
      <c r="H246" s="138"/>
      <c r="I246" s="138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</row>
    <row r="247" ht="15.75" customHeight="1">
      <c r="A247" s="136"/>
      <c r="B247" s="137"/>
      <c r="C247" s="137"/>
      <c r="D247" s="136"/>
      <c r="E247" s="136"/>
      <c r="F247" s="136"/>
      <c r="G247" s="136"/>
      <c r="H247" s="138"/>
      <c r="I247" s="138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</row>
    <row r="248" ht="15.75" customHeight="1">
      <c r="A248" s="136"/>
      <c r="B248" s="137"/>
      <c r="C248" s="137"/>
      <c r="D248" s="136"/>
      <c r="E248" s="136"/>
      <c r="F248" s="136"/>
      <c r="G248" s="136"/>
      <c r="H248" s="138"/>
      <c r="I248" s="138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</row>
    <row r="249" ht="15.75" customHeight="1">
      <c r="A249" s="136"/>
      <c r="B249" s="137"/>
      <c r="C249" s="137"/>
      <c r="D249" s="136"/>
      <c r="E249" s="136"/>
      <c r="F249" s="136"/>
      <c r="G249" s="136"/>
      <c r="H249" s="138"/>
      <c r="I249" s="138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</row>
    <row r="250" ht="15.75" customHeight="1">
      <c r="A250" s="136"/>
      <c r="B250" s="137"/>
      <c r="C250" s="137"/>
      <c r="D250" s="136"/>
      <c r="E250" s="136"/>
      <c r="F250" s="136"/>
      <c r="G250" s="136"/>
      <c r="H250" s="138"/>
      <c r="I250" s="138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</row>
    <row r="251" ht="15.75" customHeight="1">
      <c r="A251" s="136"/>
      <c r="B251" s="137"/>
      <c r="C251" s="137"/>
      <c r="D251" s="136"/>
      <c r="E251" s="136"/>
      <c r="F251" s="136"/>
      <c r="G251" s="136"/>
      <c r="H251" s="138"/>
      <c r="I251" s="138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</row>
    <row r="252" ht="15.75" customHeight="1">
      <c r="A252" s="136"/>
      <c r="B252" s="137"/>
      <c r="C252" s="137"/>
      <c r="D252" s="136"/>
      <c r="E252" s="136"/>
      <c r="F252" s="136"/>
      <c r="G252" s="136"/>
      <c r="H252" s="138"/>
      <c r="I252" s="138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</row>
    <row r="253" ht="15.75" customHeight="1">
      <c r="A253" s="136"/>
      <c r="B253" s="137"/>
      <c r="C253" s="137"/>
      <c r="D253" s="136"/>
      <c r="E253" s="136"/>
      <c r="F253" s="136"/>
      <c r="G253" s="136"/>
      <c r="H253" s="138"/>
      <c r="I253" s="138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</row>
    <row r="254" ht="15.75" customHeight="1">
      <c r="A254" s="136"/>
      <c r="B254" s="137"/>
      <c r="C254" s="137"/>
      <c r="D254" s="136"/>
      <c r="E254" s="136"/>
      <c r="F254" s="136"/>
      <c r="G254" s="136"/>
      <c r="H254" s="138"/>
      <c r="I254" s="138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</row>
    <row r="255" ht="15.75" customHeight="1">
      <c r="A255" s="136"/>
      <c r="B255" s="137"/>
      <c r="C255" s="137"/>
      <c r="D255" s="136"/>
      <c r="E255" s="136"/>
      <c r="F255" s="136"/>
      <c r="G255" s="136"/>
      <c r="H255" s="138"/>
      <c r="I255" s="138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</row>
    <row r="256" ht="15.75" customHeight="1">
      <c r="A256" s="136"/>
      <c r="B256" s="137"/>
      <c r="C256" s="137"/>
      <c r="D256" s="136"/>
      <c r="E256" s="136"/>
      <c r="F256" s="136"/>
      <c r="G256" s="136"/>
      <c r="H256" s="138"/>
      <c r="I256" s="138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</row>
    <row r="257" ht="15.75" customHeight="1">
      <c r="A257" s="136"/>
      <c r="B257" s="137"/>
      <c r="C257" s="137"/>
      <c r="D257" s="136"/>
      <c r="E257" s="136"/>
      <c r="F257" s="136"/>
      <c r="G257" s="136"/>
      <c r="H257" s="138"/>
      <c r="I257" s="138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</row>
    <row r="258" ht="15.75" customHeight="1">
      <c r="A258" s="136"/>
      <c r="B258" s="137"/>
      <c r="C258" s="137"/>
      <c r="D258" s="136"/>
      <c r="E258" s="136"/>
      <c r="F258" s="136"/>
      <c r="G258" s="136"/>
      <c r="H258" s="138"/>
      <c r="I258" s="138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</row>
    <row r="259" ht="15.75" customHeight="1">
      <c r="A259" s="136"/>
      <c r="B259" s="137"/>
      <c r="C259" s="137"/>
      <c r="D259" s="136"/>
      <c r="E259" s="136"/>
      <c r="F259" s="136"/>
      <c r="G259" s="136"/>
      <c r="H259" s="138"/>
      <c r="I259" s="138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</row>
    <row r="260" ht="15.75" customHeight="1">
      <c r="A260" s="136"/>
      <c r="B260" s="137"/>
      <c r="C260" s="137"/>
      <c r="D260" s="136"/>
      <c r="E260" s="136"/>
      <c r="F260" s="136"/>
      <c r="G260" s="136"/>
      <c r="H260" s="138"/>
      <c r="I260" s="138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</row>
    <row r="261" ht="15.75" customHeight="1">
      <c r="A261" s="136"/>
      <c r="B261" s="137"/>
      <c r="C261" s="137"/>
      <c r="D261" s="136"/>
      <c r="E261" s="136"/>
      <c r="F261" s="136"/>
      <c r="G261" s="136"/>
      <c r="H261" s="138"/>
      <c r="I261" s="138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</row>
    <row r="262" ht="15.75" customHeight="1">
      <c r="A262" s="136"/>
      <c r="B262" s="137"/>
      <c r="C262" s="137"/>
      <c r="D262" s="136"/>
      <c r="E262" s="136"/>
      <c r="F262" s="136"/>
      <c r="G262" s="136"/>
      <c r="H262" s="138"/>
      <c r="I262" s="138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</row>
    <row r="263" ht="15.75" customHeight="1">
      <c r="A263" s="136"/>
      <c r="B263" s="137"/>
      <c r="C263" s="137"/>
      <c r="D263" s="136"/>
      <c r="E263" s="136"/>
      <c r="F263" s="136"/>
      <c r="G263" s="136"/>
      <c r="H263" s="138"/>
      <c r="I263" s="138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</row>
    <row r="264" ht="15.75" customHeight="1">
      <c r="A264" s="136"/>
      <c r="B264" s="137"/>
      <c r="C264" s="137"/>
      <c r="D264" s="136"/>
      <c r="E264" s="136"/>
      <c r="F264" s="136"/>
      <c r="G264" s="136"/>
      <c r="H264" s="138"/>
      <c r="I264" s="138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</row>
    <row r="265" ht="15.75" customHeight="1">
      <c r="A265" s="136"/>
      <c r="B265" s="137"/>
      <c r="C265" s="137"/>
      <c r="D265" s="136"/>
      <c r="E265" s="136"/>
      <c r="F265" s="136"/>
      <c r="G265" s="136"/>
      <c r="H265" s="138"/>
      <c r="I265" s="138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</row>
    <row r="266" ht="15.75" customHeight="1">
      <c r="A266" s="136"/>
      <c r="B266" s="137"/>
      <c r="C266" s="137"/>
      <c r="D266" s="136"/>
      <c r="E266" s="136"/>
      <c r="F266" s="136"/>
      <c r="G266" s="136"/>
      <c r="H266" s="138"/>
      <c r="I266" s="138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</row>
    <row r="267" ht="15.75" customHeight="1">
      <c r="A267" s="136"/>
      <c r="B267" s="137"/>
      <c r="C267" s="137"/>
      <c r="D267" s="136"/>
      <c r="E267" s="136"/>
      <c r="F267" s="136"/>
      <c r="G267" s="136"/>
      <c r="H267" s="138"/>
      <c r="I267" s="138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</row>
    <row r="268" ht="15.75" customHeight="1">
      <c r="A268" s="136"/>
      <c r="B268" s="137"/>
      <c r="C268" s="137"/>
      <c r="D268" s="136"/>
      <c r="E268" s="136"/>
      <c r="F268" s="136"/>
      <c r="G268" s="136"/>
      <c r="H268" s="138"/>
      <c r="I268" s="138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</row>
    <row r="269" ht="15.75" customHeight="1">
      <c r="A269" s="136"/>
      <c r="B269" s="137"/>
      <c r="C269" s="137"/>
      <c r="D269" s="136"/>
      <c r="E269" s="136"/>
      <c r="F269" s="136"/>
      <c r="G269" s="136"/>
      <c r="H269" s="138"/>
      <c r="I269" s="138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</row>
    <row r="270" ht="15.75" customHeight="1">
      <c r="A270" s="136"/>
      <c r="B270" s="137"/>
      <c r="C270" s="137"/>
      <c r="D270" s="136"/>
      <c r="E270" s="136"/>
      <c r="F270" s="136"/>
      <c r="G270" s="136"/>
      <c r="H270" s="138"/>
      <c r="I270" s="138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</row>
    <row r="271" ht="15.75" customHeight="1">
      <c r="A271" s="136"/>
      <c r="B271" s="137"/>
      <c r="C271" s="137"/>
      <c r="D271" s="136"/>
      <c r="E271" s="136"/>
      <c r="F271" s="136"/>
      <c r="G271" s="136"/>
      <c r="H271" s="138"/>
      <c r="I271" s="138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</row>
    <row r="272" ht="15.75" customHeight="1">
      <c r="A272" s="136"/>
      <c r="B272" s="137"/>
      <c r="C272" s="137"/>
      <c r="D272" s="136"/>
      <c r="E272" s="136"/>
      <c r="F272" s="136"/>
      <c r="G272" s="136"/>
      <c r="H272" s="138"/>
      <c r="I272" s="138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</row>
    <row r="273" ht="15.75" customHeight="1">
      <c r="A273" s="136"/>
      <c r="B273" s="137"/>
      <c r="C273" s="137"/>
      <c r="D273" s="136"/>
      <c r="E273" s="136"/>
      <c r="F273" s="136"/>
      <c r="G273" s="136"/>
      <c r="H273" s="138"/>
      <c r="I273" s="138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</row>
    <row r="274" ht="15.75" customHeight="1">
      <c r="A274" s="136"/>
      <c r="B274" s="137"/>
      <c r="C274" s="137"/>
      <c r="D274" s="136"/>
      <c r="E274" s="136"/>
      <c r="F274" s="136"/>
      <c r="G274" s="136"/>
      <c r="H274" s="138"/>
      <c r="I274" s="138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</row>
    <row r="275" ht="15.75" customHeight="1">
      <c r="A275" s="136"/>
      <c r="B275" s="137"/>
      <c r="C275" s="137"/>
      <c r="D275" s="136"/>
      <c r="E275" s="136"/>
      <c r="F275" s="136"/>
      <c r="G275" s="136"/>
      <c r="H275" s="138"/>
      <c r="I275" s="138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</row>
    <row r="276" ht="15.75" customHeight="1">
      <c r="A276" s="136"/>
      <c r="B276" s="137"/>
      <c r="C276" s="137"/>
      <c r="D276" s="136"/>
      <c r="E276" s="136"/>
      <c r="F276" s="136"/>
      <c r="G276" s="136"/>
      <c r="H276" s="138"/>
      <c r="I276" s="138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</row>
    <row r="277" ht="15.75" customHeight="1">
      <c r="A277" s="136"/>
      <c r="B277" s="137"/>
      <c r="C277" s="137"/>
      <c r="D277" s="136"/>
      <c r="E277" s="136"/>
      <c r="F277" s="136"/>
      <c r="G277" s="136"/>
      <c r="H277" s="138"/>
      <c r="I277" s="138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</row>
    <row r="278" ht="15.75" customHeight="1">
      <c r="A278" s="136"/>
      <c r="B278" s="137"/>
      <c r="C278" s="137"/>
      <c r="D278" s="136"/>
      <c r="E278" s="136"/>
      <c r="F278" s="136"/>
      <c r="G278" s="136"/>
      <c r="H278" s="138"/>
      <c r="I278" s="138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</row>
    <row r="279" ht="15.75" customHeight="1">
      <c r="A279" s="136"/>
      <c r="B279" s="137"/>
      <c r="C279" s="137"/>
      <c r="D279" s="136"/>
      <c r="E279" s="136"/>
      <c r="F279" s="136"/>
      <c r="G279" s="136"/>
      <c r="H279" s="138"/>
      <c r="I279" s="138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</row>
    <row r="280" ht="15.75" customHeight="1">
      <c r="A280" s="136"/>
      <c r="B280" s="137"/>
      <c r="C280" s="137"/>
      <c r="D280" s="136"/>
      <c r="E280" s="136"/>
      <c r="F280" s="136"/>
      <c r="G280" s="136"/>
      <c r="H280" s="138"/>
      <c r="I280" s="138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</row>
    <row r="281" ht="15.75" customHeight="1">
      <c r="A281" s="136"/>
      <c r="B281" s="137"/>
      <c r="C281" s="137"/>
      <c r="D281" s="136"/>
      <c r="E281" s="136"/>
      <c r="F281" s="136"/>
      <c r="G281" s="136"/>
      <c r="H281" s="138"/>
      <c r="I281" s="138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</row>
    <row r="282" ht="15.75" customHeight="1">
      <c r="A282" s="136"/>
      <c r="B282" s="137"/>
      <c r="C282" s="137"/>
      <c r="D282" s="136"/>
      <c r="E282" s="136"/>
      <c r="F282" s="136"/>
      <c r="G282" s="136"/>
      <c r="H282" s="138"/>
      <c r="I282" s="138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</row>
    <row r="283" ht="15.75" customHeight="1">
      <c r="A283" s="136"/>
      <c r="B283" s="137"/>
      <c r="C283" s="137"/>
      <c r="D283" s="136"/>
      <c r="E283" s="136"/>
      <c r="F283" s="136"/>
      <c r="G283" s="136"/>
      <c r="H283" s="138"/>
      <c r="I283" s="138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</row>
    <row r="284" ht="15.75" customHeight="1">
      <c r="A284" s="136"/>
      <c r="B284" s="137"/>
      <c r="C284" s="137"/>
      <c r="D284" s="136"/>
      <c r="E284" s="136"/>
      <c r="F284" s="136"/>
      <c r="G284" s="136"/>
      <c r="H284" s="138"/>
      <c r="I284" s="138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</row>
    <row r="285" ht="15.75" customHeight="1">
      <c r="A285" s="136"/>
      <c r="B285" s="137"/>
      <c r="C285" s="137"/>
      <c r="D285" s="136"/>
      <c r="E285" s="136"/>
      <c r="F285" s="136"/>
      <c r="G285" s="136"/>
      <c r="H285" s="138"/>
      <c r="I285" s="138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</row>
    <row r="286" ht="15.75" customHeight="1">
      <c r="A286" s="136"/>
      <c r="B286" s="137"/>
      <c r="C286" s="137"/>
      <c r="D286" s="136"/>
      <c r="E286" s="136"/>
      <c r="F286" s="136"/>
      <c r="G286" s="136"/>
      <c r="H286" s="138"/>
      <c r="I286" s="138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</row>
    <row r="287" ht="15.75" customHeight="1">
      <c r="A287" s="136"/>
      <c r="B287" s="137"/>
      <c r="C287" s="137"/>
      <c r="D287" s="136"/>
      <c r="E287" s="136"/>
      <c r="F287" s="136"/>
      <c r="G287" s="136"/>
      <c r="H287" s="138"/>
      <c r="I287" s="138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</row>
    <row r="288" ht="15.75" customHeight="1">
      <c r="A288" s="136"/>
      <c r="B288" s="137"/>
      <c r="C288" s="137"/>
      <c r="D288" s="136"/>
      <c r="E288" s="136"/>
      <c r="F288" s="136"/>
      <c r="G288" s="136"/>
      <c r="H288" s="138"/>
      <c r="I288" s="138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</row>
    <row r="289" ht="15.75" customHeight="1">
      <c r="A289" s="136"/>
      <c r="B289" s="137"/>
      <c r="C289" s="137"/>
      <c r="D289" s="136"/>
      <c r="E289" s="136"/>
      <c r="F289" s="136"/>
      <c r="G289" s="136"/>
      <c r="H289" s="138"/>
      <c r="I289" s="138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</row>
    <row r="290" ht="15.75" customHeight="1">
      <c r="A290" s="136"/>
      <c r="B290" s="137"/>
      <c r="C290" s="137"/>
      <c r="D290" s="136"/>
      <c r="E290" s="136"/>
      <c r="F290" s="136"/>
      <c r="G290" s="136"/>
      <c r="H290" s="138"/>
      <c r="I290" s="138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</row>
    <row r="291" ht="15.75" customHeight="1">
      <c r="A291" s="136"/>
      <c r="B291" s="137"/>
      <c r="C291" s="137"/>
      <c r="D291" s="136"/>
      <c r="E291" s="136"/>
      <c r="F291" s="136"/>
      <c r="G291" s="136"/>
      <c r="H291" s="138"/>
      <c r="I291" s="138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</row>
    <row r="292" ht="15.75" customHeight="1">
      <c r="A292" s="136"/>
      <c r="B292" s="137"/>
      <c r="C292" s="137"/>
      <c r="D292" s="136"/>
      <c r="E292" s="136"/>
      <c r="F292" s="136"/>
      <c r="G292" s="136"/>
      <c r="H292" s="138"/>
      <c r="I292" s="138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</row>
    <row r="293" ht="15.75" customHeight="1">
      <c r="A293" s="136"/>
      <c r="B293" s="137"/>
      <c r="C293" s="137"/>
      <c r="D293" s="136"/>
      <c r="E293" s="136"/>
      <c r="F293" s="136"/>
      <c r="G293" s="136"/>
      <c r="H293" s="138"/>
      <c r="I293" s="138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</row>
    <row r="294" ht="15.75" customHeight="1">
      <c r="A294" s="136"/>
      <c r="B294" s="137"/>
      <c r="C294" s="137"/>
      <c r="D294" s="136"/>
      <c r="E294" s="136"/>
      <c r="F294" s="136"/>
      <c r="G294" s="136"/>
      <c r="H294" s="138"/>
      <c r="I294" s="138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</row>
    <row r="295" ht="15.75" customHeight="1">
      <c r="A295" s="136"/>
      <c r="B295" s="137"/>
      <c r="C295" s="137"/>
      <c r="D295" s="136"/>
      <c r="E295" s="136"/>
      <c r="F295" s="136"/>
      <c r="G295" s="136"/>
      <c r="H295" s="138"/>
      <c r="I295" s="138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</row>
    <row r="296" ht="15.75" customHeight="1">
      <c r="A296" s="136"/>
      <c r="B296" s="137"/>
      <c r="C296" s="137"/>
      <c r="D296" s="136"/>
      <c r="E296" s="136"/>
      <c r="F296" s="136"/>
      <c r="G296" s="136"/>
      <c r="H296" s="138"/>
      <c r="I296" s="138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</row>
    <row r="297" ht="15.75" customHeight="1">
      <c r="A297" s="136"/>
      <c r="B297" s="137"/>
      <c r="C297" s="137"/>
      <c r="D297" s="136"/>
      <c r="E297" s="136"/>
      <c r="F297" s="136"/>
      <c r="G297" s="136"/>
      <c r="H297" s="138"/>
      <c r="I297" s="138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</row>
    <row r="298" ht="15.75" customHeight="1">
      <c r="A298" s="136"/>
      <c r="B298" s="137"/>
      <c r="C298" s="137"/>
      <c r="D298" s="136"/>
      <c r="E298" s="136"/>
      <c r="F298" s="136"/>
      <c r="G298" s="136"/>
      <c r="H298" s="138"/>
      <c r="I298" s="138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</row>
    <row r="299" ht="15.75" customHeight="1">
      <c r="A299" s="136"/>
      <c r="B299" s="137"/>
      <c r="C299" s="137"/>
      <c r="D299" s="136"/>
      <c r="E299" s="136"/>
      <c r="F299" s="136"/>
      <c r="G299" s="136"/>
      <c r="H299" s="138"/>
      <c r="I299" s="138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</row>
    <row r="300" ht="15.75" customHeight="1">
      <c r="A300" s="136"/>
      <c r="B300" s="137"/>
      <c r="C300" s="137"/>
      <c r="D300" s="136"/>
      <c r="E300" s="136"/>
      <c r="F300" s="136"/>
      <c r="G300" s="136"/>
      <c r="H300" s="138"/>
      <c r="I300" s="138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</row>
    <row r="301" ht="15.75" customHeight="1">
      <c r="A301" s="136"/>
      <c r="B301" s="137"/>
      <c r="C301" s="137"/>
      <c r="D301" s="136"/>
      <c r="E301" s="136"/>
      <c r="F301" s="136"/>
      <c r="G301" s="136"/>
      <c r="H301" s="138"/>
      <c r="I301" s="138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</row>
    <row r="302" ht="15.75" customHeight="1">
      <c r="A302" s="136"/>
      <c r="B302" s="137"/>
      <c r="C302" s="137"/>
      <c r="D302" s="136"/>
      <c r="E302" s="136"/>
      <c r="F302" s="136"/>
      <c r="G302" s="136"/>
      <c r="H302" s="138"/>
      <c r="I302" s="138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</row>
    <row r="303" ht="15.75" customHeight="1">
      <c r="A303" s="136"/>
      <c r="B303" s="137"/>
      <c r="C303" s="137"/>
      <c r="D303" s="136"/>
      <c r="E303" s="136"/>
      <c r="F303" s="136"/>
      <c r="G303" s="136"/>
      <c r="H303" s="138"/>
      <c r="I303" s="138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</row>
    <row r="304" ht="15.75" customHeight="1">
      <c r="A304" s="136"/>
      <c r="B304" s="137"/>
      <c r="C304" s="137"/>
      <c r="D304" s="136"/>
      <c r="E304" s="136"/>
      <c r="F304" s="136"/>
      <c r="G304" s="136"/>
      <c r="H304" s="138"/>
      <c r="I304" s="138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</row>
    <row r="305" ht="15.75" customHeight="1">
      <c r="A305" s="136"/>
      <c r="B305" s="137"/>
      <c r="C305" s="137"/>
      <c r="D305" s="136"/>
      <c r="E305" s="136"/>
      <c r="F305" s="136"/>
      <c r="G305" s="136"/>
      <c r="H305" s="138"/>
      <c r="I305" s="138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</row>
    <row r="306" ht="15.75" customHeight="1">
      <c r="A306" s="136"/>
      <c r="B306" s="137"/>
      <c r="C306" s="137"/>
      <c r="D306" s="136"/>
      <c r="E306" s="136"/>
      <c r="F306" s="136"/>
      <c r="G306" s="136"/>
      <c r="H306" s="138"/>
      <c r="I306" s="138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</row>
    <row r="307" ht="15.75" customHeight="1">
      <c r="A307" s="136"/>
      <c r="B307" s="137"/>
      <c r="C307" s="137"/>
      <c r="D307" s="136"/>
      <c r="E307" s="136"/>
      <c r="F307" s="136"/>
      <c r="G307" s="136"/>
      <c r="H307" s="138"/>
      <c r="I307" s="138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</row>
    <row r="308" ht="15.75" customHeight="1">
      <c r="A308" s="136"/>
      <c r="B308" s="137"/>
      <c r="C308" s="137"/>
      <c r="D308" s="136"/>
      <c r="E308" s="136"/>
      <c r="F308" s="136"/>
      <c r="G308" s="136"/>
      <c r="H308" s="138"/>
      <c r="I308" s="138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</row>
    <row r="309" ht="15.75" customHeight="1">
      <c r="A309" s="136"/>
      <c r="B309" s="137"/>
      <c r="C309" s="137"/>
      <c r="D309" s="136"/>
      <c r="E309" s="136"/>
      <c r="F309" s="136"/>
      <c r="G309" s="136"/>
      <c r="H309" s="138"/>
      <c r="I309" s="138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</row>
    <row r="310" ht="15.75" customHeight="1">
      <c r="A310" s="136"/>
      <c r="B310" s="137"/>
      <c r="C310" s="137"/>
      <c r="D310" s="136"/>
      <c r="E310" s="136"/>
      <c r="F310" s="136"/>
      <c r="G310" s="136"/>
      <c r="H310" s="138"/>
      <c r="I310" s="138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</row>
    <row r="311" ht="15.75" customHeight="1">
      <c r="A311" s="136"/>
      <c r="B311" s="137"/>
      <c r="C311" s="137"/>
      <c r="D311" s="136"/>
      <c r="E311" s="136"/>
      <c r="F311" s="136"/>
      <c r="G311" s="136"/>
      <c r="H311" s="138"/>
      <c r="I311" s="138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</row>
    <row r="312" ht="15.75" customHeight="1">
      <c r="A312" s="136"/>
      <c r="B312" s="137"/>
      <c r="C312" s="137"/>
      <c r="D312" s="136"/>
      <c r="E312" s="136"/>
      <c r="F312" s="136"/>
      <c r="G312" s="136"/>
      <c r="H312" s="138"/>
      <c r="I312" s="138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</row>
    <row r="313" ht="15.75" customHeight="1">
      <c r="A313" s="136"/>
      <c r="B313" s="137"/>
      <c r="C313" s="137"/>
      <c r="D313" s="136"/>
      <c r="E313" s="136"/>
      <c r="F313" s="136"/>
      <c r="G313" s="136"/>
      <c r="H313" s="138"/>
      <c r="I313" s="138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</row>
    <row r="314" ht="15.75" customHeight="1">
      <c r="A314" s="136"/>
      <c r="B314" s="137"/>
      <c r="C314" s="137"/>
      <c r="D314" s="136"/>
      <c r="E314" s="136"/>
      <c r="F314" s="136"/>
      <c r="G314" s="136"/>
      <c r="H314" s="138"/>
      <c r="I314" s="138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</row>
    <row r="315" ht="15.75" customHeight="1">
      <c r="A315" s="136"/>
      <c r="B315" s="137"/>
      <c r="C315" s="137"/>
      <c r="D315" s="136"/>
      <c r="E315" s="136"/>
      <c r="F315" s="136"/>
      <c r="G315" s="136"/>
      <c r="H315" s="138"/>
      <c r="I315" s="138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</row>
    <row r="316" ht="15.75" customHeight="1">
      <c r="A316" s="136"/>
      <c r="B316" s="137"/>
      <c r="C316" s="137"/>
      <c r="D316" s="136"/>
      <c r="E316" s="136"/>
      <c r="F316" s="136"/>
      <c r="G316" s="136"/>
      <c r="H316" s="138"/>
      <c r="I316" s="138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</row>
    <row r="317" ht="15.75" customHeight="1">
      <c r="A317" s="136"/>
      <c r="B317" s="137"/>
      <c r="C317" s="137"/>
      <c r="D317" s="136"/>
      <c r="E317" s="136"/>
      <c r="F317" s="136"/>
      <c r="G317" s="136"/>
      <c r="H317" s="138"/>
      <c r="I317" s="138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</row>
    <row r="318" ht="15.75" customHeight="1">
      <c r="A318" s="136"/>
      <c r="B318" s="137"/>
      <c r="C318" s="137"/>
      <c r="D318" s="136"/>
      <c r="E318" s="136"/>
      <c r="F318" s="136"/>
      <c r="G318" s="136"/>
      <c r="H318" s="138"/>
      <c r="I318" s="138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</row>
    <row r="319" ht="15.75" customHeight="1">
      <c r="A319" s="136"/>
      <c r="B319" s="137"/>
      <c r="C319" s="137"/>
      <c r="D319" s="136"/>
      <c r="E319" s="136"/>
      <c r="F319" s="136"/>
      <c r="G319" s="136"/>
      <c r="H319" s="138"/>
      <c r="I319" s="138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</row>
    <row r="320" ht="15.75" customHeight="1">
      <c r="A320" s="136"/>
      <c r="B320" s="137"/>
      <c r="C320" s="137"/>
      <c r="D320" s="136"/>
      <c r="E320" s="136"/>
      <c r="F320" s="136"/>
      <c r="G320" s="136"/>
      <c r="H320" s="138"/>
      <c r="I320" s="138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</row>
    <row r="321" ht="15.75" customHeight="1">
      <c r="A321" s="136"/>
      <c r="B321" s="137"/>
      <c r="C321" s="137"/>
      <c r="D321" s="136"/>
      <c r="E321" s="136"/>
      <c r="F321" s="136"/>
      <c r="G321" s="136"/>
      <c r="H321" s="138"/>
      <c r="I321" s="138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</row>
    <row r="322" ht="15.75" customHeight="1">
      <c r="A322" s="136"/>
      <c r="B322" s="137"/>
      <c r="C322" s="137"/>
      <c r="D322" s="136"/>
      <c r="E322" s="136"/>
      <c r="F322" s="136"/>
      <c r="G322" s="136"/>
      <c r="H322" s="138"/>
      <c r="I322" s="138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</row>
    <row r="323" ht="15.75" customHeight="1">
      <c r="A323" s="136"/>
      <c r="B323" s="137"/>
      <c r="C323" s="137"/>
      <c r="D323" s="136"/>
      <c r="E323" s="136"/>
      <c r="F323" s="136"/>
      <c r="G323" s="136"/>
      <c r="H323" s="138"/>
      <c r="I323" s="138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</row>
    <row r="324" ht="15.75" customHeight="1">
      <c r="A324" s="136"/>
      <c r="B324" s="137"/>
      <c r="C324" s="137"/>
      <c r="D324" s="136"/>
      <c r="E324" s="136"/>
      <c r="F324" s="136"/>
      <c r="G324" s="136"/>
      <c r="H324" s="138"/>
      <c r="I324" s="138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</row>
    <row r="325" ht="15.75" customHeight="1">
      <c r="A325" s="136"/>
      <c r="B325" s="137"/>
      <c r="C325" s="137"/>
      <c r="D325" s="136"/>
      <c r="E325" s="136"/>
      <c r="F325" s="136"/>
      <c r="G325" s="136"/>
      <c r="H325" s="138"/>
      <c r="I325" s="138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</row>
    <row r="326" ht="15.75" customHeight="1">
      <c r="A326" s="136"/>
      <c r="B326" s="137"/>
      <c r="C326" s="137"/>
      <c r="D326" s="136"/>
      <c r="E326" s="136"/>
      <c r="F326" s="136"/>
      <c r="G326" s="136"/>
      <c r="H326" s="138"/>
      <c r="I326" s="138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</row>
    <row r="327" ht="15.75" customHeight="1">
      <c r="A327" s="136"/>
      <c r="B327" s="137"/>
      <c r="C327" s="137"/>
      <c r="D327" s="136"/>
      <c r="E327" s="136"/>
      <c r="F327" s="136"/>
      <c r="G327" s="136"/>
      <c r="H327" s="138"/>
      <c r="I327" s="138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</row>
    <row r="328" ht="15.75" customHeight="1">
      <c r="A328" s="136"/>
      <c r="B328" s="137"/>
      <c r="C328" s="137"/>
      <c r="D328" s="136"/>
      <c r="E328" s="136"/>
      <c r="F328" s="136"/>
      <c r="G328" s="136"/>
      <c r="H328" s="138"/>
      <c r="I328" s="138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</row>
    <row r="329" ht="15.75" customHeight="1">
      <c r="A329" s="136"/>
      <c r="B329" s="137"/>
      <c r="C329" s="137"/>
      <c r="D329" s="136"/>
      <c r="E329" s="136"/>
      <c r="F329" s="136"/>
      <c r="G329" s="136"/>
      <c r="H329" s="138"/>
      <c r="I329" s="138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</row>
    <row r="330" ht="15.75" customHeight="1">
      <c r="A330" s="136"/>
      <c r="B330" s="137"/>
      <c r="C330" s="137"/>
      <c r="D330" s="136"/>
      <c r="E330" s="136"/>
      <c r="F330" s="136"/>
      <c r="G330" s="136"/>
      <c r="H330" s="138"/>
      <c r="I330" s="138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</row>
    <row r="331" ht="15.75" customHeight="1">
      <c r="A331" s="136"/>
      <c r="B331" s="137"/>
      <c r="C331" s="137"/>
      <c r="D331" s="136"/>
      <c r="E331" s="136"/>
      <c r="F331" s="136"/>
      <c r="G331" s="136"/>
      <c r="H331" s="138"/>
      <c r="I331" s="138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</row>
    <row r="332" ht="15.75" customHeight="1">
      <c r="A332" s="136"/>
      <c r="B332" s="137"/>
      <c r="C332" s="137"/>
      <c r="D332" s="136"/>
      <c r="E332" s="136"/>
      <c r="F332" s="136"/>
      <c r="G332" s="136"/>
      <c r="H332" s="138"/>
      <c r="I332" s="138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</row>
    <row r="333" ht="15.75" customHeight="1">
      <c r="A333" s="136"/>
      <c r="B333" s="137"/>
      <c r="C333" s="137"/>
      <c r="D333" s="136"/>
      <c r="E333" s="136"/>
      <c r="F333" s="136"/>
      <c r="G333" s="136"/>
      <c r="H333" s="138"/>
      <c r="I333" s="138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</row>
    <row r="334" ht="15.75" customHeight="1">
      <c r="A334" s="136"/>
      <c r="B334" s="137"/>
      <c r="C334" s="137"/>
      <c r="D334" s="136"/>
      <c r="E334" s="136"/>
      <c r="F334" s="136"/>
      <c r="G334" s="136"/>
      <c r="H334" s="138"/>
      <c r="I334" s="138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</row>
    <row r="335" ht="15.75" customHeight="1">
      <c r="A335" s="136"/>
      <c r="B335" s="137"/>
      <c r="C335" s="137"/>
      <c r="D335" s="136"/>
      <c r="E335" s="136"/>
      <c r="F335" s="136"/>
      <c r="G335" s="136"/>
      <c r="H335" s="138"/>
      <c r="I335" s="138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</row>
    <row r="336" ht="15.75" customHeight="1">
      <c r="A336" s="136"/>
      <c r="B336" s="137"/>
      <c r="C336" s="137"/>
      <c r="D336" s="136"/>
      <c r="E336" s="136"/>
      <c r="F336" s="136"/>
      <c r="G336" s="136"/>
      <c r="H336" s="138"/>
      <c r="I336" s="138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</row>
    <row r="337" ht="15.75" customHeight="1">
      <c r="A337" s="136"/>
      <c r="B337" s="137"/>
      <c r="C337" s="137"/>
      <c r="D337" s="136"/>
      <c r="E337" s="136"/>
      <c r="F337" s="136"/>
      <c r="G337" s="136"/>
      <c r="H337" s="138"/>
      <c r="I337" s="138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</row>
    <row r="338" ht="15.75" customHeight="1">
      <c r="A338" s="136"/>
      <c r="B338" s="137"/>
      <c r="C338" s="137"/>
      <c r="D338" s="136"/>
      <c r="E338" s="136"/>
      <c r="F338" s="136"/>
      <c r="G338" s="136"/>
      <c r="H338" s="138"/>
      <c r="I338" s="138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</row>
    <row r="339" ht="15.75" customHeight="1">
      <c r="A339" s="136"/>
      <c r="B339" s="137"/>
      <c r="C339" s="137"/>
      <c r="D339" s="136"/>
      <c r="E339" s="136"/>
      <c r="F339" s="136"/>
      <c r="G339" s="136"/>
      <c r="H339" s="138"/>
      <c r="I339" s="138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</row>
    <row r="340" ht="15.75" customHeight="1">
      <c r="A340" s="136"/>
      <c r="B340" s="137"/>
      <c r="C340" s="137"/>
      <c r="D340" s="136"/>
      <c r="E340" s="136"/>
      <c r="F340" s="136"/>
      <c r="G340" s="136"/>
      <c r="H340" s="138"/>
      <c r="I340" s="138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</row>
    <row r="341" ht="15.75" customHeight="1">
      <c r="A341" s="136"/>
      <c r="B341" s="137"/>
      <c r="C341" s="137"/>
      <c r="D341" s="136"/>
      <c r="E341" s="136"/>
      <c r="F341" s="136"/>
      <c r="G341" s="136"/>
      <c r="H341" s="138"/>
      <c r="I341" s="138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</row>
    <row r="342" ht="15.75" customHeight="1">
      <c r="A342" s="136"/>
      <c r="B342" s="137"/>
      <c r="C342" s="137"/>
      <c r="D342" s="136"/>
      <c r="E342" s="136"/>
      <c r="F342" s="136"/>
      <c r="G342" s="136"/>
      <c r="H342" s="138"/>
      <c r="I342" s="138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</row>
    <row r="343" ht="15.75" customHeight="1">
      <c r="A343" s="136"/>
      <c r="B343" s="137"/>
      <c r="C343" s="137"/>
      <c r="D343" s="136"/>
      <c r="E343" s="136"/>
      <c r="F343" s="136"/>
      <c r="G343" s="136"/>
      <c r="H343" s="138"/>
      <c r="I343" s="138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</row>
    <row r="344" ht="15.75" customHeight="1">
      <c r="A344" s="136"/>
      <c r="B344" s="137"/>
      <c r="C344" s="137"/>
      <c r="D344" s="136"/>
      <c r="E344" s="136"/>
      <c r="F344" s="136"/>
      <c r="G344" s="136"/>
      <c r="H344" s="138"/>
      <c r="I344" s="138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</row>
    <row r="345" ht="15.75" customHeight="1">
      <c r="A345" s="136"/>
      <c r="B345" s="137"/>
      <c r="C345" s="137"/>
      <c r="D345" s="136"/>
      <c r="E345" s="136"/>
      <c r="F345" s="136"/>
      <c r="G345" s="136"/>
      <c r="H345" s="138"/>
      <c r="I345" s="138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</row>
    <row r="346" ht="15.75" customHeight="1">
      <c r="A346" s="136"/>
      <c r="B346" s="137"/>
      <c r="C346" s="137"/>
      <c r="D346" s="136"/>
      <c r="E346" s="136"/>
      <c r="F346" s="136"/>
      <c r="G346" s="136"/>
      <c r="H346" s="138"/>
      <c r="I346" s="138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</row>
    <row r="347" ht="15.75" customHeight="1">
      <c r="A347" s="136"/>
      <c r="B347" s="137"/>
      <c r="C347" s="137"/>
      <c r="D347" s="136"/>
      <c r="E347" s="136"/>
      <c r="F347" s="136"/>
      <c r="G347" s="136"/>
      <c r="H347" s="138"/>
      <c r="I347" s="138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</row>
    <row r="348" ht="15.75" customHeight="1">
      <c r="A348" s="136"/>
      <c r="B348" s="137"/>
      <c r="C348" s="137"/>
      <c r="D348" s="136"/>
      <c r="E348" s="136"/>
      <c r="F348" s="136"/>
      <c r="G348" s="136"/>
      <c r="H348" s="138"/>
      <c r="I348" s="138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</row>
    <row r="349" ht="15.75" customHeight="1">
      <c r="A349" s="136"/>
      <c r="B349" s="137"/>
      <c r="C349" s="137"/>
      <c r="D349" s="136"/>
      <c r="E349" s="136"/>
      <c r="F349" s="136"/>
      <c r="G349" s="136"/>
      <c r="H349" s="138"/>
      <c r="I349" s="138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</row>
    <row r="350" ht="15.75" customHeight="1">
      <c r="A350" s="136"/>
      <c r="B350" s="137"/>
      <c r="C350" s="137"/>
      <c r="D350" s="136"/>
      <c r="E350" s="136"/>
      <c r="F350" s="136"/>
      <c r="G350" s="136"/>
      <c r="H350" s="138"/>
      <c r="I350" s="138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</row>
    <row r="351" ht="15.75" customHeight="1">
      <c r="A351" s="136"/>
      <c r="B351" s="137"/>
      <c r="C351" s="137"/>
      <c r="D351" s="136"/>
      <c r="E351" s="136"/>
      <c r="F351" s="136"/>
      <c r="G351" s="136"/>
      <c r="H351" s="138"/>
      <c r="I351" s="138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</row>
    <row r="352" ht="15.75" customHeight="1">
      <c r="A352" s="136"/>
      <c r="B352" s="137"/>
      <c r="C352" s="137"/>
      <c r="D352" s="136"/>
      <c r="E352" s="136"/>
      <c r="F352" s="136"/>
      <c r="G352" s="136"/>
      <c r="H352" s="138"/>
      <c r="I352" s="138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</row>
    <row r="353" ht="15.75" customHeight="1">
      <c r="A353" s="136"/>
      <c r="B353" s="137"/>
      <c r="C353" s="137"/>
      <c r="D353" s="136"/>
      <c r="E353" s="136"/>
      <c r="F353" s="136"/>
      <c r="G353" s="136"/>
      <c r="H353" s="138"/>
      <c r="I353" s="138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</row>
    <row r="354" ht="15.75" customHeight="1">
      <c r="A354" s="136"/>
      <c r="B354" s="137"/>
      <c r="C354" s="137"/>
      <c r="D354" s="136"/>
      <c r="E354" s="136"/>
      <c r="F354" s="136"/>
      <c r="G354" s="136"/>
      <c r="H354" s="138"/>
      <c r="I354" s="138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</row>
    <row r="355" ht="15.75" customHeight="1">
      <c r="A355" s="136"/>
      <c r="B355" s="137"/>
      <c r="C355" s="137"/>
      <c r="D355" s="136"/>
      <c r="E355" s="136"/>
      <c r="F355" s="136"/>
      <c r="G355" s="136"/>
      <c r="H355" s="138"/>
      <c r="I355" s="138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</row>
    <row r="356" ht="15.75" customHeight="1">
      <c r="A356" s="136"/>
      <c r="B356" s="137"/>
      <c r="C356" s="137"/>
      <c r="D356" s="136"/>
      <c r="E356" s="136"/>
      <c r="F356" s="136"/>
      <c r="G356" s="136"/>
      <c r="H356" s="138"/>
      <c r="I356" s="138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</row>
    <row r="357" ht="15.75" customHeight="1">
      <c r="A357" s="136"/>
      <c r="B357" s="137"/>
      <c r="C357" s="137"/>
      <c r="D357" s="136"/>
      <c r="E357" s="136"/>
      <c r="F357" s="136"/>
      <c r="G357" s="136"/>
      <c r="H357" s="138"/>
      <c r="I357" s="138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</row>
    <row r="358" ht="15.75" customHeight="1">
      <c r="A358" s="136"/>
      <c r="B358" s="137"/>
      <c r="C358" s="137"/>
      <c r="D358" s="136"/>
      <c r="E358" s="136"/>
      <c r="F358" s="136"/>
      <c r="G358" s="136"/>
      <c r="H358" s="138"/>
      <c r="I358" s="138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</row>
    <row r="359" ht="15.75" customHeight="1">
      <c r="A359" s="136"/>
      <c r="B359" s="137"/>
      <c r="C359" s="137"/>
      <c r="D359" s="136"/>
      <c r="E359" s="136"/>
      <c r="F359" s="136"/>
      <c r="G359" s="136"/>
      <c r="H359" s="138"/>
      <c r="I359" s="138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</row>
    <row r="360" ht="15.75" customHeight="1">
      <c r="A360" s="136"/>
      <c r="B360" s="137"/>
      <c r="C360" s="137"/>
      <c r="D360" s="136"/>
      <c r="E360" s="136"/>
      <c r="F360" s="136"/>
      <c r="G360" s="136"/>
      <c r="H360" s="138"/>
      <c r="I360" s="138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</row>
    <row r="361" ht="15.75" customHeight="1">
      <c r="A361" s="136"/>
      <c r="B361" s="137"/>
      <c r="C361" s="137"/>
      <c r="D361" s="136"/>
      <c r="E361" s="136"/>
      <c r="F361" s="136"/>
      <c r="G361" s="136"/>
      <c r="H361" s="138"/>
      <c r="I361" s="138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</row>
    <row r="362" ht="15.75" customHeight="1">
      <c r="A362" s="136"/>
      <c r="B362" s="137"/>
      <c r="C362" s="137"/>
      <c r="D362" s="136"/>
      <c r="E362" s="136"/>
      <c r="F362" s="136"/>
      <c r="G362" s="136"/>
      <c r="H362" s="138"/>
      <c r="I362" s="138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</row>
    <row r="363" ht="15.75" customHeight="1">
      <c r="A363" s="136"/>
      <c r="B363" s="137"/>
      <c r="C363" s="137"/>
      <c r="D363" s="136"/>
      <c r="E363" s="136"/>
      <c r="F363" s="136"/>
      <c r="G363" s="136"/>
      <c r="H363" s="138"/>
      <c r="I363" s="138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</row>
    <row r="364" ht="15.75" customHeight="1">
      <c r="A364" s="136"/>
      <c r="B364" s="137"/>
      <c r="C364" s="137"/>
      <c r="D364" s="136"/>
      <c r="E364" s="136"/>
      <c r="F364" s="136"/>
      <c r="G364" s="136"/>
      <c r="H364" s="138"/>
      <c r="I364" s="138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</row>
    <row r="365" ht="15.75" customHeight="1">
      <c r="A365" s="136"/>
      <c r="B365" s="137"/>
      <c r="C365" s="137"/>
      <c r="D365" s="136"/>
      <c r="E365" s="136"/>
      <c r="F365" s="136"/>
      <c r="G365" s="136"/>
      <c r="H365" s="138"/>
      <c r="I365" s="138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</row>
    <row r="366" ht="15.75" customHeight="1">
      <c r="A366" s="136"/>
      <c r="B366" s="137"/>
      <c r="C366" s="137"/>
      <c r="D366" s="136"/>
      <c r="E366" s="136"/>
      <c r="F366" s="136"/>
      <c r="G366" s="136"/>
      <c r="H366" s="138"/>
      <c r="I366" s="138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</row>
    <row r="367" ht="15.75" customHeight="1">
      <c r="A367" s="136"/>
      <c r="B367" s="137"/>
      <c r="C367" s="137"/>
      <c r="D367" s="136"/>
      <c r="E367" s="136"/>
      <c r="F367" s="136"/>
      <c r="G367" s="136"/>
      <c r="H367" s="138"/>
      <c r="I367" s="138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</row>
    <row r="368" ht="15.75" customHeight="1">
      <c r="A368" s="136"/>
      <c r="B368" s="137"/>
      <c r="C368" s="137"/>
      <c r="D368" s="136"/>
      <c r="E368" s="136"/>
      <c r="F368" s="136"/>
      <c r="G368" s="136"/>
      <c r="H368" s="138"/>
      <c r="I368" s="138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</row>
    <row r="369" ht="15.75" customHeight="1">
      <c r="A369" s="136"/>
      <c r="B369" s="137"/>
      <c r="C369" s="137"/>
      <c r="D369" s="136"/>
      <c r="E369" s="136"/>
      <c r="F369" s="136"/>
      <c r="G369" s="136"/>
      <c r="H369" s="138"/>
      <c r="I369" s="138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</row>
    <row r="370" ht="15.75" customHeight="1">
      <c r="A370" s="136"/>
      <c r="B370" s="137"/>
      <c r="C370" s="137"/>
      <c r="D370" s="136"/>
      <c r="E370" s="136"/>
      <c r="F370" s="136"/>
      <c r="G370" s="136"/>
      <c r="H370" s="138"/>
      <c r="I370" s="138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</row>
    <row r="371" ht="15.75" customHeight="1">
      <c r="A371" s="136"/>
      <c r="B371" s="137"/>
      <c r="C371" s="137"/>
      <c r="D371" s="136"/>
      <c r="E371" s="136"/>
      <c r="F371" s="136"/>
      <c r="G371" s="136"/>
      <c r="H371" s="138"/>
      <c r="I371" s="138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</row>
    <row r="372" ht="15.75" customHeight="1">
      <c r="A372" s="136"/>
      <c r="B372" s="137"/>
      <c r="C372" s="137"/>
      <c r="D372" s="136"/>
      <c r="E372" s="136"/>
      <c r="F372" s="136"/>
      <c r="G372" s="136"/>
      <c r="H372" s="138"/>
      <c r="I372" s="138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</row>
    <row r="373" ht="15.75" customHeight="1">
      <c r="A373" s="136"/>
      <c r="B373" s="137"/>
      <c r="C373" s="137"/>
      <c r="D373" s="136"/>
      <c r="E373" s="136"/>
      <c r="F373" s="136"/>
      <c r="G373" s="136"/>
      <c r="H373" s="138"/>
      <c r="I373" s="138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</row>
    <row r="374" ht="15.75" customHeight="1">
      <c r="A374" s="136"/>
      <c r="B374" s="137"/>
      <c r="C374" s="137"/>
      <c r="D374" s="136"/>
      <c r="E374" s="136"/>
      <c r="F374" s="136"/>
      <c r="G374" s="136"/>
      <c r="H374" s="138"/>
      <c r="I374" s="138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</row>
    <row r="375" ht="15.75" customHeight="1">
      <c r="A375" s="136"/>
      <c r="B375" s="137"/>
      <c r="C375" s="137"/>
      <c r="D375" s="136"/>
      <c r="E375" s="136"/>
      <c r="F375" s="136"/>
      <c r="G375" s="136"/>
      <c r="H375" s="138"/>
      <c r="I375" s="138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</row>
    <row r="376" ht="15.75" customHeight="1">
      <c r="A376" s="136"/>
      <c r="B376" s="137"/>
      <c r="C376" s="137"/>
      <c r="D376" s="136"/>
      <c r="E376" s="136"/>
      <c r="F376" s="136"/>
      <c r="G376" s="136"/>
      <c r="H376" s="138"/>
      <c r="I376" s="138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</row>
    <row r="377" ht="15.75" customHeight="1">
      <c r="A377" s="136"/>
      <c r="B377" s="137"/>
      <c r="C377" s="137"/>
      <c r="D377" s="136"/>
      <c r="E377" s="136"/>
      <c r="F377" s="136"/>
      <c r="G377" s="136"/>
      <c r="H377" s="138"/>
      <c r="I377" s="138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</row>
    <row r="378" ht="15.75" customHeight="1">
      <c r="A378" s="136"/>
      <c r="B378" s="137"/>
      <c r="C378" s="137"/>
      <c r="D378" s="136"/>
      <c r="E378" s="136"/>
      <c r="F378" s="136"/>
      <c r="G378" s="136"/>
      <c r="H378" s="138"/>
      <c r="I378" s="138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</row>
    <row r="379" ht="15.75" customHeight="1">
      <c r="A379" s="136"/>
      <c r="B379" s="137"/>
      <c r="C379" s="137"/>
      <c r="D379" s="136"/>
      <c r="E379" s="136"/>
      <c r="F379" s="136"/>
      <c r="G379" s="136"/>
      <c r="H379" s="138"/>
      <c r="I379" s="138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</row>
    <row r="380" ht="15.75" customHeight="1">
      <c r="A380" s="136"/>
      <c r="B380" s="137"/>
      <c r="C380" s="137"/>
      <c r="D380" s="136"/>
      <c r="E380" s="136"/>
      <c r="F380" s="136"/>
      <c r="G380" s="136"/>
      <c r="H380" s="138"/>
      <c r="I380" s="138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</row>
    <row r="381" ht="15.75" customHeight="1">
      <c r="A381" s="136"/>
      <c r="B381" s="137"/>
      <c r="C381" s="137"/>
      <c r="D381" s="136"/>
      <c r="E381" s="136"/>
      <c r="F381" s="136"/>
      <c r="G381" s="136"/>
      <c r="H381" s="138"/>
      <c r="I381" s="138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</row>
    <row r="382" ht="15.75" customHeight="1">
      <c r="A382" s="136"/>
      <c r="B382" s="137"/>
      <c r="C382" s="137"/>
      <c r="D382" s="136"/>
      <c r="E382" s="136"/>
      <c r="F382" s="136"/>
      <c r="G382" s="136"/>
      <c r="H382" s="138"/>
      <c r="I382" s="138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</row>
    <row r="383" ht="15.75" customHeight="1">
      <c r="A383" s="136"/>
      <c r="B383" s="137"/>
      <c r="C383" s="137"/>
      <c r="D383" s="136"/>
      <c r="E383" s="136"/>
      <c r="F383" s="136"/>
      <c r="G383" s="136"/>
      <c r="H383" s="138"/>
      <c r="I383" s="138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</row>
    <row r="384" ht="15.75" customHeight="1">
      <c r="A384" s="136"/>
      <c r="B384" s="137"/>
      <c r="C384" s="137"/>
      <c r="D384" s="136"/>
      <c r="E384" s="136"/>
      <c r="F384" s="136"/>
      <c r="G384" s="136"/>
      <c r="H384" s="138"/>
      <c r="I384" s="138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</row>
    <row r="385" ht="15.75" customHeight="1">
      <c r="A385" s="136"/>
      <c r="B385" s="137"/>
      <c r="C385" s="137"/>
      <c r="D385" s="136"/>
      <c r="E385" s="136"/>
      <c r="F385" s="136"/>
      <c r="G385" s="136"/>
      <c r="H385" s="138"/>
      <c r="I385" s="138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</row>
    <row r="386" ht="15.75" customHeight="1">
      <c r="A386" s="136"/>
      <c r="B386" s="137"/>
      <c r="C386" s="137"/>
      <c r="D386" s="136"/>
      <c r="E386" s="136"/>
      <c r="F386" s="136"/>
      <c r="G386" s="136"/>
      <c r="H386" s="138"/>
      <c r="I386" s="138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</row>
    <row r="387" ht="15.75" customHeight="1">
      <c r="A387" s="136"/>
      <c r="B387" s="137"/>
      <c r="C387" s="137"/>
      <c r="D387" s="136"/>
      <c r="E387" s="136"/>
      <c r="F387" s="136"/>
      <c r="G387" s="136"/>
      <c r="H387" s="138"/>
      <c r="I387" s="138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</row>
    <row r="388" ht="15.75" customHeight="1">
      <c r="A388" s="136"/>
      <c r="B388" s="137"/>
      <c r="C388" s="137"/>
      <c r="D388" s="136"/>
      <c r="E388" s="136"/>
      <c r="F388" s="136"/>
      <c r="G388" s="136"/>
      <c r="H388" s="138"/>
      <c r="I388" s="138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</row>
    <row r="389" ht="15.75" customHeight="1">
      <c r="A389" s="136"/>
      <c r="B389" s="137"/>
      <c r="C389" s="137"/>
      <c r="D389" s="136"/>
      <c r="E389" s="136"/>
      <c r="F389" s="136"/>
      <c r="G389" s="136"/>
      <c r="H389" s="138"/>
      <c r="I389" s="138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</row>
    <row r="390" ht="15.75" customHeight="1">
      <c r="A390" s="136"/>
      <c r="B390" s="137"/>
      <c r="C390" s="137"/>
      <c r="D390" s="136"/>
      <c r="E390" s="136"/>
      <c r="F390" s="136"/>
      <c r="G390" s="136"/>
      <c r="H390" s="138"/>
      <c r="I390" s="138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</row>
    <row r="391" ht="15.75" customHeight="1">
      <c r="A391" s="136"/>
      <c r="B391" s="137"/>
      <c r="C391" s="137"/>
      <c r="D391" s="136"/>
      <c r="E391" s="136"/>
      <c r="F391" s="136"/>
      <c r="G391" s="136"/>
      <c r="H391" s="138"/>
      <c r="I391" s="138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</row>
    <row r="392" ht="15.75" customHeight="1">
      <c r="A392" s="136"/>
      <c r="B392" s="137"/>
      <c r="C392" s="137"/>
      <c r="D392" s="136"/>
      <c r="E392" s="136"/>
      <c r="F392" s="136"/>
      <c r="G392" s="136"/>
      <c r="H392" s="138"/>
      <c r="I392" s="138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</row>
    <row r="393" ht="15.75" customHeight="1">
      <c r="A393" s="136"/>
      <c r="B393" s="137"/>
      <c r="C393" s="137"/>
      <c r="D393" s="136"/>
      <c r="E393" s="136"/>
      <c r="F393" s="136"/>
      <c r="G393" s="136"/>
      <c r="H393" s="138"/>
      <c r="I393" s="138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</row>
    <row r="394" ht="15.75" customHeight="1">
      <c r="A394" s="136"/>
      <c r="B394" s="137"/>
      <c r="C394" s="137"/>
      <c r="D394" s="136"/>
      <c r="E394" s="136"/>
      <c r="F394" s="136"/>
      <c r="G394" s="136"/>
      <c r="H394" s="138"/>
      <c r="I394" s="138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</row>
    <row r="395" ht="15.75" customHeight="1">
      <c r="A395" s="136"/>
      <c r="B395" s="137"/>
      <c r="C395" s="137"/>
      <c r="D395" s="136"/>
      <c r="E395" s="136"/>
      <c r="F395" s="136"/>
      <c r="G395" s="136"/>
      <c r="H395" s="138"/>
      <c r="I395" s="138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</row>
    <row r="396" ht="15.75" customHeight="1">
      <c r="A396" s="136"/>
      <c r="B396" s="137"/>
      <c r="C396" s="137"/>
      <c r="D396" s="136"/>
      <c r="E396" s="136"/>
      <c r="F396" s="136"/>
      <c r="G396" s="136"/>
      <c r="H396" s="138"/>
      <c r="I396" s="138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</row>
    <row r="397" ht="15.75" customHeight="1">
      <c r="A397" s="136"/>
      <c r="B397" s="137"/>
      <c r="C397" s="137"/>
      <c r="D397" s="136"/>
      <c r="E397" s="136"/>
      <c r="F397" s="136"/>
      <c r="G397" s="136"/>
      <c r="H397" s="138"/>
      <c r="I397" s="138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</row>
    <row r="398" ht="15.75" customHeight="1">
      <c r="A398" s="136"/>
      <c r="B398" s="137"/>
      <c r="C398" s="137"/>
      <c r="D398" s="136"/>
      <c r="E398" s="136"/>
      <c r="F398" s="136"/>
      <c r="G398" s="136"/>
      <c r="H398" s="138"/>
      <c r="I398" s="138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</row>
    <row r="399" ht="15.75" customHeight="1">
      <c r="A399" s="136"/>
      <c r="B399" s="137"/>
      <c r="C399" s="137"/>
      <c r="D399" s="136"/>
      <c r="E399" s="136"/>
      <c r="F399" s="136"/>
      <c r="G399" s="136"/>
      <c r="H399" s="138"/>
      <c r="I399" s="138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</row>
    <row r="400" ht="15.75" customHeight="1">
      <c r="A400" s="136"/>
      <c r="B400" s="137"/>
      <c r="C400" s="137"/>
      <c r="D400" s="136"/>
      <c r="E400" s="136"/>
      <c r="F400" s="136"/>
      <c r="G400" s="136"/>
      <c r="H400" s="138"/>
      <c r="I400" s="138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</row>
    <row r="401" ht="15.75" customHeight="1">
      <c r="A401" s="136"/>
      <c r="B401" s="137"/>
      <c r="C401" s="137"/>
      <c r="D401" s="136"/>
      <c r="E401" s="136"/>
      <c r="F401" s="136"/>
      <c r="G401" s="136"/>
      <c r="H401" s="138"/>
      <c r="I401" s="138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</row>
    <row r="402" ht="15.75" customHeight="1">
      <c r="A402" s="136"/>
      <c r="B402" s="137"/>
      <c r="C402" s="137"/>
      <c r="D402" s="136"/>
      <c r="E402" s="136"/>
      <c r="F402" s="136"/>
      <c r="G402" s="136"/>
      <c r="H402" s="138"/>
      <c r="I402" s="138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</row>
    <row r="403" ht="15.75" customHeight="1">
      <c r="A403" s="136"/>
      <c r="B403" s="137"/>
      <c r="C403" s="137"/>
      <c r="D403" s="136"/>
      <c r="E403" s="136"/>
      <c r="F403" s="136"/>
      <c r="G403" s="136"/>
      <c r="H403" s="138"/>
      <c r="I403" s="138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</row>
    <row r="404" ht="15.75" customHeight="1">
      <c r="A404" s="136"/>
      <c r="B404" s="137"/>
      <c r="C404" s="137"/>
      <c r="D404" s="136"/>
      <c r="E404" s="136"/>
      <c r="F404" s="136"/>
      <c r="G404" s="136"/>
      <c r="H404" s="138"/>
      <c r="I404" s="138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</row>
    <row r="405" ht="15.75" customHeight="1">
      <c r="A405" s="136"/>
      <c r="B405" s="137"/>
      <c r="C405" s="137"/>
      <c r="D405" s="136"/>
      <c r="E405" s="136"/>
      <c r="F405" s="136"/>
      <c r="G405" s="136"/>
      <c r="H405" s="138"/>
      <c r="I405" s="138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</row>
    <row r="406" ht="15.75" customHeight="1">
      <c r="A406" s="136"/>
      <c r="B406" s="137"/>
      <c r="C406" s="137"/>
      <c r="D406" s="136"/>
      <c r="E406" s="136"/>
      <c r="F406" s="136"/>
      <c r="G406" s="136"/>
      <c r="H406" s="138"/>
      <c r="I406" s="138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</row>
    <row r="407" ht="15.75" customHeight="1">
      <c r="A407" s="136"/>
      <c r="B407" s="137"/>
      <c r="C407" s="137"/>
      <c r="D407" s="136"/>
      <c r="E407" s="136"/>
      <c r="F407" s="136"/>
      <c r="G407" s="136"/>
      <c r="H407" s="138"/>
      <c r="I407" s="138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</row>
    <row r="408" ht="15.75" customHeight="1">
      <c r="A408" s="136"/>
      <c r="B408" s="137"/>
      <c r="C408" s="137"/>
      <c r="D408" s="136"/>
      <c r="E408" s="136"/>
      <c r="F408" s="136"/>
      <c r="G408" s="136"/>
      <c r="H408" s="138"/>
      <c r="I408" s="138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</row>
    <row r="409" ht="15.75" customHeight="1">
      <c r="A409" s="136"/>
      <c r="B409" s="137"/>
      <c r="C409" s="137"/>
      <c r="D409" s="136"/>
      <c r="E409" s="136"/>
      <c r="F409" s="136"/>
      <c r="G409" s="136"/>
      <c r="H409" s="138"/>
      <c r="I409" s="138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</row>
    <row r="410" ht="15.75" customHeight="1">
      <c r="A410" s="136"/>
      <c r="B410" s="137"/>
      <c r="C410" s="137"/>
      <c r="D410" s="136"/>
      <c r="E410" s="136"/>
      <c r="F410" s="136"/>
      <c r="G410" s="136"/>
      <c r="H410" s="138"/>
      <c r="I410" s="138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</row>
    <row r="411" ht="15.75" customHeight="1">
      <c r="A411" s="136"/>
      <c r="B411" s="137"/>
      <c r="C411" s="137"/>
      <c r="D411" s="136"/>
      <c r="E411" s="136"/>
      <c r="F411" s="136"/>
      <c r="G411" s="136"/>
      <c r="H411" s="138"/>
      <c r="I411" s="138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</row>
    <row r="412" ht="15.75" customHeight="1">
      <c r="A412" s="136"/>
      <c r="B412" s="137"/>
      <c r="C412" s="137"/>
      <c r="D412" s="136"/>
      <c r="E412" s="136"/>
      <c r="F412" s="136"/>
      <c r="G412" s="136"/>
      <c r="H412" s="138"/>
      <c r="I412" s="138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</row>
    <row r="413" ht="15.75" customHeight="1">
      <c r="A413" s="136"/>
      <c r="B413" s="137"/>
      <c r="C413" s="137"/>
      <c r="D413" s="136"/>
      <c r="E413" s="136"/>
      <c r="F413" s="136"/>
      <c r="G413" s="136"/>
      <c r="H413" s="138"/>
      <c r="I413" s="138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</row>
    <row r="414" ht="15.75" customHeight="1">
      <c r="A414" s="136"/>
      <c r="B414" s="137"/>
      <c r="C414" s="137"/>
      <c r="D414" s="136"/>
      <c r="E414" s="136"/>
      <c r="F414" s="136"/>
      <c r="G414" s="136"/>
      <c r="H414" s="138"/>
      <c r="I414" s="138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</row>
    <row r="415" ht="15.75" customHeight="1">
      <c r="A415" s="136"/>
      <c r="B415" s="137"/>
      <c r="C415" s="137"/>
      <c r="D415" s="136"/>
      <c r="E415" s="136"/>
      <c r="F415" s="136"/>
      <c r="G415" s="136"/>
      <c r="H415" s="138"/>
      <c r="I415" s="138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</row>
    <row r="416" ht="15.75" customHeight="1">
      <c r="A416" s="136"/>
      <c r="B416" s="137"/>
      <c r="C416" s="137"/>
      <c r="D416" s="136"/>
      <c r="E416" s="136"/>
      <c r="F416" s="136"/>
      <c r="G416" s="136"/>
      <c r="H416" s="138"/>
      <c r="I416" s="138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</row>
    <row r="417" ht="15.75" customHeight="1">
      <c r="A417" s="136"/>
      <c r="B417" s="137"/>
      <c r="C417" s="137"/>
      <c r="D417" s="136"/>
      <c r="E417" s="136"/>
      <c r="F417" s="136"/>
      <c r="G417" s="136"/>
      <c r="H417" s="138"/>
      <c r="I417" s="138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</row>
    <row r="418" ht="15.75" customHeight="1">
      <c r="A418" s="136"/>
      <c r="B418" s="137"/>
      <c r="C418" s="137"/>
      <c r="D418" s="136"/>
      <c r="E418" s="136"/>
      <c r="F418" s="136"/>
      <c r="G418" s="136"/>
      <c r="H418" s="138"/>
      <c r="I418" s="138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</row>
    <row r="419" ht="15.75" customHeight="1">
      <c r="A419" s="136"/>
      <c r="B419" s="137"/>
      <c r="C419" s="137"/>
      <c r="D419" s="136"/>
      <c r="E419" s="136"/>
      <c r="F419" s="136"/>
      <c r="G419" s="136"/>
      <c r="H419" s="138"/>
      <c r="I419" s="138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</row>
    <row r="420" ht="15.75" customHeight="1">
      <c r="A420" s="136"/>
      <c r="B420" s="137"/>
      <c r="C420" s="137"/>
      <c r="D420" s="136"/>
      <c r="E420" s="136"/>
      <c r="F420" s="136"/>
      <c r="G420" s="136"/>
      <c r="H420" s="138"/>
      <c r="I420" s="138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</row>
    <row r="421" ht="15.75" customHeight="1">
      <c r="A421" s="136"/>
      <c r="B421" s="137"/>
      <c r="C421" s="137"/>
      <c r="D421" s="136"/>
      <c r="E421" s="136"/>
      <c r="F421" s="136"/>
      <c r="G421" s="136"/>
      <c r="H421" s="138"/>
      <c r="I421" s="138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</row>
    <row r="422" ht="15.75" customHeight="1">
      <c r="A422" s="136"/>
      <c r="B422" s="137"/>
      <c r="C422" s="137"/>
      <c r="D422" s="136"/>
      <c r="E422" s="136"/>
      <c r="F422" s="136"/>
      <c r="G422" s="136"/>
      <c r="H422" s="138"/>
      <c r="I422" s="138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</row>
    <row r="423" ht="15.75" customHeight="1">
      <c r="A423" s="136"/>
      <c r="B423" s="137"/>
      <c r="C423" s="137"/>
      <c r="D423" s="136"/>
      <c r="E423" s="136"/>
      <c r="F423" s="136"/>
      <c r="G423" s="136"/>
      <c r="H423" s="138"/>
      <c r="I423" s="138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</row>
    <row r="424" ht="15.75" customHeight="1">
      <c r="A424" s="136"/>
      <c r="B424" s="137"/>
      <c r="C424" s="137"/>
      <c r="D424" s="136"/>
      <c r="E424" s="136"/>
      <c r="F424" s="136"/>
      <c r="G424" s="136"/>
      <c r="H424" s="138"/>
      <c r="I424" s="138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</row>
    <row r="425" ht="15.75" customHeight="1">
      <c r="A425" s="136"/>
      <c r="B425" s="137"/>
      <c r="C425" s="137"/>
      <c r="D425" s="136"/>
      <c r="E425" s="136"/>
      <c r="F425" s="136"/>
      <c r="G425" s="136"/>
      <c r="H425" s="138"/>
      <c r="I425" s="138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</row>
    <row r="426" ht="15.75" customHeight="1">
      <c r="A426" s="136"/>
      <c r="B426" s="137"/>
      <c r="C426" s="137"/>
      <c r="D426" s="136"/>
      <c r="E426" s="136"/>
      <c r="F426" s="136"/>
      <c r="G426" s="136"/>
      <c r="H426" s="138"/>
      <c r="I426" s="138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</row>
    <row r="427" ht="15.75" customHeight="1">
      <c r="A427" s="136"/>
      <c r="B427" s="137"/>
      <c r="C427" s="137"/>
      <c r="D427" s="136"/>
      <c r="E427" s="136"/>
      <c r="F427" s="136"/>
      <c r="G427" s="136"/>
      <c r="H427" s="138"/>
      <c r="I427" s="138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</row>
    <row r="428" ht="15.75" customHeight="1">
      <c r="A428" s="136"/>
      <c r="B428" s="137"/>
      <c r="C428" s="137"/>
      <c r="D428" s="136"/>
      <c r="E428" s="136"/>
      <c r="F428" s="136"/>
      <c r="G428" s="136"/>
      <c r="H428" s="138"/>
      <c r="I428" s="138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</row>
    <row r="429" ht="15.75" customHeight="1">
      <c r="A429" s="136"/>
      <c r="B429" s="137"/>
      <c r="C429" s="137"/>
      <c r="D429" s="136"/>
      <c r="E429" s="136"/>
      <c r="F429" s="136"/>
      <c r="G429" s="136"/>
      <c r="H429" s="138"/>
      <c r="I429" s="138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</row>
    <row r="430" ht="15.75" customHeight="1">
      <c r="A430" s="136"/>
      <c r="B430" s="137"/>
      <c r="C430" s="137"/>
      <c r="D430" s="136"/>
      <c r="E430" s="136"/>
      <c r="F430" s="136"/>
      <c r="G430" s="136"/>
      <c r="H430" s="138"/>
      <c r="I430" s="138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</row>
    <row r="431" ht="15.75" customHeight="1">
      <c r="A431" s="136"/>
      <c r="B431" s="137"/>
      <c r="C431" s="137"/>
      <c r="D431" s="136"/>
      <c r="E431" s="136"/>
      <c r="F431" s="136"/>
      <c r="G431" s="136"/>
      <c r="H431" s="138"/>
      <c r="I431" s="138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</row>
    <row r="432" ht="15.75" customHeight="1">
      <c r="A432" s="136"/>
      <c r="B432" s="137"/>
      <c r="C432" s="137"/>
      <c r="D432" s="136"/>
      <c r="E432" s="136"/>
      <c r="F432" s="136"/>
      <c r="G432" s="136"/>
      <c r="H432" s="138"/>
      <c r="I432" s="138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</row>
    <row r="433" ht="15.75" customHeight="1">
      <c r="A433" s="136"/>
      <c r="B433" s="137"/>
      <c r="C433" s="137"/>
      <c r="D433" s="136"/>
      <c r="E433" s="136"/>
      <c r="F433" s="136"/>
      <c r="G433" s="136"/>
      <c r="H433" s="138"/>
      <c r="I433" s="138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</row>
    <row r="434" ht="15.75" customHeight="1">
      <c r="A434" s="136"/>
      <c r="B434" s="137"/>
      <c r="C434" s="137"/>
      <c r="D434" s="136"/>
      <c r="E434" s="136"/>
      <c r="F434" s="136"/>
      <c r="G434" s="136"/>
      <c r="H434" s="138"/>
      <c r="I434" s="138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</row>
    <row r="435" ht="15.75" customHeight="1">
      <c r="A435" s="136"/>
      <c r="B435" s="137"/>
      <c r="C435" s="137"/>
      <c r="D435" s="136"/>
      <c r="E435" s="136"/>
      <c r="F435" s="136"/>
      <c r="G435" s="136"/>
      <c r="H435" s="138"/>
      <c r="I435" s="138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</row>
    <row r="436" ht="15.75" customHeight="1">
      <c r="A436" s="136"/>
      <c r="B436" s="137"/>
      <c r="C436" s="137"/>
      <c r="D436" s="136"/>
      <c r="E436" s="136"/>
      <c r="F436" s="136"/>
      <c r="G436" s="136"/>
      <c r="H436" s="138"/>
      <c r="I436" s="138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</row>
    <row r="437" ht="15.75" customHeight="1">
      <c r="A437" s="136"/>
      <c r="B437" s="137"/>
      <c r="C437" s="137"/>
      <c r="D437" s="136"/>
      <c r="E437" s="136"/>
      <c r="F437" s="136"/>
      <c r="G437" s="136"/>
      <c r="H437" s="138"/>
      <c r="I437" s="138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</row>
    <row r="438" ht="15.75" customHeight="1">
      <c r="A438" s="136"/>
      <c r="B438" s="137"/>
      <c r="C438" s="137"/>
      <c r="D438" s="136"/>
      <c r="E438" s="136"/>
      <c r="F438" s="136"/>
      <c r="G438" s="136"/>
      <c r="H438" s="138"/>
      <c r="I438" s="138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</row>
    <row r="439" ht="15.75" customHeight="1">
      <c r="A439" s="136"/>
      <c r="B439" s="137"/>
      <c r="C439" s="137"/>
      <c r="D439" s="136"/>
      <c r="E439" s="136"/>
      <c r="F439" s="136"/>
      <c r="G439" s="136"/>
      <c r="H439" s="138"/>
      <c r="I439" s="138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</row>
    <row r="440" ht="15.75" customHeight="1">
      <c r="A440" s="136"/>
      <c r="B440" s="137"/>
      <c r="C440" s="137"/>
      <c r="D440" s="136"/>
      <c r="E440" s="136"/>
      <c r="F440" s="136"/>
      <c r="G440" s="136"/>
      <c r="H440" s="138"/>
      <c r="I440" s="138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</row>
    <row r="441" ht="15.75" customHeight="1">
      <c r="A441" s="136"/>
      <c r="B441" s="137"/>
      <c r="C441" s="137"/>
      <c r="D441" s="136"/>
      <c r="E441" s="136"/>
      <c r="F441" s="136"/>
      <c r="G441" s="136"/>
      <c r="H441" s="138"/>
      <c r="I441" s="138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</row>
    <row r="442" ht="15.75" customHeight="1">
      <c r="A442" s="136"/>
      <c r="B442" s="137"/>
      <c r="C442" s="137"/>
      <c r="D442" s="136"/>
      <c r="E442" s="136"/>
      <c r="F442" s="136"/>
      <c r="G442" s="136"/>
      <c r="H442" s="138"/>
      <c r="I442" s="138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</row>
    <row r="443" ht="15.75" customHeight="1">
      <c r="A443" s="136"/>
      <c r="B443" s="137"/>
      <c r="C443" s="137"/>
      <c r="D443" s="136"/>
      <c r="E443" s="136"/>
      <c r="F443" s="136"/>
      <c r="G443" s="136"/>
      <c r="H443" s="138"/>
      <c r="I443" s="138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</row>
    <row r="444" ht="15.75" customHeight="1">
      <c r="A444" s="136"/>
      <c r="B444" s="137"/>
      <c r="C444" s="137"/>
      <c r="D444" s="136"/>
      <c r="E444" s="136"/>
      <c r="F444" s="136"/>
      <c r="G444" s="136"/>
      <c r="H444" s="138"/>
      <c r="I444" s="138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</row>
    <row r="445" ht="15.75" customHeight="1">
      <c r="A445" s="136"/>
      <c r="B445" s="137"/>
      <c r="C445" s="137"/>
      <c r="D445" s="136"/>
      <c r="E445" s="136"/>
      <c r="F445" s="136"/>
      <c r="G445" s="136"/>
      <c r="H445" s="138"/>
      <c r="I445" s="138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</row>
    <row r="446" ht="15.75" customHeight="1">
      <c r="A446" s="136"/>
      <c r="B446" s="137"/>
      <c r="C446" s="137"/>
      <c r="D446" s="136"/>
      <c r="E446" s="136"/>
      <c r="F446" s="136"/>
      <c r="G446" s="136"/>
      <c r="H446" s="138"/>
      <c r="I446" s="138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</row>
    <row r="447" ht="15.75" customHeight="1">
      <c r="A447" s="136"/>
      <c r="B447" s="137"/>
      <c r="C447" s="137"/>
      <c r="D447" s="136"/>
      <c r="E447" s="136"/>
      <c r="F447" s="136"/>
      <c r="G447" s="136"/>
      <c r="H447" s="138"/>
      <c r="I447" s="138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</row>
    <row r="448" ht="15.75" customHeight="1">
      <c r="A448" s="136"/>
      <c r="B448" s="137"/>
      <c r="C448" s="137"/>
      <c r="D448" s="136"/>
      <c r="E448" s="136"/>
      <c r="F448" s="136"/>
      <c r="G448" s="136"/>
      <c r="H448" s="138"/>
      <c r="I448" s="138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</row>
    <row r="449" ht="15.75" customHeight="1">
      <c r="A449" s="136"/>
      <c r="B449" s="137"/>
      <c r="C449" s="137"/>
      <c r="D449" s="136"/>
      <c r="E449" s="136"/>
      <c r="F449" s="136"/>
      <c r="G449" s="136"/>
      <c r="H449" s="138"/>
      <c r="I449" s="138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</row>
    <row r="450" ht="15.75" customHeight="1">
      <c r="A450" s="136"/>
      <c r="B450" s="137"/>
      <c r="C450" s="137"/>
      <c r="D450" s="136"/>
      <c r="E450" s="136"/>
      <c r="F450" s="136"/>
      <c r="G450" s="136"/>
      <c r="H450" s="138"/>
      <c r="I450" s="138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</row>
    <row r="451" ht="15.75" customHeight="1">
      <c r="A451" s="136"/>
      <c r="B451" s="137"/>
      <c r="C451" s="137"/>
      <c r="D451" s="136"/>
      <c r="E451" s="136"/>
      <c r="F451" s="136"/>
      <c r="G451" s="136"/>
      <c r="H451" s="138"/>
      <c r="I451" s="138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</row>
    <row r="452" ht="15.75" customHeight="1">
      <c r="A452" s="136"/>
      <c r="B452" s="137"/>
      <c r="C452" s="137"/>
      <c r="D452" s="136"/>
      <c r="E452" s="136"/>
      <c r="F452" s="136"/>
      <c r="G452" s="136"/>
      <c r="H452" s="138"/>
      <c r="I452" s="138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</row>
    <row r="453" ht="15.75" customHeight="1">
      <c r="A453" s="136"/>
      <c r="B453" s="137"/>
      <c r="C453" s="137"/>
      <c r="D453" s="136"/>
      <c r="E453" s="136"/>
      <c r="F453" s="136"/>
      <c r="G453" s="136"/>
      <c r="H453" s="138"/>
      <c r="I453" s="138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</row>
    <row r="454" ht="15.75" customHeight="1">
      <c r="A454" s="136"/>
      <c r="B454" s="137"/>
      <c r="C454" s="137"/>
      <c r="D454" s="136"/>
      <c r="E454" s="136"/>
      <c r="F454" s="136"/>
      <c r="G454" s="136"/>
      <c r="H454" s="138"/>
      <c r="I454" s="138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</row>
    <row r="455" ht="15.75" customHeight="1">
      <c r="A455" s="136"/>
      <c r="B455" s="137"/>
      <c r="C455" s="137"/>
      <c r="D455" s="136"/>
      <c r="E455" s="136"/>
      <c r="F455" s="136"/>
      <c r="G455" s="136"/>
      <c r="H455" s="138"/>
      <c r="I455" s="138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</row>
    <row r="456" ht="15.75" customHeight="1">
      <c r="A456" s="136"/>
      <c r="B456" s="137"/>
      <c r="C456" s="137"/>
      <c r="D456" s="136"/>
      <c r="E456" s="136"/>
      <c r="F456" s="136"/>
      <c r="G456" s="136"/>
      <c r="H456" s="138"/>
      <c r="I456" s="138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</row>
    <row r="457" ht="15.75" customHeight="1">
      <c r="A457" s="136"/>
      <c r="B457" s="137"/>
      <c r="C457" s="137"/>
      <c r="D457" s="136"/>
      <c r="E457" s="136"/>
      <c r="F457" s="136"/>
      <c r="G457" s="136"/>
      <c r="H457" s="138"/>
      <c r="I457" s="138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</row>
    <row r="458" ht="15.75" customHeight="1">
      <c r="A458" s="136"/>
      <c r="B458" s="137"/>
      <c r="C458" s="137"/>
      <c r="D458" s="136"/>
      <c r="E458" s="136"/>
      <c r="F458" s="136"/>
      <c r="G458" s="136"/>
      <c r="H458" s="138"/>
      <c r="I458" s="138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</row>
    <row r="459" ht="15.75" customHeight="1">
      <c r="A459" s="136"/>
      <c r="B459" s="137"/>
      <c r="C459" s="137"/>
      <c r="D459" s="136"/>
      <c r="E459" s="136"/>
      <c r="F459" s="136"/>
      <c r="G459" s="136"/>
      <c r="H459" s="138"/>
      <c r="I459" s="138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</row>
    <row r="460" ht="15.75" customHeight="1">
      <c r="A460" s="136"/>
      <c r="B460" s="137"/>
      <c r="C460" s="137"/>
      <c r="D460" s="136"/>
      <c r="E460" s="136"/>
      <c r="F460" s="136"/>
      <c r="G460" s="136"/>
      <c r="H460" s="138"/>
      <c r="I460" s="138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</row>
    <row r="461" ht="15.75" customHeight="1">
      <c r="A461" s="136"/>
      <c r="B461" s="137"/>
      <c r="C461" s="137"/>
      <c r="D461" s="136"/>
      <c r="E461" s="136"/>
      <c r="F461" s="136"/>
      <c r="G461" s="136"/>
      <c r="H461" s="138"/>
      <c r="I461" s="138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</row>
    <row r="462" ht="15.75" customHeight="1">
      <c r="A462" s="136"/>
      <c r="B462" s="137"/>
      <c r="C462" s="137"/>
      <c r="D462" s="136"/>
      <c r="E462" s="136"/>
      <c r="F462" s="136"/>
      <c r="G462" s="136"/>
      <c r="H462" s="138"/>
      <c r="I462" s="138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</row>
    <row r="463" ht="15.75" customHeight="1">
      <c r="A463" s="136"/>
      <c r="B463" s="137"/>
      <c r="C463" s="137"/>
      <c r="D463" s="136"/>
      <c r="E463" s="136"/>
      <c r="F463" s="136"/>
      <c r="G463" s="136"/>
      <c r="H463" s="138"/>
      <c r="I463" s="138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</row>
    <row r="464" ht="15.75" customHeight="1">
      <c r="A464" s="136"/>
      <c r="B464" s="137"/>
      <c r="C464" s="137"/>
      <c r="D464" s="136"/>
      <c r="E464" s="136"/>
      <c r="F464" s="136"/>
      <c r="G464" s="136"/>
      <c r="H464" s="138"/>
      <c r="I464" s="138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</row>
    <row r="465" ht="15.75" customHeight="1">
      <c r="A465" s="136"/>
      <c r="B465" s="137"/>
      <c r="C465" s="137"/>
      <c r="D465" s="136"/>
      <c r="E465" s="136"/>
      <c r="F465" s="136"/>
      <c r="G465" s="136"/>
      <c r="H465" s="138"/>
      <c r="I465" s="138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</row>
    <row r="466" ht="15.75" customHeight="1">
      <c r="A466" s="136"/>
      <c r="B466" s="137"/>
      <c r="C466" s="137"/>
      <c r="D466" s="136"/>
      <c r="E466" s="136"/>
      <c r="F466" s="136"/>
      <c r="G466" s="136"/>
      <c r="H466" s="138"/>
      <c r="I466" s="138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</row>
    <row r="467" ht="15.75" customHeight="1">
      <c r="A467" s="136"/>
      <c r="B467" s="137"/>
      <c r="C467" s="137"/>
      <c r="D467" s="136"/>
      <c r="E467" s="136"/>
      <c r="F467" s="136"/>
      <c r="G467" s="136"/>
      <c r="H467" s="138"/>
      <c r="I467" s="138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</row>
    <row r="468" ht="15.75" customHeight="1">
      <c r="A468" s="136"/>
      <c r="B468" s="137"/>
      <c r="C468" s="137"/>
      <c r="D468" s="136"/>
      <c r="E468" s="136"/>
      <c r="F468" s="136"/>
      <c r="G468" s="136"/>
      <c r="H468" s="138"/>
      <c r="I468" s="138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</row>
    <row r="469" ht="15.75" customHeight="1">
      <c r="A469" s="136"/>
      <c r="B469" s="137"/>
      <c r="C469" s="137"/>
      <c r="D469" s="136"/>
      <c r="E469" s="136"/>
      <c r="F469" s="136"/>
      <c r="G469" s="136"/>
      <c r="H469" s="138"/>
      <c r="I469" s="138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</row>
    <row r="470" ht="15.75" customHeight="1">
      <c r="A470" s="136"/>
      <c r="B470" s="137"/>
      <c r="C470" s="137"/>
      <c r="D470" s="136"/>
      <c r="E470" s="136"/>
      <c r="F470" s="136"/>
      <c r="G470" s="136"/>
      <c r="H470" s="138"/>
      <c r="I470" s="138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</row>
    <row r="471" ht="15.75" customHeight="1">
      <c r="A471" s="136"/>
      <c r="B471" s="137"/>
      <c r="C471" s="137"/>
      <c r="D471" s="136"/>
      <c r="E471" s="136"/>
      <c r="F471" s="136"/>
      <c r="G471" s="136"/>
      <c r="H471" s="138"/>
      <c r="I471" s="138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</row>
    <row r="472" ht="15.75" customHeight="1">
      <c r="A472" s="136"/>
      <c r="B472" s="137"/>
      <c r="C472" s="137"/>
      <c r="D472" s="136"/>
      <c r="E472" s="136"/>
      <c r="F472" s="136"/>
      <c r="G472" s="136"/>
      <c r="H472" s="138"/>
      <c r="I472" s="138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</row>
    <row r="473" ht="15.75" customHeight="1">
      <c r="A473" s="136"/>
      <c r="B473" s="137"/>
      <c r="C473" s="137"/>
      <c r="D473" s="136"/>
      <c r="E473" s="136"/>
      <c r="F473" s="136"/>
      <c r="G473" s="136"/>
      <c r="H473" s="138"/>
      <c r="I473" s="138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</row>
    <row r="474" ht="15.75" customHeight="1">
      <c r="A474" s="136"/>
      <c r="B474" s="137"/>
      <c r="C474" s="137"/>
      <c r="D474" s="136"/>
      <c r="E474" s="136"/>
      <c r="F474" s="136"/>
      <c r="G474" s="136"/>
      <c r="H474" s="138"/>
      <c r="I474" s="138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</row>
    <row r="475" ht="15.75" customHeight="1">
      <c r="A475" s="136"/>
      <c r="B475" s="137"/>
      <c r="C475" s="137"/>
      <c r="D475" s="136"/>
      <c r="E475" s="136"/>
      <c r="F475" s="136"/>
      <c r="G475" s="136"/>
      <c r="H475" s="138"/>
      <c r="I475" s="138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</row>
    <row r="476" ht="15.75" customHeight="1">
      <c r="A476" s="136"/>
      <c r="B476" s="137"/>
      <c r="C476" s="137"/>
      <c r="D476" s="136"/>
      <c r="E476" s="136"/>
      <c r="F476" s="136"/>
      <c r="G476" s="136"/>
      <c r="H476" s="138"/>
      <c r="I476" s="138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</row>
    <row r="477" ht="15.75" customHeight="1">
      <c r="A477" s="136"/>
      <c r="B477" s="137"/>
      <c r="C477" s="137"/>
      <c r="D477" s="136"/>
      <c r="E477" s="136"/>
      <c r="F477" s="136"/>
      <c r="G477" s="136"/>
      <c r="H477" s="138"/>
      <c r="I477" s="138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</row>
    <row r="478" ht="15.75" customHeight="1">
      <c r="A478" s="136"/>
      <c r="B478" s="137"/>
      <c r="C478" s="137"/>
      <c r="D478" s="136"/>
      <c r="E478" s="136"/>
      <c r="F478" s="136"/>
      <c r="G478" s="136"/>
      <c r="H478" s="138"/>
      <c r="I478" s="138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</row>
    <row r="479" ht="15.75" customHeight="1">
      <c r="A479" s="136"/>
      <c r="B479" s="137"/>
      <c r="C479" s="137"/>
      <c r="D479" s="136"/>
      <c r="E479" s="136"/>
      <c r="F479" s="136"/>
      <c r="G479" s="136"/>
      <c r="H479" s="138"/>
      <c r="I479" s="138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</row>
    <row r="480" ht="15.75" customHeight="1">
      <c r="A480" s="136"/>
      <c r="B480" s="137"/>
      <c r="C480" s="137"/>
      <c r="D480" s="136"/>
      <c r="E480" s="136"/>
      <c r="F480" s="136"/>
      <c r="G480" s="136"/>
      <c r="H480" s="138"/>
      <c r="I480" s="138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</row>
    <row r="481" ht="15.75" customHeight="1">
      <c r="A481" s="136"/>
      <c r="B481" s="137"/>
      <c r="C481" s="137"/>
      <c r="D481" s="136"/>
      <c r="E481" s="136"/>
      <c r="F481" s="136"/>
      <c r="G481" s="136"/>
      <c r="H481" s="138"/>
      <c r="I481" s="138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</row>
    <row r="482" ht="15.75" customHeight="1">
      <c r="A482" s="136"/>
      <c r="B482" s="137"/>
      <c r="C482" s="137"/>
      <c r="D482" s="136"/>
      <c r="E482" s="136"/>
      <c r="F482" s="136"/>
      <c r="G482" s="136"/>
      <c r="H482" s="138"/>
      <c r="I482" s="138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</row>
    <row r="483" ht="15.75" customHeight="1">
      <c r="A483" s="136"/>
      <c r="B483" s="137"/>
      <c r="C483" s="137"/>
      <c r="D483" s="136"/>
      <c r="E483" s="136"/>
      <c r="F483" s="136"/>
      <c r="G483" s="136"/>
      <c r="H483" s="138"/>
      <c r="I483" s="138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</row>
    <row r="484" ht="15.75" customHeight="1">
      <c r="A484" s="136"/>
      <c r="B484" s="137"/>
      <c r="C484" s="137"/>
      <c r="D484" s="136"/>
      <c r="E484" s="136"/>
      <c r="F484" s="136"/>
      <c r="G484" s="136"/>
      <c r="H484" s="138"/>
      <c r="I484" s="138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</row>
    <row r="485" ht="15.75" customHeight="1">
      <c r="A485" s="136"/>
      <c r="B485" s="137"/>
      <c r="C485" s="137"/>
      <c r="D485" s="136"/>
      <c r="E485" s="136"/>
      <c r="F485" s="136"/>
      <c r="G485" s="136"/>
      <c r="H485" s="138"/>
      <c r="I485" s="138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</row>
    <row r="486" ht="15.75" customHeight="1">
      <c r="A486" s="136"/>
      <c r="B486" s="137"/>
      <c r="C486" s="137"/>
      <c r="D486" s="136"/>
      <c r="E486" s="136"/>
      <c r="F486" s="136"/>
      <c r="G486" s="136"/>
      <c r="H486" s="138"/>
      <c r="I486" s="138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</row>
    <row r="487" ht="15.75" customHeight="1">
      <c r="A487" s="136"/>
      <c r="B487" s="137"/>
      <c r="C487" s="137"/>
      <c r="D487" s="136"/>
      <c r="E487" s="136"/>
      <c r="F487" s="136"/>
      <c r="G487" s="136"/>
      <c r="H487" s="138"/>
      <c r="I487" s="138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</row>
    <row r="488" ht="15.75" customHeight="1">
      <c r="A488" s="136"/>
      <c r="B488" s="137"/>
      <c r="C488" s="137"/>
      <c r="D488" s="136"/>
      <c r="E488" s="136"/>
      <c r="F488" s="136"/>
      <c r="G488" s="136"/>
      <c r="H488" s="138"/>
      <c r="I488" s="138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</row>
    <row r="489" ht="15.75" customHeight="1">
      <c r="A489" s="136"/>
      <c r="B489" s="137"/>
      <c r="C489" s="137"/>
      <c r="D489" s="136"/>
      <c r="E489" s="136"/>
      <c r="F489" s="136"/>
      <c r="G489" s="136"/>
      <c r="H489" s="138"/>
      <c r="I489" s="138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</row>
    <row r="490" ht="15.75" customHeight="1">
      <c r="A490" s="136"/>
      <c r="B490" s="137"/>
      <c r="C490" s="137"/>
      <c r="D490" s="136"/>
      <c r="E490" s="136"/>
      <c r="F490" s="136"/>
      <c r="G490" s="136"/>
      <c r="H490" s="138"/>
      <c r="I490" s="138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</row>
    <row r="491" ht="15.75" customHeight="1">
      <c r="A491" s="136"/>
      <c r="B491" s="137"/>
      <c r="C491" s="137"/>
      <c r="D491" s="136"/>
      <c r="E491" s="136"/>
      <c r="F491" s="136"/>
      <c r="G491" s="136"/>
      <c r="H491" s="138"/>
      <c r="I491" s="138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</row>
    <row r="492" ht="15.75" customHeight="1">
      <c r="A492" s="136"/>
      <c r="B492" s="137"/>
      <c r="C492" s="137"/>
      <c r="D492" s="136"/>
      <c r="E492" s="136"/>
      <c r="F492" s="136"/>
      <c r="G492" s="136"/>
      <c r="H492" s="138"/>
      <c r="I492" s="138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</row>
    <row r="493" ht="15.75" customHeight="1">
      <c r="A493" s="136"/>
      <c r="B493" s="137"/>
      <c r="C493" s="137"/>
      <c r="D493" s="136"/>
      <c r="E493" s="136"/>
      <c r="F493" s="136"/>
      <c r="G493" s="136"/>
      <c r="H493" s="138"/>
      <c r="I493" s="138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</row>
    <row r="494" ht="15.75" customHeight="1">
      <c r="A494" s="136"/>
      <c r="B494" s="137"/>
      <c r="C494" s="137"/>
      <c r="D494" s="136"/>
      <c r="E494" s="136"/>
      <c r="F494" s="136"/>
      <c r="G494" s="136"/>
      <c r="H494" s="138"/>
      <c r="I494" s="138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</row>
    <row r="495" ht="15.75" customHeight="1">
      <c r="A495" s="136"/>
      <c r="B495" s="137"/>
      <c r="C495" s="137"/>
      <c r="D495" s="136"/>
      <c r="E495" s="136"/>
      <c r="F495" s="136"/>
      <c r="G495" s="136"/>
      <c r="H495" s="138"/>
      <c r="I495" s="138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</row>
    <row r="496" ht="15.75" customHeight="1">
      <c r="A496" s="136"/>
      <c r="B496" s="137"/>
      <c r="C496" s="137"/>
      <c r="D496" s="136"/>
      <c r="E496" s="136"/>
      <c r="F496" s="136"/>
      <c r="G496" s="136"/>
      <c r="H496" s="138"/>
      <c r="I496" s="138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</row>
    <row r="497" ht="15.75" customHeight="1">
      <c r="A497" s="136"/>
      <c r="B497" s="137"/>
      <c r="C497" s="137"/>
      <c r="D497" s="136"/>
      <c r="E497" s="136"/>
      <c r="F497" s="136"/>
      <c r="G497" s="136"/>
      <c r="H497" s="138"/>
      <c r="I497" s="138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</row>
    <row r="498" ht="15.75" customHeight="1">
      <c r="A498" s="136"/>
      <c r="B498" s="137"/>
      <c r="C498" s="137"/>
      <c r="D498" s="136"/>
      <c r="E498" s="136"/>
      <c r="F498" s="136"/>
      <c r="G498" s="136"/>
      <c r="H498" s="138"/>
      <c r="I498" s="138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</row>
    <row r="499" ht="15.75" customHeight="1">
      <c r="A499" s="136"/>
      <c r="B499" s="137"/>
      <c r="C499" s="137"/>
      <c r="D499" s="136"/>
      <c r="E499" s="136"/>
      <c r="F499" s="136"/>
      <c r="G499" s="136"/>
      <c r="H499" s="138"/>
      <c r="I499" s="138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</row>
    <row r="500" ht="15.75" customHeight="1">
      <c r="A500" s="136"/>
      <c r="B500" s="137"/>
      <c r="C500" s="137"/>
      <c r="D500" s="136"/>
      <c r="E500" s="136"/>
      <c r="F500" s="136"/>
      <c r="G500" s="136"/>
      <c r="H500" s="138"/>
      <c r="I500" s="138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</row>
    <row r="501" ht="15.75" customHeight="1">
      <c r="A501" s="136"/>
      <c r="B501" s="137"/>
      <c r="C501" s="137"/>
      <c r="D501" s="136"/>
      <c r="E501" s="136"/>
      <c r="F501" s="136"/>
      <c r="G501" s="136"/>
      <c r="H501" s="138"/>
      <c r="I501" s="138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</row>
    <row r="502" ht="15.75" customHeight="1">
      <c r="A502" s="136"/>
      <c r="B502" s="137"/>
      <c r="C502" s="137"/>
      <c r="D502" s="136"/>
      <c r="E502" s="136"/>
      <c r="F502" s="136"/>
      <c r="G502" s="136"/>
      <c r="H502" s="138"/>
      <c r="I502" s="138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</row>
    <row r="503" ht="15.75" customHeight="1">
      <c r="A503" s="136"/>
      <c r="B503" s="137"/>
      <c r="C503" s="137"/>
      <c r="D503" s="136"/>
      <c r="E503" s="136"/>
      <c r="F503" s="136"/>
      <c r="G503" s="136"/>
      <c r="H503" s="138"/>
      <c r="I503" s="138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</row>
    <row r="504" ht="15.75" customHeight="1">
      <c r="A504" s="136"/>
      <c r="B504" s="137"/>
      <c r="C504" s="137"/>
      <c r="D504" s="136"/>
      <c r="E504" s="136"/>
      <c r="F504" s="136"/>
      <c r="G504" s="136"/>
      <c r="H504" s="138"/>
      <c r="I504" s="138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</row>
    <row r="505" ht="15.75" customHeight="1">
      <c r="A505" s="136"/>
      <c r="B505" s="137"/>
      <c r="C505" s="137"/>
      <c r="D505" s="136"/>
      <c r="E505" s="136"/>
      <c r="F505" s="136"/>
      <c r="G505" s="136"/>
      <c r="H505" s="138"/>
      <c r="I505" s="138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</row>
    <row r="506" ht="15.75" customHeight="1">
      <c r="A506" s="136"/>
      <c r="B506" s="137"/>
      <c r="C506" s="137"/>
      <c r="D506" s="136"/>
      <c r="E506" s="136"/>
      <c r="F506" s="136"/>
      <c r="G506" s="136"/>
      <c r="H506" s="138"/>
      <c r="I506" s="138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</row>
    <row r="507" ht="15.75" customHeight="1">
      <c r="A507" s="136"/>
      <c r="B507" s="137"/>
      <c r="C507" s="137"/>
      <c r="D507" s="136"/>
      <c r="E507" s="136"/>
      <c r="F507" s="136"/>
      <c r="G507" s="136"/>
      <c r="H507" s="138"/>
      <c r="I507" s="138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</row>
    <row r="508" ht="15.75" customHeight="1">
      <c r="A508" s="136"/>
      <c r="B508" s="137"/>
      <c r="C508" s="137"/>
      <c r="D508" s="136"/>
      <c r="E508" s="136"/>
      <c r="F508" s="136"/>
      <c r="G508" s="136"/>
      <c r="H508" s="138"/>
      <c r="I508" s="138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</row>
    <row r="509" ht="15.75" customHeight="1">
      <c r="A509" s="136"/>
      <c r="B509" s="137"/>
      <c r="C509" s="137"/>
      <c r="D509" s="136"/>
      <c r="E509" s="136"/>
      <c r="F509" s="136"/>
      <c r="G509" s="136"/>
      <c r="H509" s="138"/>
      <c r="I509" s="138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</row>
    <row r="510" ht="15.75" customHeight="1">
      <c r="A510" s="136"/>
      <c r="B510" s="137"/>
      <c r="C510" s="137"/>
      <c r="D510" s="136"/>
      <c r="E510" s="136"/>
      <c r="F510" s="136"/>
      <c r="G510" s="136"/>
      <c r="H510" s="138"/>
      <c r="I510" s="138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</row>
    <row r="511" ht="15.75" customHeight="1">
      <c r="A511" s="136"/>
      <c r="B511" s="137"/>
      <c r="C511" s="137"/>
      <c r="D511" s="136"/>
      <c r="E511" s="136"/>
      <c r="F511" s="136"/>
      <c r="G511" s="136"/>
      <c r="H511" s="138"/>
      <c r="I511" s="138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</row>
    <row r="512" ht="15.75" customHeight="1">
      <c r="A512" s="136"/>
      <c r="B512" s="137"/>
      <c r="C512" s="137"/>
      <c r="D512" s="136"/>
      <c r="E512" s="136"/>
      <c r="F512" s="136"/>
      <c r="G512" s="136"/>
      <c r="H512" s="138"/>
      <c r="I512" s="138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</row>
    <row r="513" ht="15.75" customHeight="1">
      <c r="A513" s="136"/>
      <c r="B513" s="137"/>
      <c r="C513" s="137"/>
      <c r="D513" s="136"/>
      <c r="E513" s="136"/>
      <c r="F513" s="136"/>
      <c r="G513" s="136"/>
      <c r="H513" s="138"/>
      <c r="I513" s="138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</row>
    <row r="514" ht="15.75" customHeight="1">
      <c r="A514" s="136"/>
      <c r="B514" s="137"/>
      <c r="C514" s="137"/>
      <c r="D514" s="136"/>
      <c r="E514" s="136"/>
      <c r="F514" s="136"/>
      <c r="G514" s="136"/>
      <c r="H514" s="138"/>
      <c r="I514" s="138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</row>
    <row r="515" ht="15.75" customHeight="1">
      <c r="A515" s="136"/>
      <c r="B515" s="137"/>
      <c r="C515" s="137"/>
      <c r="D515" s="136"/>
      <c r="E515" s="136"/>
      <c r="F515" s="136"/>
      <c r="G515" s="136"/>
      <c r="H515" s="138"/>
      <c r="I515" s="138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</row>
    <row r="516" ht="15.75" customHeight="1">
      <c r="A516" s="136"/>
      <c r="B516" s="137"/>
      <c r="C516" s="137"/>
      <c r="D516" s="136"/>
      <c r="E516" s="136"/>
      <c r="F516" s="136"/>
      <c r="G516" s="136"/>
      <c r="H516" s="138"/>
      <c r="I516" s="138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</row>
    <row r="517" ht="15.75" customHeight="1">
      <c r="A517" s="136"/>
      <c r="B517" s="137"/>
      <c r="C517" s="137"/>
      <c r="D517" s="136"/>
      <c r="E517" s="136"/>
      <c r="F517" s="136"/>
      <c r="G517" s="136"/>
      <c r="H517" s="138"/>
      <c r="I517" s="138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</row>
    <row r="518" ht="15.75" customHeight="1">
      <c r="A518" s="136"/>
      <c r="B518" s="137"/>
      <c r="C518" s="137"/>
      <c r="D518" s="136"/>
      <c r="E518" s="136"/>
      <c r="F518" s="136"/>
      <c r="G518" s="136"/>
      <c r="H518" s="138"/>
      <c r="I518" s="138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</row>
    <row r="519" ht="15.75" customHeight="1">
      <c r="A519" s="136"/>
      <c r="B519" s="137"/>
      <c r="C519" s="137"/>
      <c r="D519" s="136"/>
      <c r="E519" s="136"/>
      <c r="F519" s="136"/>
      <c r="G519" s="136"/>
      <c r="H519" s="138"/>
      <c r="I519" s="138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</row>
    <row r="520" ht="15.75" customHeight="1">
      <c r="A520" s="136"/>
      <c r="B520" s="137"/>
      <c r="C520" s="137"/>
      <c r="D520" s="136"/>
      <c r="E520" s="136"/>
      <c r="F520" s="136"/>
      <c r="G520" s="136"/>
      <c r="H520" s="138"/>
      <c r="I520" s="138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</row>
    <row r="521" ht="15.75" customHeight="1">
      <c r="A521" s="136"/>
      <c r="B521" s="137"/>
      <c r="C521" s="137"/>
      <c r="D521" s="136"/>
      <c r="E521" s="136"/>
      <c r="F521" s="136"/>
      <c r="G521" s="136"/>
      <c r="H521" s="138"/>
      <c r="I521" s="138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</row>
    <row r="522" ht="15.75" customHeight="1">
      <c r="A522" s="136"/>
      <c r="B522" s="137"/>
      <c r="C522" s="137"/>
      <c r="D522" s="136"/>
      <c r="E522" s="136"/>
      <c r="F522" s="136"/>
      <c r="G522" s="136"/>
      <c r="H522" s="138"/>
      <c r="I522" s="138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</row>
    <row r="523" ht="15.75" customHeight="1">
      <c r="A523" s="136"/>
      <c r="B523" s="137"/>
      <c r="C523" s="137"/>
      <c r="D523" s="136"/>
      <c r="E523" s="136"/>
      <c r="F523" s="136"/>
      <c r="G523" s="136"/>
      <c r="H523" s="138"/>
      <c r="I523" s="138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</row>
    <row r="524" ht="15.75" customHeight="1">
      <c r="A524" s="136"/>
      <c r="B524" s="137"/>
      <c r="C524" s="137"/>
      <c r="D524" s="136"/>
      <c r="E524" s="136"/>
      <c r="F524" s="136"/>
      <c r="G524" s="136"/>
      <c r="H524" s="138"/>
      <c r="I524" s="138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</row>
    <row r="525" ht="15.75" customHeight="1">
      <c r="A525" s="136"/>
      <c r="B525" s="137"/>
      <c r="C525" s="137"/>
      <c r="D525" s="136"/>
      <c r="E525" s="136"/>
      <c r="F525" s="136"/>
      <c r="G525" s="136"/>
      <c r="H525" s="138"/>
      <c r="I525" s="138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</row>
    <row r="526" ht="15.75" customHeight="1">
      <c r="A526" s="136"/>
      <c r="B526" s="137"/>
      <c r="C526" s="137"/>
      <c r="D526" s="136"/>
      <c r="E526" s="136"/>
      <c r="F526" s="136"/>
      <c r="G526" s="136"/>
      <c r="H526" s="138"/>
      <c r="I526" s="138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</row>
    <row r="527" ht="15.75" customHeight="1">
      <c r="A527" s="136"/>
      <c r="B527" s="137"/>
      <c r="C527" s="137"/>
      <c r="D527" s="136"/>
      <c r="E527" s="136"/>
      <c r="F527" s="136"/>
      <c r="G527" s="136"/>
      <c r="H527" s="138"/>
      <c r="I527" s="138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</row>
    <row r="528" ht="15.75" customHeight="1">
      <c r="A528" s="136"/>
      <c r="B528" s="137"/>
      <c r="C528" s="137"/>
      <c r="D528" s="136"/>
      <c r="E528" s="136"/>
      <c r="F528" s="136"/>
      <c r="G528" s="136"/>
      <c r="H528" s="138"/>
      <c r="I528" s="138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</row>
    <row r="529" ht="15.75" customHeight="1">
      <c r="A529" s="136"/>
      <c r="B529" s="137"/>
      <c r="C529" s="137"/>
      <c r="D529" s="136"/>
      <c r="E529" s="136"/>
      <c r="F529" s="136"/>
      <c r="G529" s="136"/>
      <c r="H529" s="138"/>
      <c r="I529" s="138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</row>
    <row r="530" ht="15.75" customHeight="1">
      <c r="A530" s="136"/>
      <c r="B530" s="137"/>
      <c r="C530" s="137"/>
      <c r="D530" s="136"/>
      <c r="E530" s="136"/>
      <c r="F530" s="136"/>
      <c r="G530" s="136"/>
      <c r="H530" s="138"/>
      <c r="I530" s="138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</row>
    <row r="531" ht="15.75" customHeight="1">
      <c r="A531" s="136"/>
      <c r="B531" s="137"/>
      <c r="C531" s="137"/>
      <c r="D531" s="136"/>
      <c r="E531" s="136"/>
      <c r="F531" s="136"/>
      <c r="G531" s="136"/>
      <c r="H531" s="138"/>
      <c r="I531" s="138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</row>
    <row r="532" ht="15.75" customHeight="1">
      <c r="A532" s="136"/>
      <c r="B532" s="137"/>
      <c r="C532" s="137"/>
      <c r="D532" s="136"/>
      <c r="E532" s="136"/>
      <c r="F532" s="136"/>
      <c r="G532" s="136"/>
      <c r="H532" s="138"/>
      <c r="I532" s="138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</row>
    <row r="533" ht="15.75" customHeight="1">
      <c r="A533" s="136"/>
      <c r="B533" s="137"/>
      <c r="C533" s="137"/>
      <c r="D533" s="136"/>
      <c r="E533" s="136"/>
      <c r="F533" s="136"/>
      <c r="G533" s="136"/>
      <c r="H533" s="138"/>
      <c r="I533" s="138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</row>
    <row r="534" ht="15.75" customHeight="1">
      <c r="A534" s="136"/>
      <c r="B534" s="137"/>
      <c r="C534" s="137"/>
      <c r="D534" s="136"/>
      <c r="E534" s="136"/>
      <c r="F534" s="136"/>
      <c r="G534" s="136"/>
      <c r="H534" s="138"/>
      <c r="I534" s="138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</row>
    <row r="535" ht="15.75" customHeight="1">
      <c r="A535" s="136"/>
      <c r="B535" s="137"/>
      <c r="C535" s="137"/>
      <c r="D535" s="136"/>
      <c r="E535" s="136"/>
      <c r="F535" s="136"/>
      <c r="G535" s="136"/>
      <c r="H535" s="138"/>
      <c r="I535" s="138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</row>
    <row r="536" ht="15.75" customHeight="1">
      <c r="A536" s="136"/>
      <c r="B536" s="137"/>
      <c r="C536" s="137"/>
      <c r="D536" s="136"/>
      <c r="E536" s="136"/>
      <c r="F536" s="136"/>
      <c r="G536" s="136"/>
      <c r="H536" s="138"/>
      <c r="I536" s="138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</row>
    <row r="537" ht="15.75" customHeight="1">
      <c r="A537" s="136"/>
      <c r="B537" s="137"/>
      <c r="C537" s="137"/>
      <c r="D537" s="136"/>
      <c r="E537" s="136"/>
      <c r="F537" s="136"/>
      <c r="G537" s="136"/>
      <c r="H537" s="138"/>
      <c r="I537" s="138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</row>
    <row r="538" ht="15.75" customHeight="1">
      <c r="A538" s="136"/>
      <c r="B538" s="137"/>
      <c r="C538" s="137"/>
      <c r="D538" s="136"/>
      <c r="E538" s="136"/>
      <c r="F538" s="136"/>
      <c r="G538" s="136"/>
      <c r="H538" s="138"/>
      <c r="I538" s="138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</row>
    <row r="539" ht="15.75" customHeight="1">
      <c r="A539" s="136"/>
      <c r="B539" s="137"/>
      <c r="C539" s="137"/>
      <c r="D539" s="136"/>
      <c r="E539" s="136"/>
      <c r="F539" s="136"/>
      <c r="G539" s="136"/>
      <c r="H539" s="138"/>
      <c r="I539" s="138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</row>
    <row r="540" ht="15.75" customHeight="1">
      <c r="A540" s="136"/>
      <c r="B540" s="137"/>
      <c r="C540" s="137"/>
      <c r="D540" s="136"/>
      <c r="E540" s="136"/>
      <c r="F540" s="136"/>
      <c r="G540" s="136"/>
      <c r="H540" s="138"/>
      <c r="I540" s="138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</row>
    <row r="541" ht="15.75" customHeight="1">
      <c r="A541" s="136"/>
      <c r="B541" s="137"/>
      <c r="C541" s="137"/>
      <c r="D541" s="136"/>
      <c r="E541" s="136"/>
      <c r="F541" s="136"/>
      <c r="G541" s="136"/>
      <c r="H541" s="138"/>
      <c r="I541" s="138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</row>
    <row r="542" ht="15.75" customHeight="1">
      <c r="A542" s="136"/>
      <c r="B542" s="137"/>
      <c r="C542" s="137"/>
      <c r="D542" s="136"/>
      <c r="E542" s="136"/>
      <c r="F542" s="136"/>
      <c r="G542" s="136"/>
      <c r="H542" s="138"/>
      <c r="I542" s="138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</row>
    <row r="543" ht="15.75" customHeight="1">
      <c r="A543" s="136"/>
      <c r="B543" s="137"/>
      <c r="C543" s="137"/>
      <c r="D543" s="136"/>
      <c r="E543" s="136"/>
      <c r="F543" s="136"/>
      <c r="G543" s="136"/>
      <c r="H543" s="138"/>
      <c r="I543" s="138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</row>
    <row r="544" ht="15.75" customHeight="1">
      <c r="A544" s="136"/>
      <c r="B544" s="137"/>
      <c r="C544" s="137"/>
      <c r="D544" s="136"/>
      <c r="E544" s="136"/>
      <c r="F544" s="136"/>
      <c r="G544" s="136"/>
      <c r="H544" s="138"/>
      <c r="I544" s="138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</row>
    <row r="545" ht="15.75" customHeight="1">
      <c r="A545" s="136"/>
      <c r="B545" s="137"/>
      <c r="C545" s="137"/>
      <c r="D545" s="136"/>
      <c r="E545" s="136"/>
      <c r="F545" s="136"/>
      <c r="G545" s="136"/>
      <c r="H545" s="138"/>
      <c r="I545" s="138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</row>
    <row r="546" ht="15.75" customHeight="1">
      <c r="A546" s="136"/>
      <c r="B546" s="137"/>
      <c r="C546" s="137"/>
      <c r="D546" s="136"/>
      <c r="E546" s="136"/>
      <c r="F546" s="136"/>
      <c r="G546" s="136"/>
      <c r="H546" s="138"/>
      <c r="I546" s="138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</row>
    <row r="547" ht="15.75" customHeight="1">
      <c r="A547" s="136"/>
      <c r="B547" s="137"/>
      <c r="C547" s="137"/>
      <c r="D547" s="136"/>
      <c r="E547" s="136"/>
      <c r="F547" s="136"/>
      <c r="G547" s="136"/>
      <c r="H547" s="138"/>
      <c r="I547" s="138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</row>
    <row r="548" ht="15.75" customHeight="1">
      <c r="A548" s="136"/>
      <c r="B548" s="137"/>
      <c r="C548" s="137"/>
      <c r="D548" s="136"/>
      <c r="E548" s="136"/>
      <c r="F548" s="136"/>
      <c r="G548" s="136"/>
      <c r="H548" s="138"/>
      <c r="I548" s="138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</row>
    <row r="549" ht="15.75" customHeight="1">
      <c r="A549" s="136"/>
      <c r="B549" s="137"/>
      <c r="C549" s="137"/>
      <c r="D549" s="136"/>
      <c r="E549" s="136"/>
      <c r="F549" s="136"/>
      <c r="G549" s="136"/>
      <c r="H549" s="138"/>
      <c r="I549" s="138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</row>
    <row r="550" ht="15.75" customHeight="1">
      <c r="A550" s="136"/>
      <c r="B550" s="137"/>
      <c r="C550" s="137"/>
      <c r="D550" s="136"/>
      <c r="E550" s="136"/>
      <c r="F550" s="136"/>
      <c r="G550" s="136"/>
      <c r="H550" s="138"/>
      <c r="I550" s="138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</row>
    <row r="551" ht="15.75" customHeight="1">
      <c r="A551" s="136"/>
      <c r="B551" s="137"/>
      <c r="C551" s="137"/>
      <c r="D551" s="136"/>
      <c r="E551" s="136"/>
      <c r="F551" s="136"/>
      <c r="G551" s="136"/>
      <c r="H551" s="138"/>
      <c r="I551" s="138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</row>
    <row r="552" ht="15.75" customHeight="1">
      <c r="A552" s="136"/>
      <c r="B552" s="137"/>
      <c r="C552" s="137"/>
      <c r="D552" s="136"/>
      <c r="E552" s="136"/>
      <c r="F552" s="136"/>
      <c r="G552" s="136"/>
      <c r="H552" s="138"/>
      <c r="I552" s="138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</row>
    <row r="553" ht="15.75" customHeight="1">
      <c r="A553" s="136"/>
      <c r="B553" s="137"/>
      <c r="C553" s="137"/>
      <c r="D553" s="136"/>
      <c r="E553" s="136"/>
      <c r="F553" s="136"/>
      <c r="G553" s="136"/>
      <c r="H553" s="138"/>
      <c r="I553" s="138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</row>
    <row r="554" ht="15.75" customHeight="1">
      <c r="A554" s="136"/>
      <c r="B554" s="137"/>
      <c r="C554" s="137"/>
      <c r="D554" s="136"/>
      <c r="E554" s="136"/>
      <c r="F554" s="136"/>
      <c r="G554" s="136"/>
      <c r="H554" s="138"/>
      <c r="I554" s="138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</row>
    <row r="555" ht="15.75" customHeight="1">
      <c r="A555" s="136"/>
      <c r="B555" s="137"/>
      <c r="C555" s="137"/>
      <c r="D555" s="136"/>
      <c r="E555" s="136"/>
      <c r="F555" s="136"/>
      <c r="G555" s="136"/>
      <c r="H555" s="138"/>
      <c r="I555" s="138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</row>
    <row r="556" ht="15.75" customHeight="1">
      <c r="A556" s="136"/>
      <c r="B556" s="137"/>
      <c r="C556" s="137"/>
      <c r="D556" s="136"/>
      <c r="E556" s="136"/>
      <c r="F556" s="136"/>
      <c r="G556" s="136"/>
      <c r="H556" s="138"/>
      <c r="I556" s="138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</row>
    <row r="557" ht="15.75" customHeight="1">
      <c r="A557" s="136"/>
      <c r="B557" s="137"/>
      <c r="C557" s="137"/>
      <c r="D557" s="136"/>
      <c r="E557" s="136"/>
      <c r="F557" s="136"/>
      <c r="G557" s="136"/>
      <c r="H557" s="138"/>
      <c r="I557" s="138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</row>
    <row r="558" ht="15.75" customHeight="1">
      <c r="A558" s="136"/>
      <c r="B558" s="137"/>
      <c r="C558" s="137"/>
      <c r="D558" s="136"/>
      <c r="E558" s="136"/>
      <c r="F558" s="136"/>
      <c r="G558" s="136"/>
      <c r="H558" s="138"/>
      <c r="I558" s="138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</row>
    <row r="559" ht="15.75" customHeight="1">
      <c r="A559" s="136"/>
      <c r="B559" s="137"/>
      <c r="C559" s="137"/>
      <c r="D559" s="136"/>
      <c r="E559" s="136"/>
      <c r="F559" s="136"/>
      <c r="G559" s="136"/>
      <c r="H559" s="138"/>
      <c r="I559" s="138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</row>
    <row r="560" ht="15.75" customHeight="1">
      <c r="A560" s="136"/>
      <c r="B560" s="137"/>
      <c r="C560" s="137"/>
      <c r="D560" s="136"/>
      <c r="E560" s="136"/>
      <c r="F560" s="136"/>
      <c r="G560" s="136"/>
      <c r="H560" s="138"/>
      <c r="I560" s="138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</row>
    <row r="561" ht="15.75" customHeight="1">
      <c r="A561" s="136"/>
      <c r="B561" s="137"/>
      <c r="C561" s="137"/>
      <c r="D561" s="136"/>
      <c r="E561" s="136"/>
      <c r="F561" s="136"/>
      <c r="G561" s="136"/>
      <c r="H561" s="138"/>
      <c r="I561" s="138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</row>
    <row r="562" ht="15.75" customHeight="1">
      <c r="A562" s="136"/>
      <c r="B562" s="137"/>
      <c r="C562" s="137"/>
      <c r="D562" s="136"/>
      <c r="E562" s="136"/>
      <c r="F562" s="136"/>
      <c r="G562" s="136"/>
      <c r="H562" s="138"/>
      <c r="I562" s="138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</row>
    <row r="563" ht="15.75" customHeight="1">
      <c r="A563" s="136"/>
      <c r="B563" s="137"/>
      <c r="C563" s="137"/>
      <c r="D563" s="136"/>
      <c r="E563" s="136"/>
      <c r="F563" s="136"/>
      <c r="G563" s="136"/>
      <c r="H563" s="138"/>
      <c r="I563" s="138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</row>
    <row r="564" ht="15.75" customHeight="1">
      <c r="A564" s="136"/>
      <c r="B564" s="137"/>
      <c r="C564" s="137"/>
      <c r="D564" s="136"/>
      <c r="E564" s="136"/>
      <c r="F564" s="136"/>
      <c r="G564" s="136"/>
      <c r="H564" s="138"/>
      <c r="I564" s="138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</row>
    <row r="565" ht="15.75" customHeight="1">
      <c r="A565" s="136"/>
      <c r="B565" s="137"/>
      <c r="C565" s="137"/>
      <c r="D565" s="136"/>
      <c r="E565" s="136"/>
      <c r="F565" s="136"/>
      <c r="G565" s="136"/>
      <c r="H565" s="138"/>
      <c r="I565" s="138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</row>
    <row r="566" ht="15.75" customHeight="1">
      <c r="A566" s="136"/>
      <c r="B566" s="137"/>
      <c r="C566" s="137"/>
      <c r="D566" s="136"/>
      <c r="E566" s="136"/>
      <c r="F566" s="136"/>
      <c r="G566" s="136"/>
      <c r="H566" s="138"/>
      <c r="I566" s="138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</row>
    <row r="567" ht="15.75" customHeight="1">
      <c r="A567" s="136"/>
      <c r="B567" s="137"/>
      <c r="C567" s="137"/>
      <c r="D567" s="136"/>
      <c r="E567" s="136"/>
      <c r="F567" s="136"/>
      <c r="G567" s="136"/>
      <c r="H567" s="138"/>
      <c r="I567" s="138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</row>
    <row r="568" ht="15.75" customHeight="1">
      <c r="A568" s="136"/>
      <c r="B568" s="137"/>
      <c r="C568" s="137"/>
      <c r="D568" s="136"/>
      <c r="E568" s="136"/>
      <c r="F568" s="136"/>
      <c r="G568" s="136"/>
      <c r="H568" s="138"/>
      <c r="I568" s="138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</row>
    <row r="569" ht="15.75" customHeight="1">
      <c r="A569" s="136"/>
      <c r="B569" s="137"/>
      <c r="C569" s="137"/>
      <c r="D569" s="136"/>
      <c r="E569" s="136"/>
      <c r="F569" s="136"/>
      <c r="G569" s="136"/>
      <c r="H569" s="138"/>
      <c r="I569" s="138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</row>
    <row r="570" ht="15.75" customHeight="1">
      <c r="A570" s="136"/>
      <c r="B570" s="137"/>
      <c r="C570" s="137"/>
      <c r="D570" s="136"/>
      <c r="E570" s="136"/>
      <c r="F570" s="136"/>
      <c r="G570" s="136"/>
      <c r="H570" s="138"/>
      <c r="I570" s="138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</row>
    <row r="571" ht="15.75" customHeight="1">
      <c r="A571" s="136"/>
      <c r="B571" s="137"/>
      <c r="C571" s="137"/>
      <c r="D571" s="136"/>
      <c r="E571" s="136"/>
      <c r="F571" s="136"/>
      <c r="G571" s="136"/>
      <c r="H571" s="138"/>
      <c r="I571" s="138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</row>
    <row r="572" ht="15.75" customHeight="1">
      <c r="A572" s="136"/>
      <c r="B572" s="137"/>
      <c r="C572" s="137"/>
      <c r="D572" s="136"/>
      <c r="E572" s="136"/>
      <c r="F572" s="136"/>
      <c r="G572" s="136"/>
      <c r="H572" s="138"/>
      <c r="I572" s="138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</row>
    <row r="573" ht="15.75" customHeight="1">
      <c r="A573" s="136"/>
      <c r="B573" s="137"/>
      <c r="C573" s="137"/>
      <c r="D573" s="136"/>
      <c r="E573" s="136"/>
      <c r="F573" s="136"/>
      <c r="G573" s="136"/>
      <c r="H573" s="138"/>
      <c r="I573" s="138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</row>
    <row r="574" ht="15.75" customHeight="1">
      <c r="A574" s="136"/>
      <c r="B574" s="137"/>
      <c r="C574" s="137"/>
      <c r="D574" s="136"/>
      <c r="E574" s="136"/>
      <c r="F574" s="136"/>
      <c r="G574" s="136"/>
      <c r="H574" s="138"/>
      <c r="I574" s="138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</row>
    <row r="575" ht="15.75" customHeight="1">
      <c r="A575" s="136"/>
      <c r="B575" s="137"/>
      <c r="C575" s="137"/>
      <c r="D575" s="136"/>
      <c r="E575" s="136"/>
      <c r="F575" s="136"/>
      <c r="G575" s="136"/>
      <c r="H575" s="138"/>
      <c r="I575" s="138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</row>
    <row r="576" ht="15.75" customHeight="1">
      <c r="A576" s="136"/>
      <c r="B576" s="137"/>
      <c r="C576" s="137"/>
      <c r="D576" s="136"/>
      <c r="E576" s="136"/>
      <c r="F576" s="136"/>
      <c r="G576" s="136"/>
      <c r="H576" s="138"/>
      <c r="I576" s="138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</row>
    <row r="577" ht="15.75" customHeight="1">
      <c r="A577" s="136"/>
      <c r="B577" s="137"/>
      <c r="C577" s="137"/>
      <c r="D577" s="136"/>
      <c r="E577" s="136"/>
      <c r="F577" s="136"/>
      <c r="G577" s="136"/>
      <c r="H577" s="138"/>
      <c r="I577" s="138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</row>
    <row r="578" ht="15.75" customHeight="1">
      <c r="A578" s="136"/>
      <c r="B578" s="137"/>
      <c r="C578" s="137"/>
      <c r="D578" s="136"/>
      <c r="E578" s="136"/>
      <c r="F578" s="136"/>
      <c r="G578" s="136"/>
      <c r="H578" s="138"/>
      <c r="I578" s="138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</row>
    <row r="579" ht="15.75" customHeight="1">
      <c r="A579" s="136"/>
      <c r="B579" s="137"/>
      <c r="C579" s="137"/>
      <c r="D579" s="136"/>
      <c r="E579" s="136"/>
      <c r="F579" s="136"/>
      <c r="G579" s="136"/>
      <c r="H579" s="138"/>
      <c r="I579" s="138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</row>
    <row r="580" ht="15.75" customHeight="1">
      <c r="A580" s="136"/>
      <c r="B580" s="137"/>
      <c r="C580" s="137"/>
      <c r="D580" s="136"/>
      <c r="E580" s="136"/>
      <c r="F580" s="136"/>
      <c r="G580" s="136"/>
      <c r="H580" s="138"/>
      <c r="I580" s="138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</row>
    <row r="581" ht="15.75" customHeight="1">
      <c r="A581" s="136"/>
      <c r="B581" s="137"/>
      <c r="C581" s="137"/>
      <c r="D581" s="136"/>
      <c r="E581" s="136"/>
      <c r="F581" s="136"/>
      <c r="G581" s="136"/>
      <c r="H581" s="138"/>
      <c r="I581" s="138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</row>
    <row r="582" ht="15.75" customHeight="1">
      <c r="A582" s="136"/>
      <c r="B582" s="137"/>
      <c r="C582" s="137"/>
      <c r="D582" s="136"/>
      <c r="E582" s="136"/>
      <c r="F582" s="136"/>
      <c r="G582" s="136"/>
      <c r="H582" s="138"/>
      <c r="I582" s="138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</row>
    <row r="583" ht="15.75" customHeight="1">
      <c r="A583" s="136"/>
      <c r="B583" s="137"/>
      <c r="C583" s="137"/>
      <c r="D583" s="136"/>
      <c r="E583" s="136"/>
      <c r="F583" s="136"/>
      <c r="G583" s="136"/>
      <c r="H583" s="138"/>
      <c r="I583" s="138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</row>
    <row r="584" ht="15.75" customHeight="1">
      <c r="A584" s="136"/>
      <c r="B584" s="137"/>
      <c r="C584" s="137"/>
      <c r="D584" s="136"/>
      <c r="E584" s="136"/>
      <c r="F584" s="136"/>
      <c r="G584" s="136"/>
      <c r="H584" s="138"/>
      <c r="I584" s="138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</row>
    <row r="585" ht="15.75" customHeight="1">
      <c r="A585" s="136"/>
      <c r="B585" s="137"/>
      <c r="C585" s="137"/>
      <c r="D585" s="136"/>
      <c r="E585" s="136"/>
      <c r="F585" s="136"/>
      <c r="G585" s="136"/>
      <c r="H585" s="138"/>
      <c r="I585" s="138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</row>
    <row r="586" ht="15.75" customHeight="1">
      <c r="A586" s="136"/>
      <c r="B586" s="137"/>
      <c r="C586" s="137"/>
      <c r="D586" s="136"/>
      <c r="E586" s="136"/>
      <c r="F586" s="136"/>
      <c r="G586" s="136"/>
      <c r="H586" s="138"/>
      <c r="I586" s="138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</row>
    <row r="587" ht="15.75" customHeight="1">
      <c r="A587" s="136"/>
      <c r="B587" s="137"/>
      <c r="C587" s="137"/>
      <c r="D587" s="136"/>
      <c r="E587" s="136"/>
      <c r="F587" s="136"/>
      <c r="G587" s="136"/>
      <c r="H587" s="138"/>
      <c r="I587" s="138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</row>
    <row r="588" ht="15.75" customHeight="1">
      <c r="A588" s="136"/>
      <c r="B588" s="137"/>
      <c r="C588" s="137"/>
      <c r="D588" s="136"/>
      <c r="E588" s="136"/>
      <c r="F588" s="136"/>
      <c r="G588" s="136"/>
      <c r="H588" s="138"/>
      <c r="I588" s="138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</row>
    <row r="589" ht="15.75" customHeight="1">
      <c r="A589" s="136"/>
      <c r="B589" s="137"/>
      <c r="C589" s="137"/>
      <c r="D589" s="136"/>
      <c r="E589" s="136"/>
      <c r="F589" s="136"/>
      <c r="G589" s="136"/>
      <c r="H589" s="138"/>
      <c r="I589" s="138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</row>
    <row r="590" ht="15.75" customHeight="1">
      <c r="A590" s="136"/>
      <c r="B590" s="137"/>
      <c r="C590" s="137"/>
      <c r="D590" s="136"/>
      <c r="E590" s="136"/>
      <c r="F590" s="136"/>
      <c r="G590" s="136"/>
      <c r="H590" s="138"/>
      <c r="I590" s="138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</row>
    <row r="591" ht="15.75" customHeight="1">
      <c r="A591" s="136"/>
      <c r="B591" s="137"/>
      <c r="C591" s="137"/>
      <c r="D591" s="136"/>
      <c r="E591" s="136"/>
      <c r="F591" s="136"/>
      <c r="G591" s="136"/>
      <c r="H591" s="138"/>
      <c r="I591" s="138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</row>
    <row r="592" ht="15.75" customHeight="1">
      <c r="A592" s="136"/>
      <c r="B592" s="137"/>
      <c r="C592" s="137"/>
      <c r="D592" s="136"/>
      <c r="E592" s="136"/>
      <c r="F592" s="136"/>
      <c r="G592" s="136"/>
      <c r="H592" s="138"/>
      <c r="I592" s="138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</row>
    <row r="593" ht="15.75" customHeight="1">
      <c r="A593" s="136"/>
      <c r="B593" s="137"/>
      <c r="C593" s="137"/>
      <c r="D593" s="136"/>
      <c r="E593" s="136"/>
      <c r="F593" s="136"/>
      <c r="G593" s="136"/>
      <c r="H593" s="138"/>
      <c r="I593" s="138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</row>
    <row r="594" ht="15.75" customHeight="1">
      <c r="A594" s="136"/>
      <c r="B594" s="137"/>
      <c r="C594" s="137"/>
      <c r="D594" s="136"/>
      <c r="E594" s="136"/>
      <c r="F594" s="136"/>
      <c r="G594" s="136"/>
      <c r="H594" s="138"/>
      <c r="I594" s="138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</row>
    <row r="595" ht="15.75" customHeight="1">
      <c r="A595" s="136"/>
      <c r="B595" s="137"/>
      <c r="C595" s="137"/>
      <c r="D595" s="136"/>
      <c r="E595" s="136"/>
      <c r="F595" s="136"/>
      <c r="G595" s="136"/>
      <c r="H595" s="138"/>
      <c r="I595" s="138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</row>
    <row r="596" ht="15.75" customHeight="1">
      <c r="A596" s="136"/>
      <c r="B596" s="137"/>
      <c r="C596" s="137"/>
      <c r="D596" s="136"/>
      <c r="E596" s="136"/>
      <c r="F596" s="136"/>
      <c r="G596" s="136"/>
      <c r="H596" s="138"/>
      <c r="I596" s="138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</row>
    <row r="597" ht="15.75" customHeight="1">
      <c r="A597" s="136"/>
      <c r="B597" s="137"/>
      <c r="C597" s="137"/>
      <c r="D597" s="136"/>
      <c r="E597" s="136"/>
      <c r="F597" s="136"/>
      <c r="G597" s="136"/>
      <c r="H597" s="138"/>
      <c r="I597" s="138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</row>
    <row r="598" ht="15.75" customHeight="1">
      <c r="A598" s="136"/>
      <c r="B598" s="137"/>
      <c r="C598" s="137"/>
      <c r="D598" s="136"/>
      <c r="E598" s="136"/>
      <c r="F598" s="136"/>
      <c r="G598" s="136"/>
      <c r="H598" s="138"/>
      <c r="I598" s="138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</row>
    <row r="599" ht="15.75" customHeight="1">
      <c r="A599" s="136"/>
      <c r="B599" s="137"/>
      <c r="C599" s="137"/>
      <c r="D599" s="136"/>
      <c r="E599" s="136"/>
      <c r="F599" s="136"/>
      <c r="G599" s="136"/>
      <c r="H599" s="138"/>
      <c r="I599" s="138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</row>
    <row r="600" ht="15.75" customHeight="1">
      <c r="A600" s="136"/>
      <c r="B600" s="137"/>
      <c r="C600" s="137"/>
      <c r="D600" s="136"/>
      <c r="E600" s="136"/>
      <c r="F600" s="136"/>
      <c r="G600" s="136"/>
      <c r="H600" s="138"/>
      <c r="I600" s="138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</row>
    <row r="601" ht="15.75" customHeight="1">
      <c r="A601" s="136"/>
      <c r="B601" s="137"/>
      <c r="C601" s="137"/>
      <c r="D601" s="136"/>
      <c r="E601" s="136"/>
      <c r="F601" s="136"/>
      <c r="G601" s="136"/>
      <c r="H601" s="138"/>
      <c r="I601" s="138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</row>
    <row r="602" ht="15.75" customHeight="1">
      <c r="A602" s="136"/>
      <c r="B602" s="137"/>
      <c r="C602" s="137"/>
      <c r="D602" s="136"/>
      <c r="E602" s="136"/>
      <c r="F602" s="136"/>
      <c r="G602" s="136"/>
      <c r="H602" s="138"/>
      <c r="I602" s="138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</row>
    <row r="603" ht="15.75" customHeight="1">
      <c r="A603" s="136"/>
      <c r="B603" s="137"/>
      <c r="C603" s="137"/>
      <c r="D603" s="136"/>
      <c r="E603" s="136"/>
      <c r="F603" s="136"/>
      <c r="G603" s="136"/>
      <c r="H603" s="138"/>
      <c r="I603" s="138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</row>
    <row r="604" ht="15.75" customHeight="1">
      <c r="A604" s="136"/>
      <c r="B604" s="137"/>
      <c r="C604" s="137"/>
      <c r="D604" s="136"/>
      <c r="E604" s="136"/>
      <c r="F604" s="136"/>
      <c r="G604" s="136"/>
      <c r="H604" s="138"/>
      <c r="I604" s="138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</row>
    <row r="605" ht="15.75" customHeight="1">
      <c r="A605" s="136"/>
      <c r="B605" s="137"/>
      <c r="C605" s="137"/>
      <c r="D605" s="136"/>
      <c r="E605" s="136"/>
      <c r="F605" s="136"/>
      <c r="G605" s="136"/>
      <c r="H605" s="138"/>
      <c r="I605" s="138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</row>
    <row r="606" ht="15.75" customHeight="1">
      <c r="A606" s="136"/>
      <c r="B606" s="137"/>
      <c r="C606" s="137"/>
      <c r="D606" s="136"/>
      <c r="E606" s="136"/>
      <c r="F606" s="136"/>
      <c r="G606" s="136"/>
      <c r="H606" s="138"/>
      <c r="I606" s="138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</row>
    <row r="607" ht="15.75" customHeight="1">
      <c r="A607" s="136"/>
      <c r="B607" s="137"/>
      <c r="C607" s="137"/>
      <c r="D607" s="136"/>
      <c r="E607" s="136"/>
      <c r="F607" s="136"/>
      <c r="G607" s="136"/>
      <c r="H607" s="138"/>
      <c r="I607" s="138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</row>
    <row r="608" ht="15.75" customHeight="1">
      <c r="A608" s="136"/>
      <c r="B608" s="137"/>
      <c r="C608" s="137"/>
      <c r="D608" s="136"/>
      <c r="E608" s="136"/>
      <c r="F608" s="136"/>
      <c r="G608" s="136"/>
      <c r="H608" s="138"/>
      <c r="I608" s="138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</row>
    <row r="609" ht="15.75" customHeight="1">
      <c r="A609" s="136"/>
      <c r="B609" s="137"/>
      <c r="C609" s="137"/>
      <c r="D609" s="136"/>
      <c r="E609" s="136"/>
      <c r="F609" s="136"/>
      <c r="G609" s="136"/>
      <c r="H609" s="138"/>
      <c r="I609" s="138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</row>
    <row r="610" ht="15.75" customHeight="1">
      <c r="A610" s="136"/>
      <c r="B610" s="137"/>
      <c r="C610" s="137"/>
      <c r="D610" s="136"/>
      <c r="E610" s="136"/>
      <c r="F610" s="136"/>
      <c r="G610" s="136"/>
      <c r="H610" s="138"/>
      <c r="I610" s="138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</row>
    <row r="611" ht="15.75" customHeight="1">
      <c r="A611" s="136"/>
      <c r="B611" s="137"/>
      <c r="C611" s="137"/>
      <c r="D611" s="136"/>
      <c r="E611" s="136"/>
      <c r="F611" s="136"/>
      <c r="G611" s="136"/>
      <c r="H611" s="138"/>
      <c r="I611" s="138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</row>
    <row r="612" ht="15.75" customHeight="1">
      <c r="A612" s="136"/>
      <c r="B612" s="137"/>
      <c r="C612" s="137"/>
      <c r="D612" s="136"/>
      <c r="E612" s="136"/>
      <c r="F612" s="136"/>
      <c r="G612" s="136"/>
      <c r="H612" s="138"/>
      <c r="I612" s="138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</row>
    <row r="613" ht="15.75" customHeight="1">
      <c r="A613" s="136"/>
      <c r="B613" s="137"/>
      <c r="C613" s="137"/>
      <c r="D613" s="136"/>
      <c r="E613" s="136"/>
      <c r="F613" s="136"/>
      <c r="G613" s="136"/>
      <c r="H613" s="138"/>
      <c r="I613" s="138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</row>
    <row r="614" ht="15.75" customHeight="1">
      <c r="A614" s="136"/>
      <c r="B614" s="137"/>
      <c r="C614" s="137"/>
      <c r="D614" s="136"/>
      <c r="E614" s="136"/>
      <c r="F614" s="136"/>
      <c r="G614" s="136"/>
      <c r="H614" s="138"/>
      <c r="I614" s="138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</row>
    <row r="615" ht="15.75" customHeight="1">
      <c r="A615" s="136"/>
      <c r="B615" s="137"/>
      <c r="C615" s="137"/>
      <c r="D615" s="136"/>
      <c r="E615" s="136"/>
      <c r="F615" s="136"/>
      <c r="G615" s="136"/>
      <c r="H615" s="138"/>
      <c r="I615" s="138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</row>
    <row r="616" ht="15.75" customHeight="1">
      <c r="A616" s="136"/>
      <c r="B616" s="137"/>
      <c r="C616" s="137"/>
      <c r="D616" s="136"/>
      <c r="E616" s="136"/>
      <c r="F616" s="136"/>
      <c r="G616" s="136"/>
      <c r="H616" s="138"/>
      <c r="I616" s="138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</row>
    <row r="617" ht="15.75" customHeight="1">
      <c r="A617" s="136"/>
      <c r="B617" s="137"/>
      <c r="C617" s="137"/>
      <c r="D617" s="136"/>
      <c r="E617" s="136"/>
      <c r="F617" s="136"/>
      <c r="G617" s="136"/>
      <c r="H617" s="138"/>
      <c r="I617" s="138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</row>
    <row r="618" ht="15.75" customHeight="1">
      <c r="A618" s="136"/>
      <c r="B618" s="137"/>
      <c r="C618" s="137"/>
      <c r="D618" s="136"/>
      <c r="E618" s="136"/>
      <c r="F618" s="136"/>
      <c r="G618" s="136"/>
      <c r="H618" s="138"/>
      <c r="I618" s="138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</row>
    <row r="619" ht="15.75" customHeight="1">
      <c r="A619" s="136"/>
      <c r="B619" s="137"/>
      <c r="C619" s="137"/>
      <c r="D619" s="136"/>
      <c r="E619" s="136"/>
      <c r="F619" s="136"/>
      <c r="G619" s="136"/>
      <c r="H619" s="138"/>
      <c r="I619" s="138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</row>
    <row r="620" ht="15.75" customHeight="1">
      <c r="A620" s="136"/>
      <c r="B620" s="137"/>
      <c r="C620" s="137"/>
      <c r="D620" s="136"/>
      <c r="E620" s="136"/>
      <c r="F620" s="136"/>
      <c r="G620" s="136"/>
      <c r="H620" s="138"/>
      <c r="I620" s="138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</row>
    <row r="621" ht="15.75" customHeight="1">
      <c r="A621" s="136"/>
      <c r="B621" s="137"/>
      <c r="C621" s="137"/>
      <c r="D621" s="136"/>
      <c r="E621" s="136"/>
      <c r="F621" s="136"/>
      <c r="G621" s="136"/>
      <c r="H621" s="138"/>
      <c r="I621" s="138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</row>
    <row r="622" ht="15.75" customHeight="1">
      <c r="A622" s="136"/>
      <c r="B622" s="137"/>
      <c r="C622" s="137"/>
      <c r="D622" s="136"/>
      <c r="E622" s="136"/>
      <c r="F622" s="136"/>
      <c r="G622" s="136"/>
      <c r="H622" s="138"/>
      <c r="I622" s="138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</row>
    <row r="623" ht="15.75" customHeight="1">
      <c r="A623" s="136"/>
      <c r="B623" s="137"/>
      <c r="C623" s="137"/>
      <c r="D623" s="136"/>
      <c r="E623" s="136"/>
      <c r="F623" s="136"/>
      <c r="G623" s="136"/>
      <c r="H623" s="138"/>
      <c r="I623" s="138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</row>
    <row r="624" ht="15.75" customHeight="1">
      <c r="A624" s="136"/>
      <c r="B624" s="137"/>
      <c r="C624" s="137"/>
      <c r="D624" s="136"/>
      <c r="E624" s="136"/>
      <c r="F624" s="136"/>
      <c r="G624" s="136"/>
      <c r="H624" s="138"/>
      <c r="I624" s="138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</row>
    <row r="625" ht="15.75" customHeight="1">
      <c r="A625" s="136"/>
      <c r="B625" s="137"/>
      <c r="C625" s="137"/>
      <c r="D625" s="136"/>
      <c r="E625" s="136"/>
      <c r="F625" s="136"/>
      <c r="G625" s="136"/>
      <c r="H625" s="138"/>
      <c r="I625" s="138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</row>
    <row r="626" ht="15.75" customHeight="1">
      <c r="A626" s="136"/>
      <c r="B626" s="137"/>
      <c r="C626" s="137"/>
      <c r="D626" s="136"/>
      <c r="E626" s="136"/>
      <c r="F626" s="136"/>
      <c r="G626" s="136"/>
      <c r="H626" s="138"/>
      <c r="I626" s="138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</row>
    <row r="627" ht="15.75" customHeight="1">
      <c r="A627" s="136"/>
      <c r="B627" s="137"/>
      <c r="C627" s="137"/>
      <c r="D627" s="136"/>
      <c r="E627" s="136"/>
      <c r="F627" s="136"/>
      <c r="G627" s="136"/>
      <c r="H627" s="138"/>
      <c r="I627" s="138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</row>
    <row r="628" ht="15.75" customHeight="1">
      <c r="A628" s="136"/>
      <c r="B628" s="137"/>
      <c r="C628" s="137"/>
      <c r="D628" s="136"/>
      <c r="E628" s="136"/>
      <c r="F628" s="136"/>
      <c r="G628" s="136"/>
      <c r="H628" s="138"/>
      <c r="I628" s="138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</row>
    <row r="629" ht="15.75" customHeight="1">
      <c r="A629" s="136"/>
      <c r="B629" s="137"/>
      <c r="C629" s="137"/>
      <c r="D629" s="136"/>
      <c r="E629" s="136"/>
      <c r="F629" s="136"/>
      <c r="G629" s="136"/>
      <c r="H629" s="138"/>
      <c r="I629" s="138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</row>
    <row r="630" ht="15.75" customHeight="1">
      <c r="A630" s="136"/>
      <c r="B630" s="137"/>
      <c r="C630" s="137"/>
      <c r="D630" s="136"/>
      <c r="E630" s="136"/>
      <c r="F630" s="136"/>
      <c r="G630" s="136"/>
      <c r="H630" s="138"/>
      <c r="I630" s="138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</row>
    <row r="631" ht="15.75" customHeight="1">
      <c r="A631" s="136"/>
      <c r="B631" s="137"/>
      <c r="C631" s="137"/>
      <c r="D631" s="136"/>
      <c r="E631" s="136"/>
      <c r="F631" s="136"/>
      <c r="G631" s="136"/>
      <c r="H631" s="138"/>
      <c r="I631" s="138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</row>
    <row r="632" ht="15.75" customHeight="1">
      <c r="A632" s="136"/>
      <c r="B632" s="137"/>
      <c r="C632" s="137"/>
      <c r="D632" s="136"/>
      <c r="E632" s="136"/>
      <c r="F632" s="136"/>
      <c r="G632" s="136"/>
      <c r="H632" s="138"/>
      <c r="I632" s="138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</row>
    <row r="633" ht="15.75" customHeight="1">
      <c r="A633" s="136"/>
      <c r="B633" s="137"/>
      <c r="C633" s="137"/>
      <c r="D633" s="136"/>
      <c r="E633" s="136"/>
      <c r="F633" s="136"/>
      <c r="G633" s="136"/>
      <c r="H633" s="138"/>
      <c r="I633" s="138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</row>
    <row r="634" ht="15.75" customHeight="1">
      <c r="A634" s="136"/>
      <c r="B634" s="137"/>
      <c r="C634" s="137"/>
      <c r="D634" s="136"/>
      <c r="E634" s="136"/>
      <c r="F634" s="136"/>
      <c r="G634" s="136"/>
      <c r="H634" s="138"/>
      <c r="I634" s="138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</row>
    <row r="635" ht="15.75" customHeight="1">
      <c r="A635" s="136"/>
      <c r="B635" s="137"/>
      <c r="C635" s="137"/>
      <c r="D635" s="136"/>
      <c r="E635" s="136"/>
      <c r="F635" s="136"/>
      <c r="G635" s="136"/>
      <c r="H635" s="138"/>
      <c r="I635" s="138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</row>
    <row r="636" ht="15.75" customHeight="1">
      <c r="A636" s="136"/>
      <c r="B636" s="137"/>
      <c r="C636" s="137"/>
      <c r="D636" s="136"/>
      <c r="E636" s="136"/>
      <c r="F636" s="136"/>
      <c r="G636" s="136"/>
      <c r="H636" s="138"/>
      <c r="I636" s="138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</row>
    <row r="637" ht="15.75" customHeight="1">
      <c r="A637" s="136"/>
      <c r="B637" s="137"/>
      <c r="C637" s="137"/>
      <c r="D637" s="136"/>
      <c r="E637" s="136"/>
      <c r="F637" s="136"/>
      <c r="G637" s="136"/>
      <c r="H637" s="138"/>
      <c r="I637" s="138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</row>
    <row r="638" ht="15.75" customHeight="1">
      <c r="A638" s="136"/>
      <c r="B638" s="137"/>
      <c r="C638" s="137"/>
      <c r="D638" s="136"/>
      <c r="E638" s="136"/>
      <c r="F638" s="136"/>
      <c r="G638" s="136"/>
      <c r="H638" s="138"/>
      <c r="I638" s="138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</row>
    <row r="639" ht="15.75" customHeight="1">
      <c r="A639" s="136"/>
      <c r="B639" s="137"/>
      <c r="C639" s="137"/>
      <c r="D639" s="136"/>
      <c r="E639" s="136"/>
      <c r="F639" s="136"/>
      <c r="G639" s="136"/>
      <c r="H639" s="138"/>
      <c r="I639" s="138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</row>
    <row r="640" ht="15.75" customHeight="1">
      <c r="A640" s="136"/>
      <c r="B640" s="137"/>
      <c r="C640" s="137"/>
      <c r="D640" s="136"/>
      <c r="E640" s="136"/>
      <c r="F640" s="136"/>
      <c r="G640" s="136"/>
      <c r="H640" s="138"/>
      <c r="I640" s="138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</row>
    <row r="641" ht="15.75" customHeight="1">
      <c r="A641" s="136"/>
      <c r="B641" s="137"/>
      <c r="C641" s="137"/>
      <c r="D641" s="136"/>
      <c r="E641" s="136"/>
      <c r="F641" s="136"/>
      <c r="G641" s="136"/>
      <c r="H641" s="138"/>
      <c r="I641" s="138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</row>
    <row r="642" ht="15.75" customHeight="1">
      <c r="A642" s="136"/>
      <c r="B642" s="137"/>
      <c r="C642" s="137"/>
      <c r="D642" s="136"/>
      <c r="E642" s="136"/>
      <c r="F642" s="136"/>
      <c r="G642" s="136"/>
      <c r="H642" s="138"/>
      <c r="I642" s="138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</row>
    <row r="643" ht="15.75" customHeight="1">
      <c r="A643" s="136"/>
      <c r="B643" s="137"/>
      <c r="C643" s="137"/>
      <c r="D643" s="136"/>
      <c r="E643" s="136"/>
      <c r="F643" s="136"/>
      <c r="G643" s="136"/>
      <c r="H643" s="138"/>
      <c r="I643" s="138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</row>
    <row r="644" ht="15.75" customHeight="1">
      <c r="A644" s="136"/>
      <c r="B644" s="137"/>
      <c r="C644" s="137"/>
      <c r="D644" s="136"/>
      <c r="E644" s="136"/>
      <c r="F644" s="136"/>
      <c r="G644" s="136"/>
      <c r="H644" s="138"/>
      <c r="I644" s="138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</row>
    <row r="645" ht="15.75" customHeight="1">
      <c r="A645" s="136"/>
      <c r="B645" s="137"/>
      <c r="C645" s="137"/>
      <c r="D645" s="136"/>
      <c r="E645" s="136"/>
      <c r="F645" s="136"/>
      <c r="G645" s="136"/>
      <c r="H645" s="138"/>
      <c r="I645" s="138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</row>
    <row r="646" ht="15.75" customHeight="1">
      <c r="A646" s="136"/>
      <c r="B646" s="137"/>
      <c r="C646" s="137"/>
      <c r="D646" s="136"/>
      <c r="E646" s="136"/>
      <c r="F646" s="136"/>
      <c r="G646" s="136"/>
      <c r="H646" s="138"/>
      <c r="I646" s="138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</row>
    <row r="647" ht="15.75" customHeight="1">
      <c r="A647" s="136"/>
      <c r="B647" s="137"/>
      <c r="C647" s="137"/>
      <c r="D647" s="136"/>
      <c r="E647" s="136"/>
      <c r="F647" s="136"/>
      <c r="G647" s="136"/>
      <c r="H647" s="138"/>
      <c r="I647" s="138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</row>
    <row r="648" ht="15.75" customHeight="1">
      <c r="A648" s="136"/>
      <c r="B648" s="137"/>
      <c r="C648" s="137"/>
      <c r="D648" s="136"/>
      <c r="E648" s="136"/>
      <c r="F648" s="136"/>
      <c r="G648" s="136"/>
      <c r="H648" s="138"/>
      <c r="I648" s="138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</row>
    <row r="649" ht="15.75" customHeight="1">
      <c r="A649" s="136"/>
      <c r="B649" s="137"/>
      <c r="C649" s="137"/>
      <c r="D649" s="136"/>
      <c r="E649" s="136"/>
      <c r="F649" s="136"/>
      <c r="G649" s="136"/>
      <c r="H649" s="138"/>
      <c r="I649" s="138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</row>
    <row r="650" ht="15.75" customHeight="1">
      <c r="A650" s="136"/>
      <c r="B650" s="137"/>
      <c r="C650" s="137"/>
      <c r="D650" s="136"/>
      <c r="E650" s="136"/>
      <c r="F650" s="136"/>
      <c r="G650" s="136"/>
      <c r="H650" s="138"/>
      <c r="I650" s="138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</row>
    <row r="651" ht="15.75" customHeight="1">
      <c r="A651" s="136"/>
      <c r="B651" s="137"/>
      <c r="C651" s="137"/>
      <c r="D651" s="136"/>
      <c r="E651" s="136"/>
      <c r="F651" s="136"/>
      <c r="G651" s="136"/>
      <c r="H651" s="138"/>
      <c r="I651" s="138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</row>
    <row r="652" ht="15.75" customHeight="1">
      <c r="A652" s="136"/>
      <c r="B652" s="137"/>
      <c r="C652" s="137"/>
      <c r="D652" s="136"/>
      <c r="E652" s="136"/>
      <c r="F652" s="136"/>
      <c r="G652" s="136"/>
      <c r="H652" s="138"/>
      <c r="I652" s="138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</row>
    <row r="653" ht="15.75" customHeight="1">
      <c r="A653" s="136"/>
      <c r="B653" s="137"/>
      <c r="C653" s="137"/>
      <c r="D653" s="136"/>
      <c r="E653" s="136"/>
      <c r="F653" s="136"/>
      <c r="G653" s="136"/>
      <c r="H653" s="138"/>
      <c r="I653" s="138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</row>
    <row r="654" ht="15.75" customHeight="1">
      <c r="A654" s="136"/>
      <c r="B654" s="137"/>
      <c r="C654" s="137"/>
      <c r="D654" s="136"/>
      <c r="E654" s="136"/>
      <c r="F654" s="136"/>
      <c r="G654" s="136"/>
      <c r="H654" s="138"/>
      <c r="I654" s="138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</row>
    <row r="655" ht="15.75" customHeight="1">
      <c r="A655" s="136"/>
      <c r="B655" s="137"/>
      <c r="C655" s="137"/>
      <c r="D655" s="136"/>
      <c r="E655" s="136"/>
      <c r="F655" s="136"/>
      <c r="G655" s="136"/>
      <c r="H655" s="138"/>
      <c r="I655" s="138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</row>
    <row r="656" ht="15.75" customHeight="1">
      <c r="A656" s="136"/>
      <c r="B656" s="137"/>
      <c r="C656" s="137"/>
      <c r="D656" s="136"/>
      <c r="E656" s="136"/>
      <c r="F656" s="136"/>
      <c r="G656" s="136"/>
      <c r="H656" s="138"/>
      <c r="I656" s="138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</row>
    <row r="657" ht="15.75" customHeight="1">
      <c r="A657" s="136"/>
      <c r="B657" s="137"/>
      <c r="C657" s="137"/>
      <c r="D657" s="136"/>
      <c r="E657" s="136"/>
      <c r="F657" s="136"/>
      <c r="G657" s="136"/>
      <c r="H657" s="138"/>
      <c r="I657" s="138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</row>
    <row r="658" ht="15.75" customHeight="1">
      <c r="A658" s="136"/>
      <c r="B658" s="137"/>
      <c r="C658" s="137"/>
      <c r="D658" s="136"/>
      <c r="E658" s="136"/>
      <c r="F658" s="136"/>
      <c r="G658" s="136"/>
      <c r="H658" s="138"/>
      <c r="I658" s="138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</row>
    <row r="659" ht="15.75" customHeight="1">
      <c r="A659" s="136"/>
      <c r="B659" s="137"/>
      <c r="C659" s="137"/>
      <c r="D659" s="136"/>
      <c r="E659" s="136"/>
      <c r="F659" s="136"/>
      <c r="G659" s="136"/>
      <c r="H659" s="138"/>
      <c r="I659" s="138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</row>
    <row r="660" ht="15.75" customHeight="1">
      <c r="A660" s="136"/>
      <c r="B660" s="137"/>
      <c r="C660" s="137"/>
      <c r="D660" s="136"/>
      <c r="E660" s="136"/>
      <c r="F660" s="136"/>
      <c r="G660" s="136"/>
      <c r="H660" s="138"/>
      <c r="I660" s="138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</row>
    <row r="661" ht="15.75" customHeight="1">
      <c r="A661" s="136"/>
      <c r="B661" s="137"/>
      <c r="C661" s="137"/>
      <c r="D661" s="136"/>
      <c r="E661" s="136"/>
      <c r="F661" s="136"/>
      <c r="G661" s="136"/>
      <c r="H661" s="138"/>
      <c r="I661" s="138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</row>
    <row r="662" ht="15.75" customHeight="1">
      <c r="A662" s="136"/>
      <c r="B662" s="137"/>
      <c r="C662" s="137"/>
      <c r="D662" s="136"/>
      <c r="E662" s="136"/>
      <c r="F662" s="136"/>
      <c r="G662" s="136"/>
      <c r="H662" s="138"/>
      <c r="I662" s="138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</row>
    <row r="663" ht="15.75" customHeight="1">
      <c r="A663" s="136"/>
      <c r="B663" s="137"/>
      <c r="C663" s="137"/>
      <c r="D663" s="136"/>
      <c r="E663" s="136"/>
      <c r="F663" s="136"/>
      <c r="G663" s="136"/>
      <c r="H663" s="138"/>
      <c r="I663" s="138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</row>
    <row r="664" ht="15.75" customHeight="1">
      <c r="A664" s="136"/>
      <c r="B664" s="137"/>
      <c r="C664" s="137"/>
      <c r="D664" s="136"/>
      <c r="E664" s="136"/>
      <c r="F664" s="136"/>
      <c r="G664" s="136"/>
      <c r="H664" s="138"/>
      <c r="I664" s="138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</row>
    <row r="665" ht="15.75" customHeight="1">
      <c r="A665" s="136"/>
      <c r="B665" s="137"/>
      <c r="C665" s="137"/>
      <c r="D665" s="136"/>
      <c r="E665" s="136"/>
      <c r="F665" s="136"/>
      <c r="G665" s="136"/>
      <c r="H665" s="138"/>
      <c r="I665" s="138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</row>
    <row r="666" ht="15.75" customHeight="1">
      <c r="A666" s="136"/>
      <c r="B666" s="137"/>
      <c r="C666" s="137"/>
      <c r="D666" s="136"/>
      <c r="E666" s="136"/>
      <c r="F666" s="136"/>
      <c r="G666" s="136"/>
      <c r="H666" s="138"/>
      <c r="I666" s="138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</row>
    <row r="667" ht="15.75" customHeight="1">
      <c r="A667" s="136"/>
      <c r="B667" s="137"/>
      <c r="C667" s="137"/>
      <c r="D667" s="136"/>
      <c r="E667" s="136"/>
      <c r="F667" s="136"/>
      <c r="G667" s="136"/>
      <c r="H667" s="138"/>
      <c r="I667" s="138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</row>
    <row r="668" ht="15.75" customHeight="1">
      <c r="A668" s="136"/>
      <c r="B668" s="137"/>
      <c r="C668" s="137"/>
      <c r="D668" s="136"/>
      <c r="E668" s="136"/>
      <c r="F668" s="136"/>
      <c r="G668" s="136"/>
      <c r="H668" s="138"/>
      <c r="I668" s="138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</row>
    <row r="669" ht="15.75" customHeight="1">
      <c r="A669" s="136"/>
      <c r="B669" s="137"/>
      <c r="C669" s="137"/>
      <c r="D669" s="136"/>
      <c r="E669" s="136"/>
      <c r="F669" s="136"/>
      <c r="G669" s="136"/>
      <c r="H669" s="138"/>
      <c r="I669" s="138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</row>
    <row r="670" ht="15.75" customHeight="1">
      <c r="A670" s="136"/>
      <c r="B670" s="137"/>
      <c r="C670" s="137"/>
      <c r="D670" s="136"/>
      <c r="E670" s="136"/>
      <c r="F670" s="136"/>
      <c r="G670" s="136"/>
      <c r="H670" s="138"/>
      <c r="I670" s="138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</row>
    <row r="671" ht="15.75" customHeight="1">
      <c r="A671" s="136"/>
      <c r="B671" s="137"/>
      <c r="C671" s="137"/>
      <c r="D671" s="136"/>
      <c r="E671" s="136"/>
      <c r="F671" s="136"/>
      <c r="G671" s="136"/>
      <c r="H671" s="138"/>
      <c r="I671" s="138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</row>
    <row r="672" ht="15.75" customHeight="1">
      <c r="A672" s="136"/>
      <c r="B672" s="137"/>
      <c r="C672" s="137"/>
      <c r="D672" s="136"/>
      <c r="E672" s="136"/>
      <c r="F672" s="136"/>
      <c r="G672" s="136"/>
      <c r="H672" s="138"/>
      <c r="I672" s="138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</row>
    <row r="673" ht="15.75" customHeight="1">
      <c r="A673" s="136"/>
      <c r="B673" s="137"/>
      <c r="C673" s="137"/>
      <c r="D673" s="136"/>
      <c r="E673" s="136"/>
      <c r="F673" s="136"/>
      <c r="G673" s="136"/>
      <c r="H673" s="138"/>
      <c r="I673" s="138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</row>
    <row r="674" ht="15.75" customHeight="1">
      <c r="A674" s="136"/>
      <c r="B674" s="137"/>
      <c r="C674" s="137"/>
      <c r="D674" s="136"/>
      <c r="E674" s="136"/>
      <c r="F674" s="136"/>
      <c r="G674" s="136"/>
      <c r="H674" s="138"/>
      <c r="I674" s="138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</row>
    <row r="675" ht="15.75" customHeight="1">
      <c r="A675" s="136"/>
      <c r="B675" s="137"/>
      <c r="C675" s="137"/>
      <c r="D675" s="136"/>
      <c r="E675" s="136"/>
      <c r="F675" s="136"/>
      <c r="G675" s="136"/>
      <c r="H675" s="138"/>
      <c r="I675" s="138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</row>
    <row r="676" ht="15.75" customHeight="1">
      <c r="A676" s="136"/>
      <c r="B676" s="137"/>
      <c r="C676" s="137"/>
      <c r="D676" s="136"/>
      <c r="E676" s="136"/>
      <c r="F676" s="136"/>
      <c r="G676" s="136"/>
      <c r="H676" s="138"/>
      <c r="I676" s="138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</row>
    <row r="677" ht="15.75" customHeight="1">
      <c r="A677" s="136"/>
      <c r="B677" s="137"/>
      <c r="C677" s="137"/>
      <c r="D677" s="136"/>
      <c r="E677" s="136"/>
      <c r="F677" s="136"/>
      <c r="G677" s="136"/>
      <c r="H677" s="138"/>
      <c r="I677" s="138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</row>
    <row r="678" ht="15.75" customHeight="1">
      <c r="A678" s="136"/>
      <c r="B678" s="137"/>
      <c r="C678" s="137"/>
      <c r="D678" s="136"/>
      <c r="E678" s="136"/>
      <c r="F678" s="136"/>
      <c r="G678" s="136"/>
      <c r="H678" s="138"/>
      <c r="I678" s="138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</row>
    <row r="679" ht="15.75" customHeight="1">
      <c r="A679" s="136"/>
      <c r="B679" s="137"/>
      <c r="C679" s="137"/>
      <c r="D679" s="136"/>
      <c r="E679" s="136"/>
      <c r="F679" s="136"/>
      <c r="G679" s="136"/>
      <c r="H679" s="138"/>
      <c r="I679" s="138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</row>
    <row r="680" ht="15.75" customHeight="1">
      <c r="A680" s="136"/>
      <c r="B680" s="137"/>
      <c r="C680" s="137"/>
      <c r="D680" s="136"/>
      <c r="E680" s="136"/>
      <c r="F680" s="136"/>
      <c r="G680" s="136"/>
      <c r="H680" s="138"/>
      <c r="I680" s="138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</row>
    <row r="681" ht="15.75" customHeight="1">
      <c r="A681" s="136"/>
      <c r="B681" s="137"/>
      <c r="C681" s="137"/>
      <c r="D681" s="136"/>
      <c r="E681" s="136"/>
      <c r="F681" s="136"/>
      <c r="G681" s="136"/>
      <c r="H681" s="138"/>
      <c r="I681" s="138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</row>
    <row r="682" ht="15.75" customHeight="1">
      <c r="A682" s="136"/>
      <c r="B682" s="137"/>
      <c r="C682" s="137"/>
      <c r="D682" s="136"/>
      <c r="E682" s="136"/>
      <c r="F682" s="136"/>
      <c r="G682" s="136"/>
      <c r="H682" s="138"/>
      <c r="I682" s="138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</row>
    <row r="683" ht="15.75" customHeight="1">
      <c r="A683" s="136"/>
      <c r="B683" s="137"/>
      <c r="C683" s="137"/>
      <c r="D683" s="136"/>
      <c r="E683" s="136"/>
      <c r="F683" s="136"/>
      <c r="G683" s="136"/>
      <c r="H683" s="138"/>
      <c r="I683" s="138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</row>
    <row r="684" ht="15.75" customHeight="1">
      <c r="A684" s="136"/>
      <c r="B684" s="137"/>
      <c r="C684" s="137"/>
      <c r="D684" s="136"/>
      <c r="E684" s="136"/>
      <c r="F684" s="136"/>
      <c r="G684" s="136"/>
      <c r="H684" s="138"/>
      <c r="I684" s="138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</row>
    <row r="685" ht="15.75" customHeight="1">
      <c r="A685" s="136"/>
      <c r="B685" s="137"/>
      <c r="C685" s="137"/>
      <c r="D685" s="136"/>
      <c r="E685" s="136"/>
      <c r="F685" s="136"/>
      <c r="G685" s="136"/>
      <c r="H685" s="138"/>
      <c r="I685" s="138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</row>
    <row r="686" ht="15.75" customHeight="1">
      <c r="A686" s="136"/>
      <c r="B686" s="137"/>
      <c r="C686" s="137"/>
      <c r="D686" s="136"/>
      <c r="E686" s="136"/>
      <c r="F686" s="136"/>
      <c r="G686" s="136"/>
      <c r="H686" s="138"/>
      <c r="I686" s="138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</row>
    <row r="687" ht="15.75" customHeight="1">
      <c r="A687" s="136"/>
      <c r="B687" s="137"/>
      <c r="C687" s="137"/>
      <c r="D687" s="136"/>
      <c r="E687" s="136"/>
      <c r="F687" s="136"/>
      <c r="G687" s="136"/>
      <c r="H687" s="138"/>
      <c r="I687" s="138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</row>
    <row r="688" ht="15.75" customHeight="1">
      <c r="A688" s="136"/>
      <c r="B688" s="137"/>
      <c r="C688" s="137"/>
      <c r="D688" s="136"/>
      <c r="E688" s="136"/>
      <c r="F688" s="136"/>
      <c r="G688" s="136"/>
      <c r="H688" s="138"/>
      <c r="I688" s="138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</row>
    <row r="689" ht="15.75" customHeight="1">
      <c r="A689" s="136"/>
      <c r="B689" s="137"/>
      <c r="C689" s="137"/>
      <c r="D689" s="136"/>
      <c r="E689" s="136"/>
      <c r="F689" s="136"/>
      <c r="G689" s="136"/>
      <c r="H689" s="138"/>
      <c r="I689" s="138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</row>
    <row r="690" ht="15.75" customHeight="1">
      <c r="A690" s="136"/>
      <c r="B690" s="137"/>
      <c r="C690" s="137"/>
      <c r="D690" s="136"/>
      <c r="E690" s="136"/>
      <c r="F690" s="136"/>
      <c r="G690" s="136"/>
      <c r="H690" s="138"/>
      <c r="I690" s="138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</row>
    <row r="691" ht="15.75" customHeight="1">
      <c r="A691" s="136"/>
      <c r="B691" s="137"/>
      <c r="C691" s="137"/>
      <c r="D691" s="136"/>
      <c r="E691" s="136"/>
      <c r="F691" s="136"/>
      <c r="G691" s="136"/>
      <c r="H691" s="138"/>
      <c r="I691" s="138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</row>
    <row r="692" ht="15.75" customHeight="1">
      <c r="A692" s="136"/>
      <c r="B692" s="137"/>
      <c r="C692" s="137"/>
      <c r="D692" s="136"/>
      <c r="E692" s="136"/>
      <c r="F692" s="136"/>
      <c r="G692" s="136"/>
      <c r="H692" s="138"/>
      <c r="I692" s="138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</row>
    <row r="693" ht="15.75" customHeight="1">
      <c r="A693" s="136"/>
      <c r="B693" s="137"/>
      <c r="C693" s="137"/>
      <c r="D693" s="136"/>
      <c r="E693" s="136"/>
      <c r="F693" s="136"/>
      <c r="G693" s="136"/>
      <c r="H693" s="138"/>
      <c r="I693" s="138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</row>
    <row r="694" ht="15.75" customHeight="1">
      <c r="A694" s="136"/>
      <c r="B694" s="137"/>
      <c r="C694" s="137"/>
      <c r="D694" s="136"/>
      <c r="E694" s="136"/>
      <c r="F694" s="136"/>
      <c r="G694" s="136"/>
      <c r="H694" s="138"/>
      <c r="I694" s="138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</row>
    <row r="695" ht="15.75" customHeight="1">
      <c r="A695" s="136"/>
      <c r="B695" s="137"/>
      <c r="C695" s="137"/>
      <c r="D695" s="136"/>
      <c r="E695" s="136"/>
      <c r="F695" s="136"/>
      <c r="G695" s="136"/>
      <c r="H695" s="138"/>
      <c r="I695" s="138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</row>
    <row r="696" ht="15.75" customHeight="1">
      <c r="A696" s="136"/>
      <c r="B696" s="137"/>
      <c r="C696" s="137"/>
      <c r="D696" s="136"/>
      <c r="E696" s="136"/>
      <c r="F696" s="136"/>
      <c r="G696" s="136"/>
      <c r="H696" s="138"/>
      <c r="I696" s="138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</row>
    <row r="697" ht="15.75" customHeight="1">
      <c r="A697" s="136"/>
      <c r="B697" s="137"/>
      <c r="C697" s="137"/>
      <c r="D697" s="136"/>
      <c r="E697" s="136"/>
      <c r="F697" s="136"/>
      <c r="G697" s="136"/>
      <c r="H697" s="138"/>
      <c r="I697" s="138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</row>
    <row r="698" ht="15.75" customHeight="1">
      <c r="A698" s="136"/>
      <c r="B698" s="137"/>
      <c r="C698" s="137"/>
      <c r="D698" s="136"/>
      <c r="E698" s="136"/>
      <c r="F698" s="136"/>
      <c r="G698" s="136"/>
      <c r="H698" s="138"/>
      <c r="I698" s="138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</row>
    <row r="699" ht="15.75" customHeight="1">
      <c r="A699" s="136"/>
      <c r="B699" s="137"/>
      <c r="C699" s="137"/>
      <c r="D699" s="136"/>
      <c r="E699" s="136"/>
      <c r="F699" s="136"/>
      <c r="G699" s="136"/>
      <c r="H699" s="138"/>
      <c r="I699" s="138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</row>
    <row r="700" ht="15.75" customHeight="1">
      <c r="A700" s="136"/>
      <c r="B700" s="137"/>
      <c r="C700" s="137"/>
      <c r="D700" s="136"/>
      <c r="E700" s="136"/>
      <c r="F700" s="136"/>
      <c r="G700" s="136"/>
      <c r="H700" s="138"/>
      <c r="I700" s="138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</row>
    <row r="701" ht="15.75" customHeight="1">
      <c r="A701" s="136"/>
      <c r="B701" s="137"/>
      <c r="C701" s="137"/>
      <c r="D701" s="136"/>
      <c r="E701" s="136"/>
      <c r="F701" s="136"/>
      <c r="G701" s="136"/>
      <c r="H701" s="138"/>
      <c r="I701" s="138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</row>
    <row r="702" ht="15.75" customHeight="1">
      <c r="A702" s="136"/>
      <c r="B702" s="137"/>
      <c r="C702" s="137"/>
      <c r="D702" s="136"/>
      <c r="E702" s="136"/>
      <c r="F702" s="136"/>
      <c r="G702" s="136"/>
      <c r="H702" s="138"/>
      <c r="I702" s="138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</row>
    <row r="703" ht="15.75" customHeight="1">
      <c r="A703" s="136"/>
      <c r="B703" s="137"/>
      <c r="C703" s="137"/>
      <c r="D703" s="136"/>
      <c r="E703" s="136"/>
      <c r="F703" s="136"/>
      <c r="G703" s="136"/>
      <c r="H703" s="138"/>
      <c r="I703" s="138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</row>
    <row r="704" ht="15.75" customHeight="1">
      <c r="A704" s="136"/>
      <c r="B704" s="137"/>
      <c r="C704" s="137"/>
      <c r="D704" s="136"/>
      <c r="E704" s="136"/>
      <c r="F704" s="136"/>
      <c r="G704" s="136"/>
      <c r="H704" s="138"/>
      <c r="I704" s="138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</row>
    <row r="705" ht="15.75" customHeight="1">
      <c r="A705" s="136"/>
      <c r="B705" s="137"/>
      <c r="C705" s="137"/>
      <c r="D705" s="136"/>
      <c r="E705" s="136"/>
      <c r="F705" s="136"/>
      <c r="G705" s="136"/>
      <c r="H705" s="138"/>
      <c r="I705" s="138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</row>
    <row r="706" ht="15.75" customHeight="1">
      <c r="A706" s="136"/>
      <c r="B706" s="137"/>
      <c r="C706" s="137"/>
      <c r="D706" s="136"/>
      <c r="E706" s="136"/>
      <c r="F706" s="136"/>
      <c r="G706" s="136"/>
      <c r="H706" s="138"/>
      <c r="I706" s="138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</row>
    <row r="707" ht="15.75" customHeight="1">
      <c r="A707" s="136"/>
      <c r="B707" s="137"/>
      <c r="C707" s="137"/>
      <c r="D707" s="136"/>
      <c r="E707" s="136"/>
      <c r="F707" s="136"/>
      <c r="G707" s="136"/>
      <c r="H707" s="138"/>
      <c r="I707" s="138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</row>
    <row r="708" ht="15.75" customHeight="1">
      <c r="A708" s="136"/>
      <c r="B708" s="137"/>
      <c r="C708" s="137"/>
      <c r="D708" s="136"/>
      <c r="E708" s="136"/>
      <c r="F708" s="136"/>
      <c r="G708" s="136"/>
      <c r="H708" s="138"/>
      <c r="I708" s="138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</row>
    <row r="709" ht="15.75" customHeight="1">
      <c r="A709" s="136"/>
      <c r="B709" s="137"/>
      <c r="C709" s="137"/>
      <c r="D709" s="136"/>
      <c r="E709" s="136"/>
      <c r="F709" s="136"/>
      <c r="G709" s="136"/>
      <c r="H709" s="138"/>
      <c r="I709" s="138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</row>
    <row r="710" ht="15.75" customHeight="1">
      <c r="A710" s="136"/>
      <c r="B710" s="137"/>
      <c r="C710" s="137"/>
      <c r="D710" s="136"/>
      <c r="E710" s="136"/>
      <c r="F710" s="136"/>
      <c r="G710" s="136"/>
      <c r="H710" s="138"/>
      <c r="I710" s="138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</row>
    <row r="711" ht="15.75" customHeight="1">
      <c r="A711" s="136"/>
      <c r="B711" s="137"/>
      <c r="C711" s="137"/>
      <c r="D711" s="136"/>
      <c r="E711" s="136"/>
      <c r="F711" s="136"/>
      <c r="G711" s="136"/>
      <c r="H711" s="138"/>
      <c r="I711" s="138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</row>
    <row r="712" ht="15.75" customHeight="1">
      <c r="A712" s="136"/>
      <c r="B712" s="137"/>
      <c r="C712" s="137"/>
      <c r="D712" s="136"/>
      <c r="E712" s="136"/>
      <c r="F712" s="136"/>
      <c r="G712" s="136"/>
      <c r="H712" s="138"/>
      <c r="I712" s="138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</row>
    <row r="713" ht="15.75" customHeight="1">
      <c r="A713" s="136"/>
      <c r="B713" s="137"/>
      <c r="C713" s="137"/>
      <c r="D713" s="136"/>
      <c r="E713" s="136"/>
      <c r="F713" s="136"/>
      <c r="G713" s="136"/>
      <c r="H713" s="138"/>
      <c r="I713" s="138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</row>
    <row r="714" ht="15.75" customHeight="1">
      <c r="A714" s="136"/>
      <c r="B714" s="137"/>
      <c r="C714" s="137"/>
      <c r="D714" s="136"/>
      <c r="E714" s="136"/>
      <c r="F714" s="136"/>
      <c r="G714" s="136"/>
      <c r="H714" s="138"/>
      <c r="I714" s="138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</row>
    <row r="715" ht="15.75" customHeight="1">
      <c r="A715" s="136"/>
      <c r="B715" s="137"/>
      <c r="C715" s="137"/>
      <c r="D715" s="136"/>
      <c r="E715" s="136"/>
      <c r="F715" s="136"/>
      <c r="G715" s="136"/>
      <c r="H715" s="138"/>
      <c r="I715" s="138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</row>
    <row r="716" ht="15.75" customHeight="1">
      <c r="A716" s="136"/>
      <c r="B716" s="137"/>
      <c r="C716" s="137"/>
      <c r="D716" s="136"/>
      <c r="E716" s="136"/>
      <c r="F716" s="136"/>
      <c r="G716" s="136"/>
      <c r="H716" s="138"/>
      <c r="I716" s="138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</row>
    <row r="717" ht="15.75" customHeight="1">
      <c r="A717" s="136"/>
      <c r="B717" s="137"/>
      <c r="C717" s="137"/>
      <c r="D717" s="136"/>
      <c r="E717" s="136"/>
      <c r="F717" s="136"/>
      <c r="G717" s="136"/>
      <c r="H717" s="138"/>
      <c r="I717" s="138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</row>
    <row r="718" ht="15.75" customHeight="1">
      <c r="A718" s="136"/>
      <c r="B718" s="137"/>
      <c r="C718" s="137"/>
      <c r="D718" s="136"/>
      <c r="E718" s="136"/>
      <c r="F718" s="136"/>
      <c r="G718" s="136"/>
      <c r="H718" s="138"/>
      <c r="I718" s="138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</row>
    <row r="719" ht="15.75" customHeight="1">
      <c r="A719" s="136"/>
      <c r="B719" s="137"/>
      <c r="C719" s="137"/>
      <c r="D719" s="136"/>
      <c r="E719" s="136"/>
      <c r="F719" s="136"/>
      <c r="G719" s="136"/>
      <c r="H719" s="138"/>
      <c r="I719" s="138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</row>
    <row r="720" ht="15.75" customHeight="1">
      <c r="A720" s="136"/>
      <c r="B720" s="137"/>
      <c r="C720" s="137"/>
      <c r="D720" s="136"/>
      <c r="E720" s="136"/>
      <c r="F720" s="136"/>
      <c r="G720" s="136"/>
      <c r="H720" s="138"/>
      <c r="I720" s="138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</row>
    <row r="721" ht="15.75" customHeight="1">
      <c r="A721" s="136"/>
      <c r="B721" s="137"/>
      <c r="C721" s="137"/>
      <c r="D721" s="136"/>
      <c r="E721" s="136"/>
      <c r="F721" s="136"/>
      <c r="G721" s="136"/>
      <c r="H721" s="138"/>
      <c r="I721" s="138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</row>
    <row r="722" ht="15.75" customHeight="1">
      <c r="A722" s="136"/>
      <c r="B722" s="137"/>
      <c r="C722" s="137"/>
      <c r="D722" s="136"/>
      <c r="E722" s="136"/>
      <c r="F722" s="136"/>
      <c r="G722" s="136"/>
      <c r="H722" s="138"/>
      <c r="I722" s="138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</row>
    <row r="723" ht="15.75" customHeight="1">
      <c r="A723" s="136"/>
      <c r="B723" s="137"/>
      <c r="C723" s="137"/>
      <c r="D723" s="136"/>
      <c r="E723" s="136"/>
      <c r="F723" s="136"/>
      <c r="G723" s="136"/>
      <c r="H723" s="138"/>
      <c r="I723" s="138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</row>
    <row r="724" ht="15.75" customHeight="1">
      <c r="A724" s="136"/>
      <c r="B724" s="137"/>
      <c r="C724" s="137"/>
      <c r="D724" s="136"/>
      <c r="E724" s="136"/>
      <c r="F724" s="136"/>
      <c r="G724" s="136"/>
      <c r="H724" s="138"/>
      <c r="I724" s="138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</row>
    <row r="725" ht="15.75" customHeight="1">
      <c r="A725" s="136"/>
      <c r="B725" s="137"/>
      <c r="C725" s="137"/>
      <c r="D725" s="136"/>
      <c r="E725" s="136"/>
      <c r="F725" s="136"/>
      <c r="G725" s="136"/>
      <c r="H725" s="138"/>
      <c r="I725" s="138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</row>
    <row r="726" ht="15.75" customHeight="1">
      <c r="A726" s="136"/>
      <c r="B726" s="137"/>
      <c r="C726" s="137"/>
      <c r="D726" s="136"/>
      <c r="E726" s="136"/>
      <c r="F726" s="136"/>
      <c r="G726" s="136"/>
      <c r="H726" s="138"/>
      <c r="I726" s="138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</row>
    <row r="727" ht="15.75" customHeight="1">
      <c r="A727" s="136"/>
      <c r="B727" s="137"/>
      <c r="C727" s="137"/>
      <c r="D727" s="136"/>
      <c r="E727" s="136"/>
      <c r="F727" s="136"/>
      <c r="G727" s="136"/>
      <c r="H727" s="138"/>
      <c r="I727" s="138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</row>
    <row r="728" ht="15.75" customHeight="1">
      <c r="A728" s="136"/>
      <c r="B728" s="137"/>
      <c r="C728" s="137"/>
      <c r="D728" s="136"/>
      <c r="E728" s="136"/>
      <c r="F728" s="136"/>
      <c r="G728" s="136"/>
      <c r="H728" s="138"/>
      <c r="I728" s="138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</row>
    <row r="729" ht="15.75" customHeight="1">
      <c r="A729" s="136"/>
      <c r="B729" s="137"/>
      <c r="C729" s="137"/>
      <c r="D729" s="136"/>
      <c r="E729" s="136"/>
      <c r="F729" s="136"/>
      <c r="G729" s="136"/>
      <c r="H729" s="138"/>
      <c r="I729" s="138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</row>
    <row r="730" ht="15.75" customHeight="1">
      <c r="A730" s="136"/>
      <c r="B730" s="137"/>
      <c r="C730" s="137"/>
      <c r="D730" s="136"/>
      <c r="E730" s="136"/>
      <c r="F730" s="136"/>
      <c r="G730" s="136"/>
      <c r="H730" s="138"/>
      <c r="I730" s="138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</row>
    <row r="731" ht="15.75" customHeight="1">
      <c r="A731" s="136"/>
      <c r="B731" s="137"/>
      <c r="C731" s="137"/>
      <c r="D731" s="136"/>
      <c r="E731" s="136"/>
      <c r="F731" s="136"/>
      <c r="G731" s="136"/>
      <c r="H731" s="138"/>
      <c r="I731" s="138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</row>
    <row r="732" ht="15.75" customHeight="1">
      <c r="A732" s="136"/>
      <c r="B732" s="137"/>
      <c r="C732" s="137"/>
      <c r="D732" s="136"/>
      <c r="E732" s="136"/>
      <c r="F732" s="136"/>
      <c r="G732" s="136"/>
      <c r="H732" s="138"/>
      <c r="I732" s="138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</row>
    <row r="733" ht="15.75" customHeight="1">
      <c r="A733" s="136"/>
      <c r="B733" s="137"/>
      <c r="C733" s="137"/>
      <c r="D733" s="136"/>
      <c r="E733" s="136"/>
      <c r="F733" s="136"/>
      <c r="G733" s="136"/>
      <c r="H733" s="138"/>
      <c r="I733" s="138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</row>
    <row r="734" ht="15.75" customHeight="1">
      <c r="A734" s="136"/>
      <c r="B734" s="137"/>
      <c r="C734" s="137"/>
      <c r="D734" s="136"/>
      <c r="E734" s="136"/>
      <c r="F734" s="136"/>
      <c r="G734" s="136"/>
      <c r="H734" s="138"/>
      <c r="I734" s="138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</row>
    <row r="735" ht="15.75" customHeight="1">
      <c r="A735" s="136"/>
      <c r="B735" s="137"/>
      <c r="C735" s="137"/>
      <c r="D735" s="136"/>
      <c r="E735" s="136"/>
      <c r="F735" s="136"/>
      <c r="G735" s="136"/>
      <c r="H735" s="138"/>
      <c r="I735" s="138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</row>
    <row r="736" ht="15.75" customHeight="1">
      <c r="A736" s="136"/>
      <c r="B736" s="137"/>
      <c r="C736" s="137"/>
      <c r="D736" s="136"/>
      <c r="E736" s="136"/>
      <c r="F736" s="136"/>
      <c r="G736" s="136"/>
      <c r="H736" s="138"/>
      <c r="I736" s="138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</row>
    <row r="737" ht="15.75" customHeight="1">
      <c r="A737" s="136"/>
      <c r="B737" s="137"/>
      <c r="C737" s="137"/>
      <c r="D737" s="136"/>
      <c r="E737" s="136"/>
      <c r="F737" s="136"/>
      <c r="G737" s="136"/>
      <c r="H737" s="138"/>
      <c r="I737" s="138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</row>
    <row r="738" ht="15.75" customHeight="1">
      <c r="A738" s="136"/>
      <c r="B738" s="137"/>
      <c r="C738" s="137"/>
      <c r="D738" s="136"/>
      <c r="E738" s="136"/>
      <c r="F738" s="136"/>
      <c r="G738" s="136"/>
      <c r="H738" s="138"/>
      <c r="I738" s="138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</row>
    <row r="739" ht="15.75" customHeight="1">
      <c r="A739" s="136"/>
      <c r="B739" s="137"/>
      <c r="C739" s="137"/>
      <c r="D739" s="136"/>
      <c r="E739" s="136"/>
      <c r="F739" s="136"/>
      <c r="G739" s="136"/>
      <c r="H739" s="138"/>
      <c r="I739" s="138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</row>
    <row r="740" ht="15.75" customHeight="1">
      <c r="A740" s="136"/>
      <c r="B740" s="137"/>
      <c r="C740" s="137"/>
      <c r="D740" s="136"/>
      <c r="E740" s="136"/>
      <c r="F740" s="136"/>
      <c r="G740" s="136"/>
      <c r="H740" s="138"/>
      <c r="I740" s="138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</row>
    <row r="741" ht="15.75" customHeight="1">
      <c r="A741" s="136"/>
      <c r="B741" s="137"/>
      <c r="C741" s="137"/>
      <c r="D741" s="136"/>
      <c r="E741" s="136"/>
      <c r="F741" s="136"/>
      <c r="G741" s="136"/>
      <c r="H741" s="138"/>
      <c r="I741" s="138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</row>
    <row r="742" ht="15.75" customHeight="1">
      <c r="A742" s="136"/>
      <c r="B742" s="137"/>
      <c r="C742" s="137"/>
      <c r="D742" s="136"/>
      <c r="E742" s="136"/>
      <c r="F742" s="136"/>
      <c r="G742" s="136"/>
      <c r="H742" s="138"/>
      <c r="I742" s="138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</row>
    <row r="743" ht="15.75" customHeight="1">
      <c r="A743" s="136"/>
      <c r="B743" s="137"/>
      <c r="C743" s="137"/>
      <c r="D743" s="136"/>
      <c r="E743" s="136"/>
      <c r="F743" s="136"/>
      <c r="G743" s="136"/>
      <c r="H743" s="138"/>
      <c r="I743" s="138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</row>
    <row r="744" ht="15.75" customHeight="1">
      <c r="A744" s="136"/>
      <c r="B744" s="137"/>
      <c r="C744" s="137"/>
      <c r="D744" s="136"/>
      <c r="E744" s="136"/>
      <c r="F744" s="136"/>
      <c r="G744" s="136"/>
      <c r="H744" s="138"/>
      <c r="I744" s="138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</row>
    <row r="745" ht="15.75" customHeight="1">
      <c r="A745" s="136"/>
      <c r="B745" s="137"/>
      <c r="C745" s="137"/>
      <c r="D745" s="136"/>
      <c r="E745" s="136"/>
      <c r="F745" s="136"/>
      <c r="G745" s="136"/>
      <c r="H745" s="138"/>
      <c r="I745" s="138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</row>
    <row r="746" ht="15.75" customHeight="1">
      <c r="A746" s="136"/>
      <c r="B746" s="137"/>
      <c r="C746" s="137"/>
      <c r="D746" s="136"/>
      <c r="E746" s="136"/>
      <c r="F746" s="136"/>
      <c r="G746" s="136"/>
      <c r="H746" s="138"/>
      <c r="I746" s="138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</row>
    <row r="747" ht="15.75" customHeight="1">
      <c r="A747" s="136"/>
      <c r="B747" s="137"/>
      <c r="C747" s="137"/>
      <c r="D747" s="136"/>
      <c r="E747" s="136"/>
      <c r="F747" s="136"/>
      <c r="G747" s="136"/>
      <c r="H747" s="138"/>
      <c r="I747" s="138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</row>
    <row r="748" ht="15.75" customHeight="1">
      <c r="A748" s="136"/>
      <c r="B748" s="137"/>
      <c r="C748" s="137"/>
      <c r="D748" s="136"/>
      <c r="E748" s="136"/>
      <c r="F748" s="136"/>
      <c r="G748" s="136"/>
      <c r="H748" s="138"/>
      <c r="I748" s="138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</row>
    <row r="749" ht="15.75" customHeight="1">
      <c r="A749" s="136"/>
      <c r="B749" s="137"/>
      <c r="C749" s="137"/>
      <c r="D749" s="136"/>
      <c r="E749" s="136"/>
      <c r="F749" s="136"/>
      <c r="G749" s="136"/>
      <c r="H749" s="138"/>
      <c r="I749" s="138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</row>
    <row r="750" ht="15.75" customHeight="1">
      <c r="A750" s="136"/>
      <c r="B750" s="137"/>
      <c r="C750" s="137"/>
      <c r="D750" s="136"/>
      <c r="E750" s="136"/>
      <c r="F750" s="136"/>
      <c r="G750" s="136"/>
      <c r="H750" s="138"/>
      <c r="I750" s="138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</row>
    <row r="751" ht="15.75" customHeight="1">
      <c r="A751" s="136"/>
      <c r="B751" s="137"/>
      <c r="C751" s="137"/>
      <c r="D751" s="136"/>
      <c r="E751" s="136"/>
      <c r="F751" s="136"/>
      <c r="G751" s="136"/>
      <c r="H751" s="138"/>
      <c r="I751" s="138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</row>
    <row r="752" ht="15.75" customHeight="1">
      <c r="A752" s="136"/>
      <c r="B752" s="137"/>
      <c r="C752" s="137"/>
      <c r="D752" s="136"/>
      <c r="E752" s="136"/>
      <c r="F752" s="136"/>
      <c r="G752" s="136"/>
      <c r="H752" s="138"/>
      <c r="I752" s="138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</row>
    <row r="753" ht="15.75" customHeight="1">
      <c r="A753" s="136"/>
      <c r="B753" s="137"/>
      <c r="C753" s="137"/>
      <c r="D753" s="136"/>
      <c r="E753" s="136"/>
      <c r="F753" s="136"/>
      <c r="G753" s="136"/>
      <c r="H753" s="138"/>
      <c r="I753" s="138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</row>
    <row r="754" ht="15.75" customHeight="1">
      <c r="A754" s="136"/>
      <c r="B754" s="137"/>
      <c r="C754" s="137"/>
      <c r="D754" s="136"/>
      <c r="E754" s="136"/>
      <c r="F754" s="136"/>
      <c r="G754" s="136"/>
      <c r="H754" s="138"/>
      <c r="I754" s="138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</row>
    <row r="755" ht="15.75" customHeight="1">
      <c r="A755" s="136"/>
      <c r="B755" s="137"/>
      <c r="C755" s="137"/>
      <c r="D755" s="136"/>
      <c r="E755" s="136"/>
      <c r="F755" s="136"/>
      <c r="G755" s="136"/>
      <c r="H755" s="138"/>
      <c r="I755" s="138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</row>
    <row r="756" ht="15.75" customHeight="1">
      <c r="A756" s="136"/>
      <c r="B756" s="137"/>
      <c r="C756" s="137"/>
      <c r="D756" s="136"/>
      <c r="E756" s="136"/>
      <c r="F756" s="136"/>
      <c r="G756" s="136"/>
      <c r="H756" s="138"/>
      <c r="I756" s="138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</row>
    <row r="757" ht="15.75" customHeight="1">
      <c r="A757" s="136"/>
      <c r="B757" s="137"/>
      <c r="C757" s="137"/>
      <c r="D757" s="136"/>
      <c r="E757" s="136"/>
      <c r="F757" s="136"/>
      <c r="G757" s="136"/>
      <c r="H757" s="138"/>
      <c r="I757" s="138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</row>
    <row r="758" ht="15.75" customHeight="1">
      <c r="A758" s="136"/>
      <c r="B758" s="137"/>
      <c r="C758" s="137"/>
      <c r="D758" s="136"/>
      <c r="E758" s="136"/>
      <c r="F758" s="136"/>
      <c r="G758" s="136"/>
      <c r="H758" s="138"/>
      <c r="I758" s="138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</row>
    <row r="759" ht="15.75" customHeight="1">
      <c r="A759" s="136"/>
      <c r="B759" s="137"/>
      <c r="C759" s="137"/>
      <c r="D759" s="136"/>
      <c r="E759" s="136"/>
      <c r="F759" s="136"/>
      <c r="G759" s="136"/>
      <c r="H759" s="138"/>
      <c r="I759" s="138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</row>
    <row r="760" ht="15.75" customHeight="1">
      <c r="A760" s="136"/>
      <c r="B760" s="137"/>
      <c r="C760" s="137"/>
      <c r="D760" s="136"/>
      <c r="E760" s="136"/>
      <c r="F760" s="136"/>
      <c r="G760" s="136"/>
      <c r="H760" s="138"/>
      <c r="I760" s="138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</row>
    <row r="761" ht="15.75" customHeight="1">
      <c r="A761" s="136"/>
      <c r="B761" s="137"/>
      <c r="C761" s="137"/>
      <c r="D761" s="136"/>
      <c r="E761" s="136"/>
      <c r="F761" s="136"/>
      <c r="G761" s="136"/>
      <c r="H761" s="138"/>
      <c r="I761" s="138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</row>
    <row r="762" ht="15.75" customHeight="1">
      <c r="A762" s="136"/>
      <c r="B762" s="137"/>
      <c r="C762" s="137"/>
      <c r="D762" s="136"/>
      <c r="E762" s="136"/>
      <c r="F762" s="136"/>
      <c r="G762" s="136"/>
      <c r="H762" s="138"/>
      <c r="I762" s="138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</row>
    <row r="763" ht="15.75" customHeight="1">
      <c r="A763" s="136"/>
      <c r="B763" s="137"/>
      <c r="C763" s="137"/>
      <c r="D763" s="136"/>
      <c r="E763" s="136"/>
      <c r="F763" s="136"/>
      <c r="G763" s="136"/>
      <c r="H763" s="138"/>
      <c r="I763" s="138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</row>
    <row r="764" ht="15.75" customHeight="1">
      <c r="A764" s="136"/>
      <c r="B764" s="137"/>
      <c r="C764" s="137"/>
      <c r="D764" s="136"/>
      <c r="E764" s="136"/>
      <c r="F764" s="136"/>
      <c r="G764" s="136"/>
      <c r="H764" s="138"/>
      <c r="I764" s="138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</row>
    <row r="765" ht="15.75" customHeight="1">
      <c r="A765" s="136"/>
      <c r="B765" s="137"/>
      <c r="C765" s="137"/>
      <c r="D765" s="136"/>
      <c r="E765" s="136"/>
      <c r="F765" s="136"/>
      <c r="G765" s="136"/>
      <c r="H765" s="138"/>
      <c r="I765" s="138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</row>
    <row r="766" ht="15.75" customHeight="1">
      <c r="A766" s="136"/>
      <c r="B766" s="137"/>
      <c r="C766" s="137"/>
      <c r="D766" s="136"/>
      <c r="E766" s="136"/>
      <c r="F766" s="136"/>
      <c r="G766" s="136"/>
      <c r="H766" s="138"/>
      <c r="I766" s="138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</row>
    <row r="767" ht="15.75" customHeight="1">
      <c r="A767" s="136"/>
      <c r="B767" s="137"/>
      <c r="C767" s="137"/>
      <c r="D767" s="136"/>
      <c r="E767" s="136"/>
      <c r="F767" s="136"/>
      <c r="G767" s="136"/>
      <c r="H767" s="138"/>
      <c r="I767" s="138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</row>
    <row r="768" ht="15.75" customHeight="1">
      <c r="A768" s="136"/>
      <c r="B768" s="137"/>
      <c r="C768" s="137"/>
      <c r="D768" s="136"/>
      <c r="E768" s="136"/>
      <c r="F768" s="136"/>
      <c r="G768" s="136"/>
      <c r="H768" s="138"/>
      <c r="I768" s="138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</row>
    <row r="769" ht="15.75" customHeight="1">
      <c r="A769" s="136"/>
      <c r="B769" s="137"/>
      <c r="C769" s="137"/>
      <c r="D769" s="136"/>
      <c r="E769" s="136"/>
      <c r="F769" s="136"/>
      <c r="G769" s="136"/>
      <c r="H769" s="138"/>
      <c r="I769" s="138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</row>
    <row r="770" ht="15.75" customHeight="1">
      <c r="A770" s="136"/>
      <c r="B770" s="137"/>
      <c r="C770" s="137"/>
      <c r="D770" s="136"/>
      <c r="E770" s="136"/>
      <c r="F770" s="136"/>
      <c r="G770" s="136"/>
      <c r="H770" s="138"/>
      <c r="I770" s="138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</row>
    <row r="771" ht="15.75" customHeight="1">
      <c r="A771" s="136"/>
      <c r="B771" s="137"/>
      <c r="C771" s="137"/>
      <c r="D771" s="136"/>
      <c r="E771" s="136"/>
      <c r="F771" s="136"/>
      <c r="G771" s="136"/>
      <c r="H771" s="138"/>
      <c r="I771" s="138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</row>
    <row r="772" ht="15.75" customHeight="1">
      <c r="A772" s="136"/>
      <c r="B772" s="137"/>
      <c r="C772" s="137"/>
      <c r="D772" s="136"/>
      <c r="E772" s="136"/>
      <c r="F772" s="136"/>
      <c r="G772" s="136"/>
      <c r="H772" s="138"/>
      <c r="I772" s="138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</row>
    <row r="773" ht="15.75" customHeight="1">
      <c r="A773" s="136"/>
      <c r="B773" s="137"/>
      <c r="C773" s="137"/>
      <c r="D773" s="136"/>
      <c r="E773" s="136"/>
      <c r="F773" s="136"/>
      <c r="G773" s="136"/>
      <c r="H773" s="138"/>
      <c r="I773" s="138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</row>
    <row r="774" ht="15.75" customHeight="1">
      <c r="A774" s="136"/>
      <c r="B774" s="137"/>
      <c r="C774" s="137"/>
      <c r="D774" s="136"/>
      <c r="E774" s="136"/>
      <c r="F774" s="136"/>
      <c r="G774" s="136"/>
      <c r="H774" s="138"/>
      <c r="I774" s="138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</row>
    <row r="775" ht="15.75" customHeight="1">
      <c r="A775" s="136"/>
      <c r="B775" s="137"/>
      <c r="C775" s="137"/>
      <c r="D775" s="136"/>
      <c r="E775" s="136"/>
      <c r="F775" s="136"/>
      <c r="G775" s="136"/>
      <c r="H775" s="138"/>
      <c r="I775" s="138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</row>
    <row r="776" ht="15.75" customHeight="1">
      <c r="A776" s="136"/>
      <c r="B776" s="137"/>
      <c r="C776" s="137"/>
      <c r="D776" s="136"/>
      <c r="E776" s="136"/>
      <c r="F776" s="136"/>
      <c r="G776" s="136"/>
      <c r="H776" s="138"/>
      <c r="I776" s="138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</row>
    <row r="777" ht="15.75" customHeight="1">
      <c r="A777" s="136"/>
      <c r="B777" s="137"/>
      <c r="C777" s="137"/>
      <c r="D777" s="136"/>
      <c r="E777" s="136"/>
      <c r="F777" s="136"/>
      <c r="G777" s="136"/>
      <c r="H777" s="138"/>
      <c r="I777" s="138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</row>
    <row r="778" ht="15.75" customHeight="1">
      <c r="A778" s="136"/>
      <c r="B778" s="137"/>
      <c r="C778" s="137"/>
      <c r="D778" s="136"/>
      <c r="E778" s="136"/>
      <c r="F778" s="136"/>
      <c r="G778" s="136"/>
      <c r="H778" s="138"/>
      <c r="I778" s="138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</row>
    <row r="779" ht="15.75" customHeight="1">
      <c r="A779" s="136"/>
      <c r="B779" s="137"/>
      <c r="C779" s="137"/>
      <c r="D779" s="136"/>
      <c r="E779" s="136"/>
      <c r="F779" s="136"/>
      <c r="G779" s="136"/>
      <c r="H779" s="138"/>
      <c r="I779" s="138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</row>
    <row r="780" ht="15.75" customHeight="1">
      <c r="A780" s="136"/>
      <c r="B780" s="137"/>
      <c r="C780" s="137"/>
      <c r="D780" s="136"/>
      <c r="E780" s="136"/>
      <c r="F780" s="136"/>
      <c r="G780" s="136"/>
      <c r="H780" s="138"/>
      <c r="I780" s="138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</row>
    <row r="781" ht="15.75" customHeight="1">
      <c r="A781" s="136"/>
      <c r="B781" s="137"/>
      <c r="C781" s="137"/>
      <c r="D781" s="136"/>
      <c r="E781" s="136"/>
      <c r="F781" s="136"/>
      <c r="G781" s="136"/>
      <c r="H781" s="138"/>
      <c r="I781" s="138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</row>
    <row r="782" ht="15.75" customHeight="1">
      <c r="A782" s="136"/>
      <c r="B782" s="137"/>
      <c r="C782" s="137"/>
      <c r="D782" s="136"/>
      <c r="E782" s="136"/>
      <c r="F782" s="136"/>
      <c r="G782" s="136"/>
      <c r="H782" s="138"/>
      <c r="I782" s="138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</row>
    <row r="783" ht="15.75" customHeight="1">
      <c r="A783" s="136"/>
      <c r="B783" s="137"/>
      <c r="C783" s="137"/>
      <c r="D783" s="136"/>
      <c r="E783" s="136"/>
      <c r="F783" s="136"/>
      <c r="G783" s="136"/>
      <c r="H783" s="138"/>
      <c r="I783" s="138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</row>
    <row r="784" ht="15.75" customHeight="1">
      <c r="A784" s="136"/>
      <c r="B784" s="137"/>
      <c r="C784" s="137"/>
      <c r="D784" s="136"/>
      <c r="E784" s="136"/>
      <c r="F784" s="136"/>
      <c r="G784" s="136"/>
      <c r="H784" s="138"/>
      <c r="I784" s="138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</row>
    <row r="785" ht="15.75" customHeight="1">
      <c r="A785" s="136"/>
      <c r="B785" s="137"/>
      <c r="C785" s="137"/>
      <c r="D785" s="136"/>
      <c r="E785" s="136"/>
      <c r="F785" s="136"/>
      <c r="G785" s="136"/>
      <c r="H785" s="138"/>
      <c r="I785" s="138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</row>
    <row r="786" ht="15.75" customHeight="1">
      <c r="A786" s="136"/>
      <c r="B786" s="137"/>
      <c r="C786" s="137"/>
      <c r="D786" s="136"/>
      <c r="E786" s="136"/>
      <c r="F786" s="136"/>
      <c r="G786" s="136"/>
      <c r="H786" s="138"/>
      <c r="I786" s="138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</row>
    <row r="787" ht="15.75" customHeight="1">
      <c r="A787" s="136"/>
      <c r="B787" s="137"/>
      <c r="C787" s="137"/>
      <c r="D787" s="136"/>
      <c r="E787" s="136"/>
      <c r="F787" s="136"/>
      <c r="G787" s="136"/>
      <c r="H787" s="138"/>
      <c r="I787" s="138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</row>
    <row r="788" ht="15.75" customHeight="1">
      <c r="A788" s="136"/>
      <c r="B788" s="137"/>
      <c r="C788" s="137"/>
      <c r="D788" s="136"/>
      <c r="E788" s="136"/>
      <c r="F788" s="136"/>
      <c r="G788" s="136"/>
      <c r="H788" s="138"/>
      <c r="I788" s="138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</row>
    <row r="789" ht="15.75" customHeight="1">
      <c r="A789" s="136"/>
      <c r="B789" s="137"/>
      <c r="C789" s="137"/>
      <c r="D789" s="136"/>
      <c r="E789" s="136"/>
      <c r="F789" s="136"/>
      <c r="G789" s="136"/>
      <c r="H789" s="138"/>
      <c r="I789" s="138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</row>
    <row r="790" ht="15.75" customHeight="1">
      <c r="A790" s="136"/>
      <c r="B790" s="137"/>
      <c r="C790" s="137"/>
      <c r="D790" s="136"/>
      <c r="E790" s="136"/>
      <c r="F790" s="136"/>
      <c r="G790" s="136"/>
      <c r="H790" s="138"/>
      <c r="I790" s="138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</row>
    <row r="791" ht="15.75" customHeight="1">
      <c r="A791" s="136"/>
      <c r="B791" s="137"/>
      <c r="C791" s="137"/>
      <c r="D791" s="136"/>
      <c r="E791" s="136"/>
      <c r="F791" s="136"/>
      <c r="G791" s="136"/>
      <c r="H791" s="138"/>
      <c r="I791" s="138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</row>
    <row r="792" ht="15.75" customHeight="1">
      <c r="A792" s="136"/>
      <c r="B792" s="137"/>
      <c r="C792" s="137"/>
      <c r="D792" s="136"/>
      <c r="E792" s="136"/>
      <c r="F792" s="136"/>
      <c r="G792" s="136"/>
      <c r="H792" s="138"/>
      <c r="I792" s="138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</row>
    <row r="793" ht="15.75" customHeight="1">
      <c r="A793" s="136"/>
      <c r="B793" s="137"/>
      <c r="C793" s="137"/>
      <c r="D793" s="136"/>
      <c r="E793" s="136"/>
      <c r="F793" s="136"/>
      <c r="G793" s="136"/>
      <c r="H793" s="138"/>
      <c r="I793" s="138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</row>
    <row r="794" ht="15.75" customHeight="1">
      <c r="A794" s="136"/>
      <c r="B794" s="137"/>
      <c r="C794" s="137"/>
      <c r="D794" s="136"/>
      <c r="E794" s="136"/>
      <c r="F794" s="136"/>
      <c r="G794" s="136"/>
      <c r="H794" s="138"/>
      <c r="I794" s="138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</row>
    <row r="795" ht="15.75" customHeight="1">
      <c r="A795" s="136"/>
      <c r="B795" s="137"/>
      <c r="C795" s="137"/>
      <c r="D795" s="136"/>
      <c r="E795" s="136"/>
      <c r="F795" s="136"/>
      <c r="G795" s="136"/>
      <c r="H795" s="138"/>
      <c r="I795" s="138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</row>
    <row r="796" ht="15.75" customHeight="1">
      <c r="A796" s="136"/>
      <c r="B796" s="137"/>
      <c r="C796" s="137"/>
      <c r="D796" s="136"/>
      <c r="E796" s="136"/>
      <c r="F796" s="136"/>
      <c r="G796" s="136"/>
      <c r="H796" s="138"/>
      <c r="I796" s="138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</row>
    <row r="797" ht="15.75" customHeight="1">
      <c r="A797" s="136"/>
      <c r="B797" s="137"/>
      <c r="C797" s="137"/>
      <c r="D797" s="136"/>
      <c r="E797" s="136"/>
      <c r="F797" s="136"/>
      <c r="G797" s="136"/>
      <c r="H797" s="138"/>
      <c r="I797" s="138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</row>
    <row r="798" ht="15.75" customHeight="1">
      <c r="A798" s="136"/>
      <c r="B798" s="137"/>
      <c r="C798" s="137"/>
      <c r="D798" s="136"/>
      <c r="E798" s="136"/>
      <c r="F798" s="136"/>
      <c r="G798" s="136"/>
      <c r="H798" s="138"/>
      <c r="I798" s="138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</row>
    <row r="799" ht="15.75" customHeight="1">
      <c r="A799" s="136"/>
      <c r="B799" s="137"/>
      <c r="C799" s="137"/>
      <c r="D799" s="136"/>
      <c r="E799" s="136"/>
      <c r="F799" s="136"/>
      <c r="G799" s="136"/>
      <c r="H799" s="138"/>
      <c r="I799" s="138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</row>
    <row r="800" ht="15.75" customHeight="1">
      <c r="A800" s="136"/>
      <c r="B800" s="137"/>
      <c r="C800" s="137"/>
      <c r="D800" s="136"/>
      <c r="E800" s="136"/>
      <c r="F800" s="136"/>
      <c r="G800" s="136"/>
      <c r="H800" s="138"/>
      <c r="I800" s="138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</row>
    <row r="801" ht="15.75" customHeight="1">
      <c r="A801" s="136"/>
      <c r="B801" s="137"/>
      <c r="C801" s="137"/>
      <c r="D801" s="136"/>
      <c r="E801" s="136"/>
      <c r="F801" s="136"/>
      <c r="G801" s="136"/>
      <c r="H801" s="138"/>
      <c r="I801" s="138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</row>
    <row r="802" ht="15.75" customHeight="1">
      <c r="A802" s="136"/>
      <c r="B802" s="137"/>
      <c r="C802" s="137"/>
      <c r="D802" s="136"/>
      <c r="E802" s="136"/>
      <c r="F802" s="136"/>
      <c r="G802" s="136"/>
      <c r="H802" s="138"/>
      <c r="I802" s="138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</row>
    <row r="803" ht="15.75" customHeight="1">
      <c r="A803" s="136"/>
      <c r="B803" s="137"/>
      <c r="C803" s="137"/>
      <c r="D803" s="136"/>
      <c r="E803" s="136"/>
      <c r="F803" s="136"/>
      <c r="G803" s="136"/>
      <c r="H803" s="138"/>
      <c r="I803" s="138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</row>
    <row r="804" ht="15.75" customHeight="1">
      <c r="A804" s="136"/>
      <c r="B804" s="137"/>
      <c r="C804" s="137"/>
      <c r="D804" s="136"/>
      <c r="E804" s="136"/>
      <c r="F804" s="136"/>
      <c r="G804" s="136"/>
      <c r="H804" s="138"/>
      <c r="I804" s="138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</row>
    <row r="805" ht="15.75" customHeight="1">
      <c r="A805" s="136"/>
      <c r="B805" s="137"/>
      <c r="C805" s="137"/>
      <c r="D805" s="136"/>
      <c r="E805" s="136"/>
      <c r="F805" s="136"/>
      <c r="G805" s="136"/>
      <c r="H805" s="138"/>
      <c r="I805" s="138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</row>
    <row r="806" ht="15.75" customHeight="1">
      <c r="A806" s="136"/>
      <c r="B806" s="137"/>
      <c r="C806" s="137"/>
      <c r="D806" s="136"/>
      <c r="E806" s="136"/>
      <c r="F806" s="136"/>
      <c r="G806" s="136"/>
      <c r="H806" s="138"/>
      <c r="I806" s="138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</row>
    <row r="807" ht="15.75" customHeight="1">
      <c r="A807" s="136"/>
      <c r="B807" s="137"/>
      <c r="C807" s="137"/>
      <c r="D807" s="136"/>
      <c r="E807" s="136"/>
      <c r="F807" s="136"/>
      <c r="G807" s="136"/>
      <c r="H807" s="138"/>
      <c r="I807" s="138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</row>
    <row r="808" ht="15.75" customHeight="1">
      <c r="A808" s="136"/>
      <c r="B808" s="137"/>
      <c r="C808" s="137"/>
      <c r="D808" s="136"/>
      <c r="E808" s="136"/>
      <c r="F808" s="136"/>
      <c r="G808" s="136"/>
      <c r="H808" s="138"/>
      <c r="I808" s="138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</row>
    <row r="809" ht="15.75" customHeight="1">
      <c r="A809" s="136"/>
      <c r="B809" s="137"/>
      <c r="C809" s="137"/>
      <c r="D809" s="136"/>
      <c r="E809" s="136"/>
      <c r="F809" s="136"/>
      <c r="G809" s="136"/>
      <c r="H809" s="138"/>
      <c r="I809" s="138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</row>
    <row r="810" ht="15.75" customHeight="1">
      <c r="A810" s="136"/>
      <c r="B810" s="137"/>
      <c r="C810" s="137"/>
      <c r="D810" s="136"/>
      <c r="E810" s="136"/>
      <c r="F810" s="136"/>
      <c r="G810" s="136"/>
      <c r="H810" s="138"/>
      <c r="I810" s="138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</row>
    <row r="811" ht="15.75" customHeight="1">
      <c r="A811" s="136"/>
      <c r="B811" s="137"/>
      <c r="C811" s="137"/>
      <c r="D811" s="136"/>
      <c r="E811" s="136"/>
      <c r="F811" s="136"/>
      <c r="G811" s="136"/>
      <c r="H811" s="138"/>
      <c r="I811" s="138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</row>
    <row r="812" ht="15.75" customHeight="1">
      <c r="A812" s="136"/>
      <c r="B812" s="137"/>
      <c r="C812" s="137"/>
      <c r="D812" s="136"/>
      <c r="E812" s="136"/>
      <c r="F812" s="136"/>
      <c r="G812" s="136"/>
      <c r="H812" s="138"/>
      <c r="I812" s="138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</row>
    <row r="813" ht="15.75" customHeight="1">
      <c r="A813" s="136"/>
      <c r="B813" s="137"/>
      <c r="C813" s="137"/>
      <c r="D813" s="136"/>
      <c r="E813" s="136"/>
      <c r="F813" s="136"/>
      <c r="G813" s="136"/>
      <c r="H813" s="138"/>
      <c r="I813" s="138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</row>
    <row r="814" ht="15.75" customHeight="1">
      <c r="A814" s="136"/>
      <c r="B814" s="137"/>
      <c r="C814" s="137"/>
      <c r="D814" s="136"/>
      <c r="E814" s="136"/>
      <c r="F814" s="136"/>
      <c r="G814" s="136"/>
      <c r="H814" s="138"/>
      <c r="I814" s="138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</row>
    <row r="815" ht="15.75" customHeight="1">
      <c r="A815" s="136"/>
      <c r="B815" s="137"/>
      <c r="C815" s="137"/>
      <c r="D815" s="136"/>
      <c r="E815" s="136"/>
      <c r="F815" s="136"/>
      <c r="G815" s="136"/>
      <c r="H815" s="138"/>
      <c r="I815" s="138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</row>
    <row r="816" ht="15.75" customHeight="1">
      <c r="A816" s="136"/>
      <c r="B816" s="137"/>
      <c r="C816" s="137"/>
      <c r="D816" s="136"/>
      <c r="E816" s="136"/>
      <c r="F816" s="136"/>
      <c r="G816" s="136"/>
      <c r="H816" s="138"/>
      <c r="I816" s="138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</row>
    <row r="817" ht="15.75" customHeight="1">
      <c r="A817" s="136"/>
      <c r="B817" s="137"/>
      <c r="C817" s="137"/>
      <c r="D817" s="136"/>
      <c r="E817" s="136"/>
      <c r="F817" s="136"/>
      <c r="G817" s="136"/>
      <c r="H817" s="138"/>
      <c r="I817" s="138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</row>
    <row r="818" ht="15.75" customHeight="1">
      <c r="A818" s="136"/>
      <c r="B818" s="137"/>
      <c r="C818" s="137"/>
      <c r="D818" s="136"/>
      <c r="E818" s="136"/>
      <c r="F818" s="136"/>
      <c r="G818" s="136"/>
      <c r="H818" s="138"/>
      <c r="I818" s="138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</row>
    <row r="819" ht="15.75" customHeight="1">
      <c r="A819" s="136"/>
      <c r="B819" s="137"/>
      <c r="C819" s="137"/>
      <c r="D819" s="136"/>
      <c r="E819" s="136"/>
      <c r="F819" s="136"/>
      <c r="G819" s="136"/>
      <c r="H819" s="138"/>
      <c r="I819" s="138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</row>
    <row r="820" ht="15.75" customHeight="1">
      <c r="A820" s="136"/>
      <c r="B820" s="137"/>
      <c r="C820" s="137"/>
      <c r="D820" s="136"/>
      <c r="E820" s="136"/>
      <c r="F820" s="136"/>
      <c r="G820" s="136"/>
      <c r="H820" s="138"/>
      <c r="I820" s="138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</row>
    <row r="821" ht="15.75" customHeight="1">
      <c r="A821" s="136"/>
      <c r="B821" s="137"/>
      <c r="C821" s="137"/>
      <c r="D821" s="136"/>
      <c r="E821" s="136"/>
      <c r="F821" s="136"/>
      <c r="G821" s="136"/>
      <c r="H821" s="138"/>
      <c r="I821" s="138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</row>
    <row r="822" ht="15.75" customHeight="1">
      <c r="A822" s="136"/>
      <c r="B822" s="137"/>
      <c r="C822" s="137"/>
      <c r="D822" s="136"/>
      <c r="E822" s="136"/>
      <c r="F822" s="136"/>
      <c r="G822" s="136"/>
      <c r="H822" s="138"/>
      <c r="I822" s="138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</row>
    <row r="823" ht="15.75" customHeight="1">
      <c r="A823" s="136"/>
      <c r="B823" s="137"/>
      <c r="C823" s="137"/>
      <c r="D823" s="136"/>
      <c r="E823" s="136"/>
      <c r="F823" s="136"/>
      <c r="G823" s="136"/>
      <c r="H823" s="138"/>
      <c r="I823" s="138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</row>
    <row r="824" ht="15.75" customHeight="1">
      <c r="A824" s="136"/>
      <c r="B824" s="137"/>
      <c r="C824" s="137"/>
      <c r="D824" s="136"/>
      <c r="E824" s="136"/>
      <c r="F824" s="136"/>
      <c r="G824" s="136"/>
      <c r="H824" s="138"/>
      <c r="I824" s="138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</row>
    <row r="825" ht="15.75" customHeight="1">
      <c r="A825" s="136"/>
      <c r="B825" s="137"/>
      <c r="C825" s="137"/>
      <c r="D825" s="136"/>
      <c r="E825" s="136"/>
      <c r="F825" s="136"/>
      <c r="G825" s="136"/>
      <c r="H825" s="138"/>
      <c r="I825" s="138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</row>
    <row r="826" ht="15.75" customHeight="1">
      <c r="A826" s="136"/>
      <c r="B826" s="137"/>
      <c r="C826" s="137"/>
      <c r="D826" s="136"/>
      <c r="E826" s="136"/>
      <c r="F826" s="136"/>
      <c r="G826" s="136"/>
      <c r="H826" s="138"/>
      <c r="I826" s="138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</row>
    <row r="827" ht="15.75" customHeight="1">
      <c r="A827" s="136"/>
      <c r="B827" s="137"/>
      <c r="C827" s="137"/>
      <c r="D827" s="136"/>
      <c r="E827" s="136"/>
      <c r="F827" s="136"/>
      <c r="G827" s="136"/>
      <c r="H827" s="138"/>
      <c r="I827" s="138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</row>
    <row r="828" ht="15.75" customHeight="1">
      <c r="A828" s="136"/>
      <c r="B828" s="137"/>
      <c r="C828" s="137"/>
      <c r="D828" s="136"/>
      <c r="E828" s="136"/>
      <c r="F828" s="136"/>
      <c r="G828" s="136"/>
      <c r="H828" s="138"/>
      <c r="I828" s="138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</row>
    <row r="829" ht="15.75" customHeight="1">
      <c r="A829" s="136"/>
      <c r="B829" s="137"/>
      <c r="C829" s="137"/>
      <c r="D829" s="136"/>
      <c r="E829" s="136"/>
      <c r="F829" s="136"/>
      <c r="G829" s="136"/>
      <c r="H829" s="138"/>
      <c r="I829" s="138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</row>
    <row r="830" ht="15.75" customHeight="1">
      <c r="A830" s="136"/>
      <c r="B830" s="137"/>
      <c r="C830" s="137"/>
      <c r="D830" s="136"/>
      <c r="E830" s="136"/>
      <c r="F830" s="136"/>
      <c r="G830" s="136"/>
      <c r="H830" s="138"/>
      <c r="I830" s="138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</row>
    <row r="831" ht="15.75" customHeight="1">
      <c r="A831" s="136"/>
      <c r="B831" s="137"/>
      <c r="C831" s="137"/>
      <c r="D831" s="136"/>
      <c r="E831" s="136"/>
      <c r="F831" s="136"/>
      <c r="G831" s="136"/>
      <c r="H831" s="138"/>
      <c r="I831" s="138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</row>
    <row r="832" ht="15.75" customHeight="1">
      <c r="A832" s="136"/>
      <c r="B832" s="137"/>
      <c r="C832" s="137"/>
      <c r="D832" s="136"/>
      <c r="E832" s="136"/>
      <c r="F832" s="136"/>
      <c r="G832" s="136"/>
      <c r="H832" s="138"/>
      <c r="I832" s="138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</row>
    <row r="833" ht="15.75" customHeight="1">
      <c r="A833" s="136"/>
      <c r="B833" s="137"/>
      <c r="C833" s="137"/>
      <c r="D833" s="136"/>
      <c r="E833" s="136"/>
      <c r="F833" s="136"/>
      <c r="G833" s="136"/>
      <c r="H833" s="138"/>
      <c r="I833" s="138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</row>
    <row r="834" ht="15.75" customHeight="1">
      <c r="A834" s="136"/>
      <c r="B834" s="137"/>
      <c r="C834" s="137"/>
      <c r="D834" s="136"/>
      <c r="E834" s="136"/>
      <c r="F834" s="136"/>
      <c r="G834" s="136"/>
      <c r="H834" s="138"/>
      <c r="I834" s="138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</row>
    <row r="835" ht="15.75" customHeight="1">
      <c r="A835" s="136"/>
      <c r="B835" s="137"/>
      <c r="C835" s="137"/>
      <c r="D835" s="136"/>
      <c r="E835" s="136"/>
      <c r="F835" s="136"/>
      <c r="G835" s="136"/>
      <c r="H835" s="138"/>
      <c r="I835" s="138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</row>
    <row r="836" ht="15.75" customHeight="1">
      <c r="A836" s="136"/>
      <c r="B836" s="137"/>
      <c r="C836" s="137"/>
      <c r="D836" s="136"/>
      <c r="E836" s="136"/>
      <c r="F836" s="136"/>
      <c r="G836" s="136"/>
      <c r="H836" s="138"/>
      <c r="I836" s="138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</row>
    <row r="837" ht="15.75" customHeight="1">
      <c r="A837" s="136"/>
      <c r="B837" s="137"/>
      <c r="C837" s="137"/>
      <c r="D837" s="136"/>
      <c r="E837" s="136"/>
      <c r="F837" s="136"/>
      <c r="G837" s="136"/>
      <c r="H837" s="138"/>
      <c r="I837" s="138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</row>
    <row r="838" ht="15.75" customHeight="1">
      <c r="A838" s="136"/>
      <c r="B838" s="137"/>
      <c r="C838" s="137"/>
      <c r="D838" s="136"/>
      <c r="E838" s="136"/>
      <c r="F838" s="136"/>
      <c r="G838" s="136"/>
      <c r="H838" s="138"/>
      <c r="I838" s="138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</row>
    <row r="839" ht="15.75" customHeight="1">
      <c r="A839" s="136"/>
      <c r="B839" s="137"/>
      <c r="C839" s="137"/>
      <c r="D839" s="136"/>
      <c r="E839" s="136"/>
      <c r="F839" s="136"/>
      <c r="G839" s="136"/>
      <c r="H839" s="138"/>
      <c r="I839" s="138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</row>
    <row r="840" ht="15.75" customHeight="1">
      <c r="A840" s="136"/>
      <c r="B840" s="137"/>
      <c r="C840" s="137"/>
      <c r="D840" s="136"/>
      <c r="E840" s="136"/>
      <c r="F840" s="136"/>
      <c r="G840" s="136"/>
      <c r="H840" s="138"/>
      <c r="I840" s="138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</row>
    <row r="841" ht="15.75" customHeight="1">
      <c r="A841" s="136"/>
      <c r="B841" s="137"/>
      <c r="C841" s="137"/>
      <c r="D841" s="136"/>
      <c r="E841" s="136"/>
      <c r="F841" s="136"/>
      <c r="G841" s="136"/>
      <c r="H841" s="138"/>
      <c r="I841" s="138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</row>
    <row r="842" ht="15.75" customHeight="1">
      <c r="A842" s="136"/>
      <c r="B842" s="137"/>
      <c r="C842" s="137"/>
      <c r="D842" s="136"/>
      <c r="E842" s="136"/>
      <c r="F842" s="136"/>
      <c r="G842" s="136"/>
      <c r="H842" s="138"/>
      <c r="I842" s="138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</row>
    <row r="843" ht="15.75" customHeight="1">
      <c r="A843" s="136"/>
      <c r="B843" s="137"/>
      <c r="C843" s="137"/>
      <c r="D843" s="136"/>
      <c r="E843" s="136"/>
      <c r="F843" s="136"/>
      <c r="G843" s="136"/>
      <c r="H843" s="138"/>
      <c r="I843" s="138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</row>
    <row r="844" ht="15.75" customHeight="1">
      <c r="A844" s="136"/>
      <c r="B844" s="137"/>
      <c r="C844" s="137"/>
      <c r="D844" s="136"/>
      <c r="E844" s="136"/>
      <c r="F844" s="136"/>
      <c r="G844" s="136"/>
      <c r="H844" s="138"/>
      <c r="I844" s="138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</row>
    <row r="845" ht="15.75" customHeight="1">
      <c r="A845" s="136"/>
      <c r="B845" s="137"/>
      <c r="C845" s="137"/>
      <c r="D845" s="136"/>
      <c r="E845" s="136"/>
      <c r="F845" s="136"/>
      <c r="G845" s="136"/>
      <c r="H845" s="138"/>
      <c r="I845" s="138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</row>
    <row r="846" ht="15.75" customHeight="1">
      <c r="A846" s="136"/>
      <c r="B846" s="137"/>
      <c r="C846" s="137"/>
      <c r="D846" s="136"/>
      <c r="E846" s="136"/>
      <c r="F846" s="136"/>
      <c r="G846" s="136"/>
      <c r="H846" s="138"/>
      <c r="I846" s="138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</row>
    <row r="847" ht="15.75" customHeight="1">
      <c r="A847" s="136"/>
      <c r="B847" s="137"/>
      <c r="C847" s="137"/>
      <c r="D847" s="136"/>
      <c r="E847" s="136"/>
      <c r="F847" s="136"/>
      <c r="G847" s="136"/>
      <c r="H847" s="138"/>
      <c r="I847" s="138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</row>
    <row r="848" ht="15.75" customHeight="1">
      <c r="A848" s="136"/>
      <c r="B848" s="137"/>
      <c r="C848" s="137"/>
      <c r="D848" s="136"/>
      <c r="E848" s="136"/>
      <c r="F848" s="136"/>
      <c r="G848" s="136"/>
      <c r="H848" s="138"/>
      <c r="I848" s="138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</row>
    <row r="849" ht="15.75" customHeight="1">
      <c r="A849" s="136"/>
      <c r="B849" s="137"/>
      <c r="C849" s="137"/>
      <c r="D849" s="136"/>
      <c r="E849" s="136"/>
      <c r="F849" s="136"/>
      <c r="G849" s="136"/>
      <c r="H849" s="138"/>
      <c r="I849" s="138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</row>
    <row r="850" ht="15.75" customHeight="1">
      <c r="A850" s="136"/>
      <c r="B850" s="137"/>
      <c r="C850" s="137"/>
      <c r="D850" s="136"/>
      <c r="E850" s="136"/>
      <c r="F850" s="136"/>
      <c r="G850" s="136"/>
      <c r="H850" s="138"/>
      <c r="I850" s="138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</row>
    <row r="851" ht="15.75" customHeight="1">
      <c r="A851" s="136"/>
      <c r="B851" s="137"/>
      <c r="C851" s="137"/>
      <c r="D851" s="136"/>
      <c r="E851" s="136"/>
      <c r="F851" s="136"/>
      <c r="G851" s="136"/>
      <c r="H851" s="138"/>
      <c r="I851" s="138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</row>
    <row r="852" ht="15.75" customHeight="1">
      <c r="A852" s="136"/>
      <c r="B852" s="137"/>
      <c r="C852" s="137"/>
      <c r="D852" s="136"/>
      <c r="E852" s="136"/>
      <c r="F852" s="136"/>
      <c r="G852" s="136"/>
      <c r="H852" s="138"/>
      <c r="I852" s="138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</row>
    <row r="853" ht="15.75" customHeight="1">
      <c r="A853" s="136"/>
      <c r="B853" s="137"/>
      <c r="C853" s="137"/>
      <c r="D853" s="136"/>
      <c r="E853" s="136"/>
      <c r="F853" s="136"/>
      <c r="G853" s="136"/>
      <c r="H853" s="138"/>
      <c r="I853" s="138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</row>
    <row r="854" ht="15.75" customHeight="1">
      <c r="A854" s="136"/>
      <c r="B854" s="137"/>
      <c r="C854" s="137"/>
      <c r="D854" s="136"/>
      <c r="E854" s="136"/>
      <c r="F854" s="136"/>
      <c r="G854" s="136"/>
      <c r="H854" s="138"/>
      <c r="I854" s="138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</row>
    <row r="855" ht="15.75" customHeight="1">
      <c r="A855" s="136"/>
      <c r="B855" s="137"/>
      <c r="C855" s="137"/>
      <c r="D855" s="136"/>
      <c r="E855" s="136"/>
      <c r="F855" s="136"/>
      <c r="G855" s="136"/>
      <c r="H855" s="138"/>
      <c r="I855" s="138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</row>
    <row r="856" ht="15.75" customHeight="1">
      <c r="A856" s="136"/>
      <c r="B856" s="137"/>
      <c r="C856" s="137"/>
      <c r="D856" s="136"/>
      <c r="E856" s="136"/>
      <c r="F856" s="136"/>
      <c r="G856" s="136"/>
      <c r="H856" s="138"/>
      <c r="I856" s="138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</row>
    <row r="857" ht="15.75" customHeight="1">
      <c r="A857" s="136"/>
      <c r="B857" s="137"/>
      <c r="C857" s="137"/>
      <c r="D857" s="136"/>
      <c r="E857" s="136"/>
      <c r="F857" s="136"/>
      <c r="G857" s="136"/>
      <c r="H857" s="138"/>
      <c r="I857" s="138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</row>
    <row r="858" ht="15.75" customHeight="1">
      <c r="A858" s="136"/>
      <c r="B858" s="137"/>
      <c r="C858" s="137"/>
      <c r="D858" s="136"/>
      <c r="E858" s="136"/>
      <c r="F858" s="136"/>
      <c r="G858" s="136"/>
      <c r="H858" s="138"/>
      <c r="I858" s="138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</row>
    <row r="859" ht="15.75" customHeight="1">
      <c r="A859" s="136"/>
      <c r="B859" s="137"/>
      <c r="C859" s="137"/>
      <c r="D859" s="136"/>
      <c r="E859" s="136"/>
      <c r="F859" s="136"/>
      <c r="G859" s="136"/>
      <c r="H859" s="138"/>
      <c r="I859" s="138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</row>
    <row r="860" ht="15.75" customHeight="1">
      <c r="A860" s="136"/>
      <c r="B860" s="137"/>
      <c r="C860" s="137"/>
      <c r="D860" s="136"/>
      <c r="E860" s="136"/>
      <c r="F860" s="136"/>
      <c r="G860" s="136"/>
      <c r="H860" s="138"/>
      <c r="I860" s="138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</row>
    <row r="861" ht="15.75" customHeight="1">
      <c r="A861" s="136"/>
      <c r="B861" s="137"/>
      <c r="C861" s="137"/>
      <c r="D861" s="136"/>
      <c r="E861" s="136"/>
      <c r="F861" s="136"/>
      <c r="G861" s="136"/>
      <c r="H861" s="138"/>
      <c r="I861" s="138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</row>
    <row r="862" ht="15.75" customHeight="1">
      <c r="A862" s="136"/>
      <c r="B862" s="137"/>
      <c r="C862" s="137"/>
      <c r="D862" s="136"/>
      <c r="E862" s="136"/>
      <c r="F862" s="136"/>
      <c r="G862" s="136"/>
      <c r="H862" s="138"/>
      <c r="I862" s="138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</row>
    <row r="863" ht="15.75" customHeight="1">
      <c r="A863" s="136"/>
      <c r="B863" s="137"/>
      <c r="C863" s="137"/>
      <c r="D863" s="136"/>
      <c r="E863" s="136"/>
      <c r="F863" s="136"/>
      <c r="G863" s="136"/>
      <c r="H863" s="138"/>
      <c r="I863" s="138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</row>
    <row r="864" ht="15.75" customHeight="1">
      <c r="A864" s="136"/>
      <c r="B864" s="137"/>
      <c r="C864" s="137"/>
      <c r="D864" s="136"/>
      <c r="E864" s="136"/>
      <c r="F864" s="136"/>
      <c r="G864" s="136"/>
      <c r="H864" s="138"/>
      <c r="I864" s="138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</row>
    <row r="865" ht="15.75" customHeight="1">
      <c r="A865" s="136"/>
      <c r="B865" s="137"/>
      <c r="C865" s="137"/>
      <c r="D865" s="136"/>
      <c r="E865" s="136"/>
      <c r="F865" s="136"/>
      <c r="G865" s="136"/>
      <c r="H865" s="138"/>
      <c r="I865" s="138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</row>
    <row r="866" ht="15.75" customHeight="1">
      <c r="A866" s="136"/>
      <c r="B866" s="137"/>
      <c r="C866" s="137"/>
      <c r="D866" s="136"/>
      <c r="E866" s="136"/>
      <c r="F866" s="136"/>
      <c r="G866" s="136"/>
      <c r="H866" s="138"/>
      <c r="I866" s="138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</row>
    <row r="867" ht="15.75" customHeight="1">
      <c r="A867" s="136"/>
      <c r="B867" s="137"/>
      <c r="C867" s="137"/>
      <c r="D867" s="136"/>
      <c r="E867" s="136"/>
      <c r="F867" s="136"/>
      <c r="G867" s="136"/>
      <c r="H867" s="138"/>
      <c r="I867" s="138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</row>
    <row r="868" ht="15.75" customHeight="1">
      <c r="A868" s="136"/>
      <c r="B868" s="137"/>
      <c r="C868" s="137"/>
      <c r="D868" s="136"/>
      <c r="E868" s="136"/>
      <c r="F868" s="136"/>
      <c r="G868" s="136"/>
      <c r="H868" s="138"/>
      <c r="I868" s="138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</row>
    <row r="869" ht="15.75" customHeight="1">
      <c r="A869" s="136"/>
      <c r="B869" s="137"/>
      <c r="C869" s="137"/>
      <c r="D869" s="136"/>
      <c r="E869" s="136"/>
      <c r="F869" s="136"/>
      <c r="G869" s="136"/>
      <c r="H869" s="138"/>
      <c r="I869" s="138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</row>
    <row r="870" ht="15.75" customHeight="1">
      <c r="A870" s="136"/>
      <c r="B870" s="137"/>
      <c r="C870" s="137"/>
      <c r="D870" s="136"/>
      <c r="E870" s="136"/>
      <c r="F870" s="136"/>
      <c r="G870" s="136"/>
      <c r="H870" s="138"/>
      <c r="I870" s="138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</row>
    <row r="871" ht="15.75" customHeight="1">
      <c r="A871" s="136"/>
      <c r="B871" s="137"/>
      <c r="C871" s="137"/>
      <c r="D871" s="136"/>
      <c r="E871" s="136"/>
      <c r="F871" s="136"/>
      <c r="G871" s="136"/>
      <c r="H871" s="138"/>
      <c r="I871" s="138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</row>
    <row r="872" ht="15.75" customHeight="1">
      <c r="A872" s="136"/>
      <c r="B872" s="137"/>
      <c r="C872" s="137"/>
      <c r="D872" s="136"/>
      <c r="E872" s="136"/>
      <c r="F872" s="136"/>
      <c r="G872" s="136"/>
      <c r="H872" s="138"/>
      <c r="I872" s="138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</row>
    <row r="873" ht="15.75" customHeight="1">
      <c r="A873" s="136"/>
      <c r="B873" s="137"/>
      <c r="C873" s="137"/>
      <c r="D873" s="136"/>
      <c r="E873" s="136"/>
      <c r="F873" s="136"/>
      <c r="G873" s="136"/>
      <c r="H873" s="138"/>
      <c r="I873" s="138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</row>
    <row r="874" ht="15.75" customHeight="1">
      <c r="A874" s="136"/>
      <c r="B874" s="137"/>
      <c r="C874" s="137"/>
      <c r="D874" s="136"/>
      <c r="E874" s="136"/>
      <c r="F874" s="136"/>
      <c r="G874" s="136"/>
      <c r="H874" s="138"/>
      <c r="I874" s="138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</row>
    <row r="875" ht="15.75" customHeight="1">
      <c r="A875" s="136"/>
      <c r="B875" s="137"/>
      <c r="C875" s="137"/>
      <c r="D875" s="136"/>
      <c r="E875" s="136"/>
      <c r="F875" s="136"/>
      <c r="G875" s="136"/>
      <c r="H875" s="138"/>
      <c r="I875" s="138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</row>
    <row r="876" ht="15.75" customHeight="1">
      <c r="A876" s="136"/>
      <c r="B876" s="137"/>
      <c r="C876" s="137"/>
      <c r="D876" s="136"/>
      <c r="E876" s="136"/>
      <c r="F876" s="136"/>
      <c r="G876" s="136"/>
      <c r="H876" s="138"/>
      <c r="I876" s="138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</row>
    <row r="877" ht="15.75" customHeight="1">
      <c r="A877" s="136"/>
      <c r="B877" s="137"/>
      <c r="C877" s="137"/>
      <c r="D877" s="136"/>
      <c r="E877" s="136"/>
      <c r="F877" s="136"/>
      <c r="G877" s="136"/>
      <c r="H877" s="138"/>
      <c r="I877" s="138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</row>
    <row r="878" ht="15.75" customHeight="1">
      <c r="A878" s="136"/>
      <c r="B878" s="137"/>
      <c r="C878" s="137"/>
      <c r="D878" s="136"/>
      <c r="E878" s="136"/>
      <c r="F878" s="136"/>
      <c r="G878" s="136"/>
      <c r="H878" s="138"/>
      <c r="I878" s="138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</row>
    <row r="879" ht="15.75" customHeight="1">
      <c r="A879" s="136"/>
      <c r="B879" s="137"/>
      <c r="C879" s="137"/>
      <c r="D879" s="136"/>
      <c r="E879" s="136"/>
      <c r="F879" s="136"/>
      <c r="G879" s="136"/>
      <c r="H879" s="138"/>
      <c r="I879" s="138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</row>
    <row r="880" ht="15.75" customHeight="1">
      <c r="A880" s="136"/>
      <c r="B880" s="137"/>
      <c r="C880" s="137"/>
      <c r="D880" s="136"/>
      <c r="E880" s="136"/>
      <c r="F880" s="136"/>
      <c r="G880" s="136"/>
      <c r="H880" s="138"/>
      <c r="I880" s="138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</row>
    <row r="881" ht="15.75" customHeight="1">
      <c r="A881" s="136"/>
      <c r="B881" s="137"/>
      <c r="C881" s="137"/>
      <c r="D881" s="136"/>
      <c r="E881" s="136"/>
      <c r="F881" s="136"/>
      <c r="G881" s="136"/>
      <c r="H881" s="138"/>
      <c r="I881" s="138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</row>
    <row r="882" ht="15.75" customHeight="1">
      <c r="A882" s="136"/>
      <c r="B882" s="137"/>
      <c r="C882" s="137"/>
      <c r="D882" s="136"/>
      <c r="E882" s="136"/>
      <c r="F882" s="136"/>
      <c r="G882" s="136"/>
      <c r="H882" s="138"/>
      <c r="I882" s="138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</row>
    <row r="883" ht="15.75" customHeight="1">
      <c r="A883" s="136"/>
      <c r="B883" s="137"/>
      <c r="C883" s="137"/>
      <c r="D883" s="136"/>
      <c r="E883" s="136"/>
      <c r="F883" s="136"/>
      <c r="G883" s="136"/>
      <c r="H883" s="138"/>
      <c r="I883" s="138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</row>
    <row r="884" ht="15.75" customHeight="1">
      <c r="A884" s="136"/>
      <c r="B884" s="137"/>
      <c r="C884" s="137"/>
      <c r="D884" s="136"/>
      <c r="E884" s="136"/>
      <c r="F884" s="136"/>
      <c r="G884" s="136"/>
      <c r="H884" s="138"/>
      <c r="I884" s="138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</row>
    <row r="885" ht="15.75" customHeight="1">
      <c r="A885" s="136"/>
      <c r="B885" s="137"/>
      <c r="C885" s="137"/>
      <c r="D885" s="136"/>
      <c r="E885" s="136"/>
      <c r="F885" s="136"/>
      <c r="G885" s="136"/>
      <c r="H885" s="138"/>
      <c r="I885" s="138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</row>
    <row r="886" ht="15.75" customHeight="1">
      <c r="A886" s="136"/>
      <c r="B886" s="137"/>
      <c r="C886" s="137"/>
      <c r="D886" s="136"/>
      <c r="E886" s="136"/>
      <c r="F886" s="136"/>
      <c r="G886" s="136"/>
      <c r="H886" s="138"/>
      <c r="I886" s="138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</row>
    <row r="887" ht="15.75" customHeight="1">
      <c r="A887" s="136"/>
      <c r="B887" s="137"/>
      <c r="C887" s="137"/>
      <c r="D887" s="136"/>
      <c r="E887" s="136"/>
      <c r="F887" s="136"/>
      <c r="G887" s="136"/>
      <c r="H887" s="138"/>
      <c r="I887" s="138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</row>
    <row r="888" ht="15.75" customHeight="1">
      <c r="A888" s="136"/>
      <c r="B888" s="137"/>
      <c r="C888" s="137"/>
      <c r="D888" s="136"/>
      <c r="E888" s="136"/>
      <c r="F888" s="136"/>
      <c r="G888" s="136"/>
      <c r="H888" s="138"/>
      <c r="I888" s="138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</row>
    <row r="889" ht="15.75" customHeight="1">
      <c r="A889" s="136"/>
      <c r="B889" s="137"/>
      <c r="C889" s="137"/>
      <c r="D889" s="136"/>
      <c r="E889" s="136"/>
      <c r="F889" s="136"/>
      <c r="G889" s="136"/>
      <c r="H889" s="138"/>
      <c r="I889" s="138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</row>
    <row r="890" ht="15.75" customHeight="1">
      <c r="A890" s="136"/>
      <c r="B890" s="137"/>
      <c r="C890" s="137"/>
      <c r="D890" s="136"/>
      <c r="E890" s="136"/>
      <c r="F890" s="136"/>
      <c r="G890" s="136"/>
      <c r="H890" s="138"/>
      <c r="I890" s="138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</row>
    <row r="891" ht="15.75" customHeight="1">
      <c r="A891" s="136"/>
      <c r="B891" s="137"/>
      <c r="C891" s="137"/>
      <c r="D891" s="136"/>
      <c r="E891" s="136"/>
      <c r="F891" s="136"/>
      <c r="G891" s="136"/>
      <c r="H891" s="138"/>
      <c r="I891" s="138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</row>
    <row r="892" ht="15.75" customHeight="1">
      <c r="A892" s="136"/>
      <c r="B892" s="137"/>
      <c r="C892" s="137"/>
      <c r="D892" s="136"/>
      <c r="E892" s="136"/>
      <c r="F892" s="136"/>
      <c r="G892" s="136"/>
      <c r="H892" s="138"/>
      <c r="I892" s="138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</row>
    <row r="893" ht="15.75" customHeight="1">
      <c r="A893" s="136"/>
      <c r="B893" s="137"/>
      <c r="C893" s="137"/>
      <c r="D893" s="136"/>
      <c r="E893" s="136"/>
      <c r="F893" s="136"/>
      <c r="G893" s="136"/>
      <c r="H893" s="138"/>
      <c r="I893" s="138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</row>
    <row r="894" ht="15.75" customHeight="1">
      <c r="A894" s="136"/>
      <c r="B894" s="137"/>
      <c r="C894" s="137"/>
      <c r="D894" s="136"/>
      <c r="E894" s="136"/>
      <c r="F894" s="136"/>
      <c r="G894" s="136"/>
      <c r="H894" s="138"/>
      <c r="I894" s="138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</row>
    <row r="895" ht="15.75" customHeight="1">
      <c r="A895" s="136"/>
      <c r="B895" s="137"/>
      <c r="C895" s="137"/>
      <c r="D895" s="136"/>
      <c r="E895" s="136"/>
      <c r="F895" s="136"/>
      <c r="G895" s="136"/>
      <c r="H895" s="138"/>
      <c r="I895" s="138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</row>
    <row r="896" ht="15.75" customHeight="1">
      <c r="A896" s="136"/>
      <c r="B896" s="137"/>
      <c r="C896" s="137"/>
      <c r="D896" s="136"/>
      <c r="E896" s="136"/>
      <c r="F896" s="136"/>
      <c r="G896" s="136"/>
      <c r="H896" s="138"/>
      <c r="I896" s="138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</row>
    <row r="897" ht="15.75" customHeight="1">
      <c r="A897" s="136"/>
      <c r="B897" s="137"/>
      <c r="C897" s="137"/>
      <c r="D897" s="136"/>
      <c r="E897" s="136"/>
      <c r="F897" s="136"/>
      <c r="G897" s="136"/>
      <c r="H897" s="138"/>
      <c r="I897" s="138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</row>
    <row r="898" ht="15.75" customHeight="1">
      <c r="A898" s="136"/>
      <c r="B898" s="137"/>
      <c r="C898" s="137"/>
      <c r="D898" s="136"/>
      <c r="E898" s="136"/>
      <c r="F898" s="136"/>
      <c r="G898" s="136"/>
      <c r="H898" s="138"/>
      <c r="I898" s="138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</row>
    <row r="899" ht="15.75" customHeight="1">
      <c r="A899" s="136"/>
      <c r="B899" s="137"/>
      <c r="C899" s="137"/>
      <c r="D899" s="136"/>
      <c r="E899" s="136"/>
      <c r="F899" s="136"/>
      <c r="G899" s="136"/>
      <c r="H899" s="138"/>
      <c r="I899" s="138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</row>
    <row r="900" ht="15.75" customHeight="1">
      <c r="A900" s="136"/>
      <c r="B900" s="137"/>
      <c r="C900" s="137"/>
      <c r="D900" s="136"/>
      <c r="E900" s="136"/>
      <c r="F900" s="136"/>
      <c r="G900" s="136"/>
      <c r="H900" s="138"/>
      <c r="I900" s="138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</row>
    <row r="901" ht="15.75" customHeight="1">
      <c r="A901" s="136"/>
      <c r="B901" s="137"/>
      <c r="C901" s="137"/>
      <c r="D901" s="136"/>
      <c r="E901" s="136"/>
      <c r="F901" s="136"/>
      <c r="G901" s="136"/>
      <c r="H901" s="138"/>
      <c r="I901" s="138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</row>
    <row r="902" ht="15.75" customHeight="1">
      <c r="A902" s="136"/>
      <c r="B902" s="137"/>
      <c r="C902" s="137"/>
      <c r="D902" s="136"/>
      <c r="E902" s="136"/>
      <c r="F902" s="136"/>
      <c r="G902" s="136"/>
      <c r="H902" s="138"/>
      <c r="I902" s="138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</row>
    <row r="903" ht="15.75" customHeight="1">
      <c r="A903" s="136"/>
      <c r="B903" s="137"/>
      <c r="C903" s="137"/>
      <c r="D903" s="136"/>
      <c r="E903" s="136"/>
      <c r="F903" s="136"/>
      <c r="G903" s="136"/>
      <c r="H903" s="138"/>
      <c r="I903" s="138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</row>
    <row r="904" ht="15.75" customHeight="1">
      <c r="A904" s="136"/>
      <c r="B904" s="137"/>
      <c r="C904" s="137"/>
      <c r="D904" s="136"/>
      <c r="E904" s="136"/>
      <c r="F904" s="136"/>
      <c r="G904" s="136"/>
      <c r="H904" s="138"/>
      <c r="I904" s="138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</row>
    <row r="905" ht="15.75" customHeight="1">
      <c r="A905" s="136"/>
      <c r="B905" s="137"/>
      <c r="C905" s="137"/>
      <c r="D905" s="136"/>
      <c r="E905" s="136"/>
      <c r="F905" s="136"/>
      <c r="G905" s="136"/>
      <c r="H905" s="138"/>
      <c r="I905" s="138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</row>
    <row r="906" ht="15.75" customHeight="1">
      <c r="A906" s="136"/>
      <c r="B906" s="137"/>
      <c r="C906" s="137"/>
      <c r="D906" s="136"/>
      <c r="E906" s="136"/>
      <c r="F906" s="136"/>
      <c r="G906" s="136"/>
      <c r="H906" s="138"/>
      <c r="I906" s="138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</row>
    <row r="907" ht="15.75" customHeight="1">
      <c r="A907" s="136"/>
      <c r="B907" s="137"/>
      <c r="C907" s="137"/>
      <c r="D907" s="136"/>
      <c r="E907" s="136"/>
      <c r="F907" s="136"/>
      <c r="G907" s="136"/>
      <c r="H907" s="138"/>
      <c r="I907" s="138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</row>
    <row r="908" ht="15.75" customHeight="1">
      <c r="A908" s="136"/>
      <c r="B908" s="137"/>
      <c r="C908" s="137"/>
      <c r="D908" s="136"/>
      <c r="E908" s="136"/>
      <c r="F908" s="136"/>
      <c r="G908" s="136"/>
      <c r="H908" s="138"/>
      <c r="I908" s="138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</row>
    <row r="909" ht="15.75" customHeight="1">
      <c r="A909" s="136"/>
      <c r="B909" s="137"/>
      <c r="C909" s="137"/>
      <c r="D909" s="136"/>
      <c r="E909" s="136"/>
      <c r="F909" s="136"/>
      <c r="G909" s="136"/>
      <c r="H909" s="138"/>
      <c r="I909" s="138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</row>
    <row r="910" ht="15.75" customHeight="1">
      <c r="A910" s="136"/>
      <c r="B910" s="137"/>
      <c r="C910" s="137"/>
      <c r="D910" s="136"/>
      <c r="E910" s="136"/>
      <c r="F910" s="136"/>
      <c r="G910" s="136"/>
      <c r="H910" s="138"/>
      <c r="I910" s="138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</row>
    <row r="911" ht="15.75" customHeight="1">
      <c r="A911" s="136"/>
      <c r="B911" s="137"/>
      <c r="C911" s="137"/>
      <c r="D911" s="136"/>
      <c r="E911" s="136"/>
      <c r="F911" s="136"/>
      <c r="G911" s="136"/>
      <c r="H911" s="138"/>
      <c r="I911" s="138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</row>
    <row r="912" ht="15.75" customHeight="1">
      <c r="A912" s="136"/>
      <c r="B912" s="137"/>
      <c r="C912" s="137"/>
      <c r="D912" s="136"/>
      <c r="E912" s="136"/>
      <c r="F912" s="136"/>
      <c r="G912" s="136"/>
      <c r="H912" s="138"/>
      <c r="I912" s="138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</row>
    <row r="913" ht="15.75" customHeight="1">
      <c r="A913" s="136"/>
      <c r="B913" s="137"/>
      <c r="C913" s="137"/>
      <c r="D913" s="136"/>
      <c r="E913" s="136"/>
      <c r="F913" s="136"/>
      <c r="G913" s="136"/>
      <c r="H913" s="138"/>
      <c r="I913" s="138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</row>
    <row r="914" ht="15.75" customHeight="1">
      <c r="A914" s="136"/>
      <c r="B914" s="137"/>
      <c r="C914" s="137"/>
      <c r="D914" s="136"/>
      <c r="E914" s="136"/>
      <c r="F914" s="136"/>
      <c r="G914" s="136"/>
      <c r="H914" s="138"/>
      <c r="I914" s="138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</row>
    <row r="915" ht="15.75" customHeight="1">
      <c r="A915" s="136"/>
      <c r="B915" s="137"/>
      <c r="C915" s="137"/>
      <c r="D915" s="136"/>
      <c r="E915" s="136"/>
      <c r="F915" s="136"/>
      <c r="G915" s="136"/>
      <c r="H915" s="138"/>
      <c r="I915" s="138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</row>
    <row r="916" ht="15.75" customHeight="1">
      <c r="A916" s="136"/>
      <c r="B916" s="137"/>
      <c r="C916" s="137"/>
      <c r="D916" s="136"/>
      <c r="E916" s="136"/>
      <c r="F916" s="136"/>
      <c r="G916" s="136"/>
      <c r="H916" s="138"/>
      <c r="I916" s="138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</row>
    <row r="917" ht="15.75" customHeight="1">
      <c r="A917" s="136"/>
      <c r="B917" s="137"/>
      <c r="C917" s="137"/>
      <c r="D917" s="136"/>
      <c r="E917" s="136"/>
      <c r="F917" s="136"/>
      <c r="G917" s="136"/>
      <c r="H917" s="138"/>
      <c r="I917" s="138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</row>
    <row r="918" ht="15.75" customHeight="1">
      <c r="A918" s="136"/>
      <c r="B918" s="137"/>
      <c r="C918" s="137"/>
      <c r="D918" s="136"/>
      <c r="E918" s="136"/>
      <c r="F918" s="136"/>
      <c r="G918" s="136"/>
      <c r="H918" s="138"/>
      <c r="I918" s="138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</row>
    <row r="919" ht="15.75" customHeight="1">
      <c r="A919" s="136"/>
      <c r="B919" s="137"/>
      <c r="C919" s="137"/>
      <c r="D919" s="136"/>
      <c r="E919" s="136"/>
      <c r="F919" s="136"/>
      <c r="G919" s="136"/>
      <c r="H919" s="138"/>
      <c r="I919" s="138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</row>
    <row r="920" ht="15.75" customHeight="1">
      <c r="A920" s="136"/>
      <c r="B920" s="137"/>
      <c r="C920" s="137"/>
      <c r="D920" s="136"/>
      <c r="E920" s="136"/>
      <c r="F920" s="136"/>
      <c r="G920" s="136"/>
      <c r="H920" s="138"/>
      <c r="I920" s="138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</row>
    <row r="921" ht="15.75" customHeight="1">
      <c r="A921" s="136"/>
      <c r="B921" s="137"/>
      <c r="C921" s="137"/>
      <c r="D921" s="136"/>
      <c r="E921" s="136"/>
      <c r="F921" s="136"/>
      <c r="G921" s="136"/>
      <c r="H921" s="138"/>
      <c r="I921" s="138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</row>
    <row r="922" ht="15.75" customHeight="1">
      <c r="A922" s="136"/>
      <c r="B922" s="137"/>
      <c r="C922" s="137"/>
      <c r="D922" s="136"/>
      <c r="E922" s="136"/>
      <c r="F922" s="136"/>
      <c r="G922" s="136"/>
      <c r="H922" s="138"/>
      <c r="I922" s="138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</row>
    <row r="923" ht="15.75" customHeight="1">
      <c r="A923" s="136"/>
      <c r="B923" s="137"/>
      <c r="C923" s="137"/>
      <c r="D923" s="136"/>
      <c r="E923" s="136"/>
      <c r="F923" s="136"/>
      <c r="G923" s="136"/>
      <c r="H923" s="138"/>
      <c r="I923" s="138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</row>
    <row r="924" ht="15.75" customHeight="1">
      <c r="A924" s="136"/>
      <c r="B924" s="137"/>
      <c r="C924" s="137"/>
      <c r="D924" s="136"/>
      <c r="E924" s="136"/>
      <c r="F924" s="136"/>
      <c r="G924" s="136"/>
      <c r="H924" s="138"/>
      <c r="I924" s="138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</row>
    <row r="925" ht="15.75" customHeight="1">
      <c r="A925" s="136"/>
      <c r="B925" s="137"/>
      <c r="C925" s="137"/>
      <c r="D925" s="136"/>
      <c r="E925" s="136"/>
      <c r="F925" s="136"/>
      <c r="G925" s="136"/>
      <c r="H925" s="138"/>
      <c r="I925" s="138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</row>
    <row r="926" ht="15.75" customHeight="1">
      <c r="A926" s="136"/>
      <c r="B926" s="137"/>
      <c r="C926" s="137"/>
      <c r="D926" s="136"/>
      <c r="E926" s="136"/>
      <c r="F926" s="136"/>
      <c r="G926" s="136"/>
      <c r="H926" s="138"/>
      <c r="I926" s="138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</row>
    <row r="927" ht="15.75" customHeight="1">
      <c r="A927" s="136"/>
      <c r="B927" s="137"/>
      <c r="C927" s="137"/>
      <c r="D927" s="136"/>
      <c r="E927" s="136"/>
      <c r="F927" s="136"/>
      <c r="G927" s="136"/>
      <c r="H927" s="138"/>
      <c r="I927" s="138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</row>
    <row r="928" ht="15.75" customHeight="1">
      <c r="A928" s="136"/>
      <c r="B928" s="137"/>
      <c r="C928" s="137"/>
      <c r="D928" s="136"/>
      <c r="E928" s="136"/>
      <c r="F928" s="136"/>
      <c r="G928" s="136"/>
      <c r="H928" s="138"/>
      <c r="I928" s="138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</row>
    <row r="929" ht="15.75" customHeight="1">
      <c r="A929" s="136"/>
      <c r="B929" s="137"/>
      <c r="C929" s="137"/>
      <c r="D929" s="136"/>
      <c r="E929" s="136"/>
      <c r="F929" s="136"/>
      <c r="G929" s="136"/>
      <c r="H929" s="138"/>
      <c r="I929" s="138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</row>
    <row r="930" ht="15.75" customHeight="1">
      <c r="A930" s="136"/>
      <c r="B930" s="137"/>
      <c r="C930" s="137"/>
      <c r="D930" s="136"/>
      <c r="E930" s="136"/>
      <c r="F930" s="136"/>
      <c r="G930" s="136"/>
      <c r="H930" s="138"/>
      <c r="I930" s="138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</row>
    <row r="931" ht="15.75" customHeight="1">
      <c r="A931" s="136"/>
      <c r="B931" s="137"/>
      <c r="C931" s="137"/>
      <c r="D931" s="136"/>
      <c r="E931" s="136"/>
      <c r="F931" s="136"/>
      <c r="G931" s="136"/>
      <c r="H931" s="138"/>
      <c r="I931" s="138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</row>
    <row r="932" ht="15.75" customHeight="1">
      <c r="A932" s="136"/>
      <c r="B932" s="137"/>
      <c r="C932" s="137"/>
      <c r="D932" s="136"/>
      <c r="E932" s="136"/>
      <c r="F932" s="136"/>
      <c r="G932" s="136"/>
      <c r="H932" s="138"/>
      <c r="I932" s="138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</row>
    <row r="933" ht="15.75" customHeight="1">
      <c r="A933" s="136"/>
      <c r="B933" s="137"/>
      <c r="C933" s="137"/>
      <c r="D933" s="136"/>
      <c r="E933" s="136"/>
      <c r="F933" s="136"/>
      <c r="G933" s="136"/>
      <c r="H933" s="138"/>
      <c r="I933" s="138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</row>
    <row r="934" ht="15.75" customHeight="1">
      <c r="A934" s="136"/>
      <c r="B934" s="137"/>
      <c r="C934" s="137"/>
      <c r="D934" s="136"/>
      <c r="E934" s="136"/>
      <c r="F934" s="136"/>
      <c r="G934" s="136"/>
      <c r="H934" s="138"/>
      <c r="I934" s="138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</row>
    <row r="935" ht="15.75" customHeight="1">
      <c r="A935" s="136"/>
      <c r="B935" s="137"/>
      <c r="C935" s="137"/>
      <c r="D935" s="136"/>
      <c r="E935" s="136"/>
      <c r="F935" s="136"/>
      <c r="G935" s="136"/>
      <c r="H935" s="138"/>
      <c r="I935" s="138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</row>
    <row r="936" ht="15.75" customHeight="1">
      <c r="A936" s="136"/>
      <c r="B936" s="137"/>
      <c r="C936" s="137"/>
      <c r="D936" s="136"/>
      <c r="E936" s="136"/>
      <c r="F936" s="136"/>
      <c r="G936" s="136"/>
      <c r="H936" s="138"/>
      <c r="I936" s="138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</row>
    <row r="937" ht="15.75" customHeight="1">
      <c r="A937" s="136"/>
      <c r="B937" s="137"/>
      <c r="C937" s="137"/>
      <c r="D937" s="136"/>
      <c r="E937" s="136"/>
      <c r="F937" s="136"/>
      <c r="G937" s="136"/>
      <c r="H937" s="138"/>
      <c r="I937" s="138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</row>
    <row r="938" ht="15.75" customHeight="1">
      <c r="A938" s="136"/>
      <c r="B938" s="137"/>
      <c r="C938" s="137"/>
      <c r="D938" s="136"/>
      <c r="E938" s="136"/>
      <c r="F938" s="136"/>
      <c r="G938" s="136"/>
      <c r="H938" s="138"/>
      <c r="I938" s="138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</row>
    <row r="939" ht="15.75" customHeight="1">
      <c r="A939" s="136"/>
      <c r="B939" s="137"/>
      <c r="C939" s="137"/>
      <c r="D939" s="136"/>
      <c r="E939" s="136"/>
      <c r="F939" s="136"/>
      <c r="G939" s="136"/>
      <c r="H939" s="138"/>
      <c r="I939" s="138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</row>
    <row r="940" ht="15.75" customHeight="1">
      <c r="A940" s="136"/>
      <c r="B940" s="137"/>
      <c r="C940" s="137"/>
      <c r="D940" s="136"/>
      <c r="E940" s="136"/>
      <c r="F940" s="136"/>
      <c r="G940" s="136"/>
      <c r="H940" s="138"/>
      <c r="I940" s="138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</row>
    <row r="941" ht="15.75" customHeight="1">
      <c r="A941" s="136"/>
      <c r="B941" s="137"/>
      <c r="C941" s="137"/>
      <c r="D941" s="136"/>
      <c r="E941" s="136"/>
      <c r="F941" s="136"/>
      <c r="G941" s="136"/>
      <c r="H941" s="138"/>
      <c r="I941" s="138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</row>
    <row r="942" ht="15.75" customHeight="1">
      <c r="A942" s="136"/>
      <c r="B942" s="137"/>
      <c r="C942" s="137"/>
      <c r="D942" s="136"/>
      <c r="E942" s="136"/>
      <c r="F942" s="136"/>
      <c r="G942" s="136"/>
      <c r="H942" s="138"/>
      <c r="I942" s="138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</row>
    <row r="943" ht="15.75" customHeight="1">
      <c r="A943" s="136"/>
      <c r="B943" s="137"/>
      <c r="C943" s="137"/>
      <c r="D943" s="136"/>
      <c r="E943" s="136"/>
      <c r="F943" s="136"/>
      <c r="G943" s="136"/>
      <c r="H943" s="138"/>
      <c r="I943" s="138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</row>
    <row r="944" ht="15.75" customHeight="1">
      <c r="A944" s="136"/>
      <c r="B944" s="137"/>
      <c r="C944" s="137"/>
      <c r="D944" s="136"/>
      <c r="E944" s="136"/>
      <c r="F944" s="136"/>
      <c r="G944" s="136"/>
      <c r="H944" s="138"/>
      <c r="I944" s="138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</row>
    <row r="945" ht="15.75" customHeight="1">
      <c r="A945" s="136"/>
      <c r="B945" s="137"/>
      <c r="C945" s="137"/>
      <c r="D945" s="136"/>
      <c r="E945" s="136"/>
      <c r="F945" s="136"/>
      <c r="G945" s="136"/>
      <c r="H945" s="138"/>
      <c r="I945" s="138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</row>
    <row r="946" ht="15.75" customHeight="1">
      <c r="A946" s="136"/>
      <c r="B946" s="137"/>
      <c r="C946" s="137"/>
      <c r="D946" s="136"/>
      <c r="E946" s="136"/>
      <c r="F946" s="136"/>
      <c r="G946" s="136"/>
      <c r="H946" s="138"/>
      <c r="I946" s="138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</row>
    <row r="947" ht="15.75" customHeight="1">
      <c r="A947" s="136"/>
      <c r="B947" s="137"/>
      <c r="C947" s="137"/>
      <c r="D947" s="136"/>
      <c r="E947" s="136"/>
      <c r="F947" s="136"/>
      <c r="G947" s="136"/>
      <c r="H947" s="138"/>
      <c r="I947" s="138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</row>
    <row r="948" ht="15.75" customHeight="1">
      <c r="A948" s="136"/>
      <c r="B948" s="137"/>
      <c r="C948" s="137"/>
      <c r="D948" s="136"/>
      <c r="E948" s="136"/>
      <c r="F948" s="136"/>
      <c r="G948" s="136"/>
      <c r="H948" s="138"/>
      <c r="I948" s="138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</row>
    <row r="949" ht="15.75" customHeight="1">
      <c r="A949" s="136"/>
      <c r="B949" s="137"/>
      <c r="C949" s="137"/>
      <c r="D949" s="136"/>
      <c r="E949" s="136"/>
      <c r="F949" s="136"/>
      <c r="G949" s="136"/>
      <c r="H949" s="138"/>
      <c r="I949" s="138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</row>
    <row r="950" ht="15.75" customHeight="1">
      <c r="A950" s="136"/>
      <c r="B950" s="137"/>
      <c r="C950" s="137"/>
      <c r="D950" s="136"/>
      <c r="E950" s="136"/>
      <c r="F950" s="136"/>
      <c r="G950" s="136"/>
      <c r="H950" s="138"/>
      <c r="I950" s="138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</row>
    <row r="951" ht="15.75" customHeight="1">
      <c r="A951" s="136"/>
      <c r="B951" s="137"/>
      <c r="C951" s="137"/>
      <c r="D951" s="136"/>
      <c r="E951" s="136"/>
      <c r="F951" s="136"/>
      <c r="G951" s="136"/>
      <c r="H951" s="138"/>
      <c r="I951" s="138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</row>
    <row r="952" ht="15.75" customHeight="1">
      <c r="A952" s="136"/>
      <c r="B952" s="137"/>
      <c r="C952" s="137"/>
      <c r="D952" s="136"/>
      <c r="E952" s="136"/>
      <c r="F952" s="136"/>
      <c r="G952" s="136"/>
      <c r="H952" s="138"/>
      <c r="I952" s="138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</row>
    <row r="953" ht="15.75" customHeight="1">
      <c r="A953" s="136"/>
      <c r="B953" s="137"/>
      <c r="C953" s="137"/>
      <c r="D953" s="136"/>
      <c r="E953" s="136"/>
      <c r="F953" s="136"/>
      <c r="G953" s="136"/>
      <c r="H953" s="138"/>
      <c r="I953" s="138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</row>
    <row r="954" ht="15.75" customHeight="1">
      <c r="A954" s="136"/>
      <c r="B954" s="137"/>
      <c r="C954" s="137"/>
      <c r="D954" s="136"/>
      <c r="E954" s="136"/>
      <c r="F954" s="136"/>
      <c r="G954" s="136"/>
      <c r="H954" s="138"/>
      <c r="I954" s="138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</row>
    <row r="955" ht="15.75" customHeight="1">
      <c r="A955" s="136"/>
      <c r="B955" s="137"/>
      <c r="C955" s="137"/>
      <c r="D955" s="136"/>
      <c r="E955" s="136"/>
      <c r="F955" s="136"/>
      <c r="G955" s="136"/>
      <c r="H955" s="138"/>
      <c r="I955" s="138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</row>
    <row r="956" ht="15.75" customHeight="1">
      <c r="A956" s="136"/>
      <c r="B956" s="137"/>
      <c r="C956" s="137"/>
      <c r="D956" s="136"/>
      <c r="E956" s="136"/>
      <c r="F956" s="136"/>
      <c r="G956" s="136"/>
      <c r="H956" s="138"/>
      <c r="I956" s="138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</row>
    <row r="957" ht="15.75" customHeight="1">
      <c r="A957" s="136"/>
      <c r="B957" s="137"/>
      <c r="C957" s="137"/>
      <c r="D957" s="136"/>
      <c r="E957" s="136"/>
      <c r="F957" s="136"/>
      <c r="G957" s="136"/>
      <c r="H957" s="138"/>
      <c r="I957" s="138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</row>
    <row r="958" ht="15.75" customHeight="1">
      <c r="A958" s="136"/>
      <c r="B958" s="137"/>
      <c r="C958" s="137"/>
      <c r="D958" s="136"/>
      <c r="E958" s="136"/>
      <c r="F958" s="136"/>
      <c r="G958" s="136"/>
      <c r="H958" s="138"/>
      <c r="I958" s="138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</row>
    <row r="959" ht="15.75" customHeight="1">
      <c r="A959" s="136"/>
      <c r="B959" s="137"/>
      <c r="C959" s="137"/>
      <c r="D959" s="136"/>
      <c r="E959" s="136"/>
      <c r="F959" s="136"/>
      <c r="G959" s="136"/>
      <c r="H959" s="138"/>
      <c r="I959" s="138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</row>
    <row r="960" ht="15.75" customHeight="1">
      <c r="A960" s="136"/>
      <c r="B960" s="137"/>
      <c r="C960" s="137"/>
      <c r="D960" s="136"/>
      <c r="E960" s="136"/>
      <c r="F960" s="136"/>
      <c r="G960" s="136"/>
      <c r="H960" s="138"/>
      <c r="I960" s="138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</row>
    <row r="961" ht="15.75" customHeight="1">
      <c r="A961" s="136"/>
      <c r="B961" s="137"/>
      <c r="C961" s="137"/>
      <c r="D961" s="136"/>
      <c r="E961" s="136"/>
      <c r="F961" s="136"/>
      <c r="G961" s="136"/>
      <c r="H961" s="138"/>
      <c r="I961" s="138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</row>
    <row r="962" ht="15.75" customHeight="1">
      <c r="A962" s="136"/>
      <c r="B962" s="137"/>
      <c r="C962" s="137"/>
      <c r="D962" s="136"/>
      <c r="E962" s="136"/>
      <c r="F962" s="136"/>
      <c r="G962" s="136"/>
      <c r="H962" s="138"/>
      <c r="I962" s="138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</row>
    <row r="963" ht="15.75" customHeight="1">
      <c r="A963" s="136"/>
      <c r="B963" s="137"/>
      <c r="C963" s="137"/>
      <c r="D963" s="136"/>
      <c r="E963" s="136"/>
      <c r="F963" s="136"/>
      <c r="G963" s="136"/>
      <c r="H963" s="138"/>
      <c r="I963" s="138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</row>
    <row r="964" ht="15.75" customHeight="1">
      <c r="A964" s="136"/>
      <c r="B964" s="137"/>
      <c r="C964" s="137"/>
      <c r="D964" s="136"/>
      <c r="E964" s="136"/>
      <c r="F964" s="136"/>
      <c r="G964" s="136"/>
      <c r="H964" s="138"/>
      <c r="I964" s="138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</row>
    <row r="965" ht="15.75" customHeight="1">
      <c r="A965" s="136"/>
      <c r="B965" s="137"/>
      <c r="C965" s="137"/>
      <c r="D965" s="136"/>
      <c r="E965" s="136"/>
      <c r="F965" s="136"/>
      <c r="G965" s="136"/>
      <c r="H965" s="138"/>
      <c r="I965" s="138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</row>
    <row r="966" ht="15.75" customHeight="1">
      <c r="A966" s="136"/>
      <c r="B966" s="137"/>
      <c r="C966" s="137"/>
      <c r="D966" s="136"/>
      <c r="E966" s="136"/>
      <c r="F966" s="136"/>
      <c r="G966" s="136"/>
      <c r="H966" s="138"/>
      <c r="I966" s="138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</row>
    <row r="967" ht="15.75" customHeight="1">
      <c r="A967" s="136"/>
      <c r="B967" s="137"/>
      <c r="C967" s="137"/>
      <c r="D967" s="136"/>
      <c r="E967" s="136"/>
      <c r="F967" s="136"/>
      <c r="G967" s="136"/>
      <c r="H967" s="138"/>
      <c r="I967" s="138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</row>
    <row r="968" ht="15.75" customHeight="1">
      <c r="A968" s="136"/>
      <c r="B968" s="137"/>
      <c r="C968" s="137"/>
      <c r="D968" s="136"/>
      <c r="E968" s="136"/>
      <c r="F968" s="136"/>
      <c r="G968" s="136"/>
      <c r="H968" s="138"/>
      <c r="I968" s="138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</row>
    <row r="969" ht="15.75" customHeight="1">
      <c r="A969" s="136"/>
      <c r="B969" s="137"/>
      <c r="C969" s="137"/>
      <c r="D969" s="136"/>
      <c r="E969" s="136"/>
      <c r="F969" s="136"/>
      <c r="G969" s="136"/>
      <c r="H969" s="138"/>
      <c r="I969" s="138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</row>
    <row r="970" ht="15.75" customHeight="1">
      <c r="A970" s="136"/>
      <c r="B970" s="137"/>
      <c r="C970" s="137"/>
      <c r="D970" s="136"/>
      <c r="E970" s="136"/>
      <c r="F970" s="136"/>
      <c r="G970" s="136"/>
      <c r="H970" s="138"/>
      <c r="I970" s="138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</row>
    <row r="971" ht="15.75" customHeight="1">
      <c r="A971" s="136"/>
      <c r="B971" s="137"/>
      <c r="C971" s="137"/>
      <c r="D971" s="136"/>
      <c r="E971" s="136"/>
      <c r="F971" s="136"/>
      <c r="G971" s="136"/>
      <c r="H971" s="138"/>
      <c r="I971" s="138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</row>
    <row r="972" ht="15.75" customHeight="1">
      <c r="A972" s="136"/>
      <c r="B972" s="137"/>
      <c r="C972" s="137"/>
      <c r="D972" s="136"/>
      <c r="E972" s="136"/>
      <c r="F972" s="136"/>
      <c r="G972" s="136"/>
      <c r="H972" s="138"/>
      <c r="I972" s="138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</row>
    <row r="973" ht="15.75" customHeight="1">
      <c r="A973" s="136"/>
      <c r="B973" s="137"/>
      <c r="C973" s="137"/>
      <c r="D973" s="136"/>
      <c r="E973" s="136"/>
      <c r="F973" s="136"/>
      <c r="G973" s="136"/>
      <c r="H973" s="138"/>
      <c r="I973" s="138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</row>
    <row r="974" ht="15.75" customHeight="1">
      <c r="A974" s="136"/>
      <c r="B974" s="137"/>
      <c r="C974" s="137"/>
      <c r="D974" s="136"/>
      <c r="E974" s="136"/>
      <c r="F974" s="136"/>
      <c r="G974" s="136"/>
      <c r="H974" s="138"/>
      <c r="I974" s="138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</row>
    <row r="975" ht="15.75" customHeight="1">
      <c r="A975" s="136"/>
      <c r="B975" s="137"/>
      <c r="C975" s="137"/>
      <c r="D975" s="136"/>
      <c r="E975" s="136"/>
      <c r="F975" s="136"/>
      <c r="G975" s="136"/>
      <c r="H975" s="138"/>
      <c r="I975" s="138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</row>
    <row r="976" ht="15.75" customHeight="1">
      <c r="A976" s="136"/>
      <c r="B976" s="137"/>
      <c r="C976" s="137"/>
      <c r="D976" s="136"/>
      <c r="E976" s="136"/>
      <c r="F976" s="136"/>
      <c r="G976" s="136"/>
      <c r="H976" s="138"/>
      <c r="I976" s="138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</row>
    <row r="977" ht="15.75" customHeight="1">
      <c r="A977" s="136"/>
      <c r="B977" s="137"/>
      <c r="C977" s="137"/>
      <c r="D977" s="136"/>
      <c r="E977" s="136"/>
      <c r="F977" s="136"/>
      <c r="G977" s="136"/>
      <c r="H977" s="138"/>
      <c r="I977" s="138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</row>
    <row r="978" ht="15.75" customHeight="1">
      <c r="A978" s="136"/>
      <c r="B978" s="137"/>
      <c r="C978" s="137"/>
      <c r="D978" s="136"/>
      <c r="E978" s="136"/>
      <c r="F978" s="136"/>
      <c r="G978" s="136"/>
      <c r="H978" s="138"/>
      <c r="I978" s="138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6"/>
    </row>
    <row r="979" ht="15.75" customHeight="1">
      <c r="A979" s="136"/>
      <c r="B979" s="137"/>
      <c r="C979" s="137"/>
      <c r="D979" s="136"/>
      <c r="E979" s="136"/>
      <c r="F979" s="136"/>
      <c r="G979" s="136"/>
      <c r="H979" s="138"/>
      <c r="I979" s="138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6"/>
    </row>
  </sheetData>
  <mergeCells count="2">
    <mergeCell ref="L4:L9"/>
    <mergeCell ref="B11:F15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6.38"/>
    <col customWidth="1" min="3" max="3" width="12.0"/>
    <col customWidth="1" hidden="1" min="4" max="4" width="26.63"/>
    <col customWidth="1" hidden="1" min="5" max="5" width="29.5"/>
    <col customWidth="1" min="6" max="6" width="36.13"/>
    <col customWidth="1" min="7" max="7" width="6.25"/>
    <col customWidth="1" min="8" max="8" width="17.5"/>
    <col customWidth="1" min="9" max="9" width="13.5"/>
    <col customWidth="1" min="10" max="10" width="59.63"/>
    <col customWidth="1" min="11" max="11" width="53.63"/>
    <col customWidth="1" min="12" max="12" width="28.88"/>
    <col customWidth="1" min="13" max="30" width="7.63"/>
  </cols>
  <sheetData>
    <row r="1" ht="30.0" customHeight="1">
      <c r="A1" s="154"/>
      <c r="B1" s="155"/>
      <c r="C1" s="155"/>
      <c r="D1" s="154"/>
      <c r="E1" s="66"/>
      <c r="F1" s="154"/>
      <c r="G1" s="120"/>
      <c r="H1" s="156"/>
      <c r="I1" s="157"/>
      <c r="J1" s="120"/>
      <c r="K1" s="158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>
      <c r="A2" s="32"/>
      <c r="B2" s="159" t="s">
        <v>214</v>
      </c>
      <c r="C2" s="159"/>
      <c r="D2" s="32"/>
      <c r="E2" s="32"/>
      <c r="F2" s="32"/>
      <c r="G2" s="65"/>
      <c r="H2" s="67"/>
      <c r="I2" s="118"/>
      <c r="J2" s="65"/>
      <c r="K2" s="7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>
      <c r="A3" s="120"/>
      <c r="B3" s="121" t="s">
        <v>20</v>
      </c>
      <c r="C3" s="160" t="s">
        <v>22</v>
      </c>
      <c r="D3" s="121" t="s">
        <v>24</v>
      </c>
      <c r="E3" s="121" t="s">
        <v>26</v>
      </c>
      <c r="F3" s="79" t="s">
        <v>28</v>
      </c>
      <c r="G3" s="121" t="s">
        <v>30</v>
      </c>
      <c r="H3" s="80" t="s">
        <v>33</v>
      </c>
      <c r="I3" s="80" t="s">
        <v>36</v>
      </c>
      <c r="J3" s="160" t="s">
        <v>38</v>
      </c>
      <c r="K3" s="81" t="s">
        <v>41</v>
      </c>
      <c r="L3" s="121" t="s">
        <v>16</v>
      </c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</row>
    <row r="4">
      <c r="A4" s="32"/>
      <c r="B4" s="132">
        <v>1.0</v>
      </c>
      <c r="C4" s="132" t="str">
        <f t="shared" ref="C4:C17" si="1">IF(ISNUMBER(B4), "P04" &amp; TEXT(B4, "00"), "")</f>
        <v>P0401</v>
      </c>
      <c r="D4" s="161" t="s">
        <v>215</v>
      </c>
      <c r="E4" s="161" t="s">
        <v>216</v>
      </c>
      <c r="F4" s="84" t="str">
        <f t="shared" ref="F4:F5" si="2">CONCATENATE(E4," - ",D4)</f>
        <v>Passion &amp; Calamansi - Chanh dây và Tắc muối Đá xay </v>
      </c>
      <c r="G4" s="132" t="s">
        <v>89</v>
      </c>
      <c r="H4" s="162">
        <v>9.9</v>
      </c>
      <c r="I4" s="88">
        <f t="shared" ref="I4:I5" si="3">LET(v,H4*1.15,
i,INT(v),
d,v-i,
IF(d&lt;=0.2,
i-0.1,
IF(d&lt;=0.7,
i+0.5,
i+0.9)))
</f>
        <v>11.5</v>
      </c>
      <c r="J4" s="124" t="s">
        <v>217</v>
      </c>
      <c r="K4" s="90" t="s">
        <v>218</v>
      </c>
      <c r="L4" s="163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>
      <c r="A5" s="32"/>
      <c r="B5" s="132">
        <f>B4+1</f>
        <v>2</v>
      </c>
      <c r="C5" s="132" t="str">
        <f t="shared" si="1"/>
        <v>P0402</v>
      </c>
      <c r="D5" s="161" t="s">
        <v>219</v>
      </c>
      <c r="E5" s="161" t="s">
        <v>220</v>
      </c>
      <c r="F5" s="84" t="str">
        <f t="shared" si="2"/>
        <v>Pinacolada - Dừa khom đá xay</v>
      </c>
      <c r="G5" s="132" t="s">
        <v>89</v>
      </c>
      <c r="H5" s="162">
        <v>9.9</v>
      </c>
      <c r="I5" s="88">
        <f t="shared" si="3"/>
        <v>11.5</v>
      </c>
      <c r="J5" s="124" t="s">
        <v>221</v>
      </c>
      <c r="K5" s="90" t="s">
        <v>222</v>
      </c>
      <c r="L5" s="128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>
      <c r="A6" s="164"/>
      <c r="B6" s="165"/>
      <c r="C6" s="165" t="str">
        <f t="shared" si="1"/>
        <v/>
      </c>
      <c r="D6" s="166"/>
      <c r="E6" s="166"/>
      <c r="F6" s="167"/>
      <c r="G6" s="165"/>
      <c r="H6" s="168"/>
      <c r="I6" s="169"/>
      <c r="J6" s="169"/>
      <c r="K6" s="170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</row>
    <row r="7">
      <c r="A7" s="32"/>
      <c r="B7" s="132">
        <f>B5+1</f>
        <v>3</v>
      </c>
      <c r="C7" s="132" t="str">
        <f t="shared" si="1"/>
        <v>P0403</v>
      </c>
      <c r="D7" s="171" t="s">
        <v>223</v>
      </c>
      <c r="E7" s="171" t="s">
        <v>224</v>
      </c>
      <c r="F7" s="84" t="str">
        <f t="shared" ref="F7:F10" si="4">CONCATENATE(E7," - ",D7)</f>
        <v>Lychee &amp; Watermelon - Sinh Tố Dưa Hấu &amp; Vải</v>
      </c>
      <c r="G7" s="132" t="s">
        <v>89</v>
      </c>
      <c r="H7" s="162">
        <v>10.5</v>
      </c>
      <c r="I7" s="88">
        <f t="shared" ref="I7:I11" si="5">LET(v,H7*1.15,
i,INT(v),
d,v-i,
IF(d&lt;=0.2,
i-0.1,
IF(d&lt;=0.7,
i+0.5,
i+0.9)))
</f>
        <v>11.9</v>
      </c>
      <c r="J7" s="124" t="s">
        <v>225</v>
      </c>
      <c r="K7" s="90" t="s">
        <v>226</v>
      </c>
      <c r="L7" s="128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>
      <c r="A8" s="32"/>
      <c r="B8" s="132">
        <f>B7+1</f>
        <v>4</v>
      </c>
      <c r="C8" s="132" t="str">
        <f t="shared" si="1"/>
        <v>P0404</v>
      </c>
      <c r="D8" s="171" t="s">
        <v>227</v>
      </c>
      <c r="E8" s="171" t="s">
        <v>228</v>
      </c>
      <c r="F8" s="84" t="str">
        <f t="shared" si="4"/>
        <v>Mango Coconut - Sinh Tố Xoài Cốt Dừa</v>
      </c>
      <c r="G8" s="132" t="s">
        <v>89</v>
      </c>
      <c r="H8" s="126">
        <v>11.9</v>
      </c>
      <c r="I8" s="88">
        <f t="shared" si="5"/>
        <v>13.5</v>
      </c>
      <c r="J8" s="124" t="s">
        <v>229</v>
      </c>
      <c r="K8" s="90" t="s">
        <v>230</v>
      </c>
      <c r="L8" s="128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>
      <c r="A9" s="32"/>
      <c r="B9" s="124">
        <v>5.0</v>
      </c>
      <c r="C9" s="132" t="str">
        <f t="shared" si="1"/>
        <v>P0405</v>
      </c>
      <c r="D9" s="171" t="s">
        <v>231</v>
      </c>
      <c r="E9" s="171" t="s">
        <v>232</v>
      </c>
      <c r="F9" s="84" t="str">
        <f t="shared" si="4"/>
        <v>Strawberry Smoothie - Sinh Tố Dâu</v>
      </c>
      <c r="G9" s="132" t="s">
        <v>89</v>
      </c>
      <c r="H9" s="126">
        <v>9.9</v>
      </c>
      <c r="I9" s="88">
        <f t="shared" si="5"/>
        <v>11.5</v>
      </c>
      <c r="J9" s="124" t="s">
        <v>233</v>
      </c>
      <c r="K9" s="90" t="s">
        <v>234</v>
      </c>
      <c r="L9" s="128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>
      <c r="A10" s="32"/>
      <c r="B10" s="132">
        <f>B9+1</f>
        <v>6</v>
      </c>
      <c r="C10" s="132" t="str">
        <f t="shared" si="1"/>
        <v>P0406</v>
      </c>
      <c r="D10" s="171" t="s">
        <v>235</v>
      </c>
      <c r="E10" s="172" t="s">
        <v>236</v>
      </c>
      <c r="F10" s="84" t="str">
        <f t="shared" si="4"/>
        <v>Durian Smoothie - Sinh Tố Sầu Riêng</v>
      </c>
      <c r="G10" s="132" t="s">
        <v>89</v>
      </c>
      <c r="H10" s="126">
        <v>12.9</v>
      </c>
      <c r="I10" s="88">
        <f t="shared" si="5"/>
        <v>14.9</v>
      </c>
      <c r="J10" s="124" t="s">
        <v>237</v>
      </c>
      <c r="K10" s="90" t="s">
        <v>238</v>
      </c>
      <c r="L10" s="128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>
      <c r="A11" s="32"/>
      <c r="B11" s="124">
        <v>7.0</v>
      </c>
      <c r="C11" s="132" t="str">
        <f t="shared" si="1"/>
        <v>P0407</v>
      </c>
      <c r="D11" s="161" t="s">
        <v>239</v>
      </c>
      <c r="E11" s="161" t="s">
        <v>240</v>
      </c>
      <c r="F11" s="100" t="s">
        <v>241</v>
      </c>
      <c r="G11" s="124" t="s">
        <v>89</v>
      </c>
      <c r="H11" s="162">
        <v>11.5</v>
      </c>
      <c r="I11" s="88">
        <f t="shared" si="5"/>
        <v>13.5</v>
      </c>
      <c r="J11" s="124" t="s">
        <v>242</v>
      </c>
      <c r="K11" s="90" t="s">
        <v>243</v>
      </c>
      <c r="L11" s="163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>
      <c r="A12" s="173"/>
      <c r="B12" s="174"/>
      <c r="C12" s="174" t="str">
        <f t="shared" si="1"/>
        <v/>
      </c>
      <c r="D12" s="175"/>
      <c r="E12" s="175"/>
      <c r="F12" s="176"/>
      <c r="G12" s="177"/>
      <c r="H12" s="178"/>
      <c r="I12" s="177"/>
      <c r="J12" s="177"/>
      <c r="K12" s="179"/>
      <c r="L12" s="175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</row>
    <row r="13">
      <c r="A13" s="32"/>
      <c r="B13" s="48">
        <f>B11+1</f>
        <v>8</v>
      </c>
      <c r="C13" s="48" t="str">
        <f t="shared" si="1"/>
        <v>P0408</v>
      </c>
      <c r="D13" s="49" t="s">
        <v>244</v>
      </c>
      <c r="E13" s="49" t="s">
        <v>245</v>
      </c>
      <c r="F13" s="50" t="str">
        <f t="shared" ref="F13:F17" si="6">CONCATENATE(E13," - ",D13)</f>
        <v>Avocado Smoothie - Sinh Tố Bơ</v>
      </c>
      <c r="G13" s="48" t="s">
        <v>89</v>
      </c>
      <c r="H13" s="51">
        <v>10.5</v>
      </c>
      <c r="I13" s="88">
        <f t="shared" ref="I13:I17" si="7">LET(v,H13*1.15,
i,INT(v),
d,v-i,
IF(d&lt;=0.2,
i-0.1,
IF(d&lt;=0.7,
i+0.5,
i+0.9)))
</f>
        <v>11.9</v>
      </c>
      <c r="J13" s="180" t="s">
        <v>246</v>
      </c>
      <c r="K13" s="54" t="s">
        <v>247</v>
      </c>
      <c r="L13" s="128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>
      <c r="A14" s="32"/>
      <c r="B14" s="180">
        <v>9.0</v>
      </c>
      <c r="C14" s="180" t="str">
        <f t="shared" si="1"/>
        <v>P0409</v>
      </c>
      <c r="D14" s="49" t="s">
        <v>248</v>
      </c>
      <c r="E14" s="49" t="s">
        <v>249</v>
      </c>
      <c r="F14" s="50" t="str">
        <f t="shared" si="6"/>
        <v>Avocado, Coconut &amp; Black Sesame - Sinh Tố Bơ Dừa &amp; Mè Đen</v>
      </c>
      <c r="G14" s="48" t="s">
        <v>89</v>
      </c>
      <c r="H14" s="52">
        <v>13.9</v>
      </c>
      <c r="I14" s="88">
        <f t="shared" si="7"/>
        <v>15.9</v>
      </c>
      <c r="J14" s="180" t="s">
        <v>250</v>
      </c>
      <c r="K14" s="54" t="s">
        <v>251</v>
      </c>
      <c r="L14" s="128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>
      <c r="A15" s="32"/>
      <c r="B15" s="48">
        <f t="shared" ref="B15:B16" si="8">B14+1</f>
        <v>10</v>
      </c>
      <c r="C15" s="48" t="str">
        <f t="shared" si="1"/>
        <v>P0410</v>
      </c>
      <c r="D15" s="49" t="s">
        <v>252</v>
      </c>
      <c r="E15" s="181" t="s">
        <v>253</v>
      </c>
      <c r="F15" s="50" t="str">
        <f t="shared" si="6"/>
        <v>Avocado &amp; Coffee - Sinh Tố Bơ Cà Phê</v>
      </c>
      <c r="G15" s="48" t="s">
        <v>89</v>
      </c>
      <c r="H15" s="52">
        <v>10.5</v>
      </c>
      <c r="I15" s="88">
        <f t="shared" si="7"/>
        <v>11.9</v>
      </c>
      <c r="J15" s="180" t="s">
        <v>254</v>
      </c>
      <c r="K15" s="54" t="s">
        <v>255</v>
      </c>
      <c r="L15" s="128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ht="15.75" customHeight="1">
      <c r="A16" s="32"/>
      <c r="B16" s="48">
        <f t="shared" si="8"/>
        <v>11</v>
      </c>
      <c r="C16" s="48" t="str">
        <f t="shared" si="1"/>
        <v>P0411</v>
      </c>
      <c r="D16" s="49" t="s">
        <v>256</v>
      </c>
      <c r="E16" s="181" t="s">
        <v>257</v>
      </c>
      <c r="F16" s="50" t="str">
        <f t="shared" si="6"/>
        <v>Avocado &amp; Coconut - Sinh Tố Bơ Dừa</v>
      </c>
      <c r="G16" s="48" t="s">
        <v>89</v>
      </c>
      <c r="H16" s="52">
        <v>11.5</v>
      </c>
      <c r="I16" s="88">
        <f t="shared" si="7"/>
        <v>13.5</v>
      </c>
      <c r="J16" s="180" t="s">
        <v>258</v>
      </c>
      <c r="K16" s="54" t="s">
        <v>259</v>
      </c>
      <c r="L16" s="128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ht="15.75" customHeight="1">
      <c r="A17" s="32"/>
      <c r="B17" s="144">
        <v>12.0</v>
      </c>
      <c r="C17" s="144" t="str">
        <f t="shared" si="1"/>
        <v>P0412</v>
      </c>
      <c r="D17" s="182" t="s">
        <v>260</v>
      </c>
      <c r="E17" s="182" t="s">
        <v>261</v>
      </c>
      <c r="F17" s="183" t="str">
        <f t="shared" si="6"/>
        <v>Avocado Durian - Sinh Tố Bơ Sầu Riêng</v>
      </c>
      <c r="G17" s="184" t="s">
        <v>89</v>
      </c>
      <c r="H17" s="185">
        <v>12.9</v>
      </c>
      <c r="I17" s="88">
        <f t="shared" si="7"/>
        <v>14.9</v>
      </c>
      <c r="J17" s="144" t="s">
        <v>262</v>
      </c>
      <c r="K17" s="54" t="s">
        <v>263</v>
      </c>
      <c r="L17" s="186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ht="15.75" customHeight="1">
      <c r="A18" s="32"/>
      <c r="B18" s="65"/>
      <c r="C18" s="65"/>
      <c r="D18" s="32"/>
      <c r="E18" s="32"/>
      <c r="F18" s="32"/>
      <c r="G18" s="65"/>
      <c r="H18" s="67"/>
      <c r="I18" s="118"/>
      <c r="J18" s="65"/>
      <c r="K18" s="74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ht="15.75" customHeight="1">
      <c r="A19" s="32"/>
      <c r="B19" s="65"/>
      <c r="C19" s="65"/>
      <c r="D19" s="32"/>
      <c r="E19" s="32"/>
      <c r="F19" s="32"/>
      <c r="G19" s="65"/>
      <c r="H19" s="67"/>
      <c r="I19" s="118"/>
      <c r="J19" s="65"/>
      <c r="K19" s="74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ht="15.75" customHeight="1">
      <c r="A20" s="32"/>
      <c r="E20" s="66"/>
      <c r="F20" s="155" t="s">
        <v>264</v>
      </c>
      <c r="G20" s="155"/>
      <c r="H20" s="154" t="s">
        <v>265</v>
      </c>
      <c r="I20" s="118"/>
      <c r="J20" s="65"/>
      <c r="K20" s="74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ht="15.75" customHeight="1">
      <c r="A21" s="32"/>
      <c r="B21" s="69"/>
      <c r="G21" s="65"/>
      <c r="H21" s="67"/>
      <c r="I21" s="118"/>
      <c r="J21" s="65"/>
      <c r="K21" s="74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ht="15.75" customHeight="1">
      <c r="A22" s="32"/>
      <c r="B22" s="70"/>
      <c r="C22" s="70"/>
      <c r="D22" s="71"/>
      <c r="G22" s="65"/>
      <c r="H22" s="67"/>
      <c r="I22" s="118"/>
      <c r="J22" s="65"/>
      <c r="K22" s="74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ht="15.75" customHeight="1">
      <c r="A23" s="32"/>
      <c r="B23" s="70"/>
      <c r="C23" s="70"/>
      <c r="D23" s="71"/>
      <c r="G23" s="65"/>
      <c r="H23" s="67"/>
      <c r="I23" s="118"/>
      <c r="J23" s="65"/>
      <c r="K23" s="74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ht="15.75" customHeight="1">
      <c r="A24" s="32"/>
      <c r="B24" s="25"/>
      <c r="C24" s="25"/>
      <c r="D24" s="117"/>
      <c r="G24" s="65"/>
      <c r="H24" s="67"/>
      <c r="I24" s="118"/>
      <c r="J24" s="65"/>
      <c r="K24" s="74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ht="15.75" customHeight="1">
      <c r="A25" s="32"/>
      <c r="B25" s="65"/>
      <c r="C25" s="65"/>
      <c r="D25" s="32"/>
      <c r="E25" s="32"/>
      <c r="F25" s="32"/>
      <c r="G25" s="65"/>
      <c r="H25" s="67"/>
      <c r="I25" s="118"/>
      <c r="J25" s="65"/>
      <c r="K25" s="74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ht="15.75" customHeight="1">
      <c r="A26" s="32"/>
      <c r="B26" s="65"/>
      <c r="C26" s="65"/>
      <c r="D26" s="32"/>
      <c r="E26" s="32"/>
      <c r="F26" s="32"/>
      <c r="G26" s="65"/>
      <c r="H26" s="67"/>
      <c r="I26" s="118"/>
      <c r="J26" s="65"/>
      <c r="K26" s="74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ht="15.75" customHeight="1">
      <c r="A27" s="32"/>
      <c r="B27" s="65"/>
      <c r="C27" s="65"/>
      <c r="D27" s="32"/>
      <c r="E27" s="32"/>
      <c r="F27" s="32"/>
      <c r="G27" s="65"/>
      <c r="H27" s="67"/>
      <c r="I27" s="118"/>
      <c r="J27" s="65"/>
      <c r="K27" s="74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ht="15.75" customHeight="1">
      <c r="A28" s="32"/>
      <c r="B28" s="65"/>
      <c r="C28" s="65"/>
      <c r="D28" s="32"/>
      <c r="E28" s="32"/>
      <c r="F28" s="32"/>
      <c r="G28" s="65"/>
      <c r="H28" s="67"/>
      <c r="I28" s="118"/>
      <c r="J28" s="65"/>
      <c r="K28" s="74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ht="15.75" customHeight="1">
      <c r="A29" s="32"/>
      <c r="B29" s="65"/>
      <c r="C29" s="65"/>
      <c r="D29" s="32"/>
      <c r="E29" s="32"/>
      <c r="F29" s="32"/>
      <c r="G29" s="65"/>
      <c r="H29" s="67"/>
      <c r="I29" s="118"/>
      <c r="J29" s="65"/>
      <c r="K29" s="74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ht="15.75" customHeight="1">
      <c r="A30" s="32"/>
      <c r="B30" s="65"/>
      <c r="C30" s="65"/>
      <c r="D30" s="32"/>
      <c r="E30" s="32"/>
      <c r="F30" s="32"/>
      <c r="G30" s="65"/>
      <c r="H30" s="67"/>
      <c r="I30" s="118"/>
      <c r="J30" s="65"/>
      <c r="K30" s="74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ht="15.75" customHeight="1">
      <c r="A31" s="32"/>
      <c r="B31" s="65"/>
      <c r="C31" s="65"/>
      <c r="D31" s="32"/>
      <c r="E31" s="32"/>
      <c r="F31" s="32"/>
      <c r="G31" s="65"/>
      <c r="H31" s="67"/>
      <c r="I31" s="118"/>
      <c r="J31" s="65"/>
      <c r="K31" s="74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ht="15.75" customHeight="1">
      <c r="A32" s="32"/>
      <c r="B32" s="65"/>
      <c r="C32" s="65"/>
      <c r="D32" s="32"/>
      <c r="E32" s="32"/>
      <c r="F32" s="32"/>
      <c r="G32" s="65"/>
      <c r="H32" s="67"/>
      <c r="I32" s="118"/>
      <c r="J32" s="65"/>
      <c r="K32" s="74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ht="15.75" customHeight="1">
      <c r="A33" s="32"/>
      <c r="B33" s="65"/>
      <c r="C33" s="65"/>
      <c r="D33" s="32"/>
      <c r="E33" s="32"/>
      <c r="F33" s="32"/>
      <c r="G33" s="65"/>
      <c r="H33" s="67"/>
      <c r="I33" s="118"/>
      <c r="J33" s="65"/>
      <c r="K33" s="74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ht="15.75" customHeight="1">
      <c r="A34" s="32"/>
      <c r="B34" s="65"/>
      <c r="C34" s="65"/>
      <c r="D34" s="32"/>
      <c r="E34" s="32"/>
      <c r="F34" s="32"/>
      <c r="G34" s="65"/>
      <c r="H34" s="67"/>
      <c r="I34" s="118"/>
      <c r="J34" s="65"/>
      <c r="K34" s="74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ht="15.75" customHeight="1">
      <c r="A35" s="32"/>
      <c r="B35" s="65"/>
      <c r="C35" s="65"/>
      <c r="D35" s="32"/>
      <c r="E35" s="32"/>
      <c r="F35" s="32"/>
      <c r="G35" s="65"/>
      <c r="H35" s="67"/>
      <c r="I35" s="118"/>
      <c r="J35" s="65"/>
      <c r="K35" s="74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ht="15.75" customHeight="1">
      <c r="A36" s="32"/>
      <c r="B36" s="65"/>
      <c r="C36" s="65"/>
      <c r="D36" s="32"/>
      <c r="E36" s="32"/>
      <c r="F36" s="32"/>
      <c r="G36" s="65"/>
      <c r="H36" s="67"/>
      <c r="I36" s="118"/>
      <c r="J36" s="65"/>
      <c r="K36" s="74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ht="15.75" customHeight="1">
      <c r="A37" s="32"/>
      <c r="B37" s="65"/>
      <c r="C37" s="65"/>
      <c r="D37" s="32"/>
      <c r="E37" s="32"/>
      <c r="F37" s="32"/>
      <c r="G37" s="65"/>
      <c r="H37" s="67"/>
      <c r="I37" s="118"/>
      <c r="J37" s="65"/>
      <c r="K37" s="74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ht="15.75" customHeight="1">
      <c r="A38" s="32"/>
      <c r="B38" s="65"/>
      <c r="C38" s="65"/>
      <c r="D38" s="32"/>
      <c r="E38" s="32"/>
      <c r="F38" s="32"/>
      <c r="G38" s="65"/>
      <c r="H38" s="67"/>
      <c r="I38" s="118"/>
      <c r="J38" s="65"/>
      <c r="K38" s="74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ht="15.75" customHeight="1">
      <c r="A39" s="32"/>
      <c r="B39" s="65"/>
      <c r="C39" s="65"/>
      <c r="D39" s="32"/>
      <c r="E39" s="32"/>
      <c r="F39" s="32"/>
      <c r="G39" s="65"/>
      <c r="H39" s="67"/>
      <c r="I39" s="118"/>
      <c r="J39" s="65"/>
      <c r="K39" s="74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ht="15.75" customHeight="1">
      <c r="A40" s="32"/>
      <c r="B40" s="65"/>
      <c r="C40" s="65"/>
      <c r="D40" s="32"/>
      <c r="E40" s="32"/>
      <c r="F40" s="32"/>
      <c r="G40" s="65"/>
      <c r="H40" s="67"/>
      <c r="I40" s="118"/>
      <c r="J40" s="65"/>
      <c r="K40" s="74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ht="15.75" customHeight="1">
      <c r="A41" s="32"/>
      <c r="B41" s="65"/>
      <c r="C41" s="65"/>
      <c r="D41" s="32"/>
      <c r="E41" s="32"/>
      <c r="F41" s="32"/>
      <c r="G41" s="65"/>
      <c r="H41" s="67"/>
      <c r="I41" s="118"/>
      <c r="J41" s="65"/>
      <c r="K41" s="74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ht="15.75" customHeight="1">
      <c r="A42" s="32"/>
      <c r="B42" s="65"/>
      <c r="C42" s="65"/>
      <c r="D42" s="32"/>
      <c r="E42" s="32"/>
      <c r="F42" s="32"/>
      <c r="G42" s="65"/>
      <c r="H42" s="67"/>
      <c r="I42" s="118"/>
      <c r="J42" s="65"/>
      <c r="K42" s="74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ht="15.75" customHeight="1">
      <c r="A43" s="32"/>
      <c r="B43" s="65"/>
      <c r="C43" s="65"/>
      <c r="D43" s="32"/>
      <c r="E43" s="32"/>
      <c r="F43" s="32"/>
      <c r="G43" s="65"/>
      <c r="H43" s="67"/>
      <c r="I43" s="118"/>
      <c r="J43" s="65"/>
      <c r="K43" s="74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ht="15.75" customHeight="1">
      <c r="A44" s="32"/>
      <c r="B44" s="65"/>
      <c r="C44" s="65"/>
      <c r="D44" s="32"/>
      <c r="E44" s="32"/>
      <c r="F44" s="32"/>
      <c r="G44" s="65"/>
      <c r="H44" s="67"/>
      <c r="I44" s="118"/>
      <c r="J44" s="65"/>
      <c r="K44" s="74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ht="15.75" customHeight="1">
      <c r="A45" s="32"/>
      <c r="B45" s="65"/>
      <c r="C45" s="65"/>
      <c r="D45" s="32"/>
      <c r="E45" s="32"/>
      <c r="F45" s="32"/>
      <c r="G45" s="65"/>
      <c r="H45" s="67"/>
      <c r="I45" s="118"/>
      <c r="J45" s="65"/>
      <c r="K45" s="74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ht="15.75" customHeight="1">
      <c r="A46" s="32"/>
      <c r="B46" s="65"/>
      <c r="C46" s="65"/>
      <c r="D46" s="32"/>
      <c r="E46" s="32"/>
      <c r="F46" s="32"/>
      <c r="G46" s="65"/>
      <c r="H46" s="67"/>
      <c r="I46" s="118"/>
      <c r="J46" s="65"/>
      <c r="K46" s="74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ht="15.75" customHeight="1">
      <c r="A47" s="32"/>
      <c r="B47" s="65"/>
      <c r="C47" s="65"/>
      <c r="D47" s="32"/>
      <c r="E47" s="32"/>
      <c r="F47" s="32"/>
      <c r="G47" s="65"/>
      <c r="H47" s="67"/>
      <c r="I47" s="118"/>
      <c r="J47" s="65"/>
      <c r="K47" s="74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ht="15.75" customHeight="1">
      <c r="A48" s="32"/>
      <c r="B48" s="65"/>
      <c r="C48" s="65"/>
      <c r="D48" s="32"/>
      <c r="E48" s="32"/>
      <c r="F48" s="32"/>
      <c r="G48" s="65"/>
      <c r="H48" s="67"/>
      <c r="I48" s="118"/>
      <c r="J48" s="65"/>
      <c r="K48" s="74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15.75" customHeight="1">
      <c r="A49" s="32"/>
      <c r="B49" s="65"/>
      <c r="C49" s="65"/>
      <c r="D49" s="32"/>
      <c r="E49" s="32"/>
      <c r="F49" s="32"/>
      <c r="G49" s="65"/>
      <c r="H49" s="67"/>
      <c r="I49" s="118"/>
      <c r="J49" s="65"/>
      <c r="K49" s="74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ht="15.75" customHeight="1">
      <c r="A50" s="32"/>
      <c r="B50" s="65"/>
      <c r="C50" s="65"/>
      <c r="D50" s="32"/>
      <c r="E50" s="32"/>
      <c r="F50" s="32"/>
      <c r="G50" s="65"/>
      <c r="H50" s="67"/>
      <c r="I50" s="118"/>
      <c r="J50" s="65"/>
      <c r="K50" s="74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ht="15.75" customHeight="1">
      <c r="A51" s="32"/>
      <c r="B51" s="65"/>
      <c r="C51" s="65"/>
      <c r="D51" s="32"/>
      <c r="E51" s="32"/>
      <c r="F51" s="32"/>
      <c r="G51" s="65"/>
      <c r="H51" s="67"/>
      <c r="I51" s="118"/>
      <c r="J51" s="65"/>
      <c r="K51" s="74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ht="15.75" customHeight="1">
      <c r="A52" s="32"/>
      <c r="B52" s="65"/>
      <c r="C52" s="65"/>
      <c r="D52" s="32"/>
      <c r="E52" s="32"/>
      <c r="F52" s="32"/>
      <c r="G52" s="65"/>
      <c r="H52" s="67"/>
      <c r="I52" s="118"/>
      <c r="J52" s="65"/>
      <c r="K52" s="74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ht="15.75" customHeight="1">
      <c r="A53" s="32"/>
      <c r="B53" s="65"/>
      <c r="C53" s="65"/>
      <c r="D53" s="32"/>
      <c r="E53" s="32"/>
      <c r="F53" s="32"/>
      <c r="G53" s="65"/>
      <c r="H53" s="67"/>
      <c r="I53" s="118"/>
      <c r="J53" s="65"/>
      <c r="K53" s="74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ht="15.75" customHeight="1">
      <c r="A54" s="32"/>
      <c r="B54" s="65"/>
      <c r="C54" s="65"/>
      <c r="D54" s="32"/>
      <c r="E54" s="32"/>
      <c r="F54" s="32"/>
      <c r="G54" s="65"/>
      <c r="H54" s="67"/>
      <c r="I54" s="118"/>
      <c r="J54" s="65"/>
      <c r="K54" s="74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ht="15.75" customHeight="1">
      <c r="A55" s="32"/>
      <c r="B55" s="65"/>
      <c r="C55" s="65"/>
      <c r="D55" s="32"/>
      <c r="E55" s="32"/>
      <c r="F55" s="32"/>
      <c r="G55" s="65"/>
      <c r="H55" s="67"/>
      <c r="I55" s="118"/>
      <c r="J55" s="65"/>
      <c r="K55" s="74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ht="15.75" customHeight="1">
      <c r="A56" s="32"/>
      <c r="B56" s="65"/>
      <c r="C56" s="65"/>
      <c r="D56" s="32"/>
      <c r="E56" s="32"/>
      <c r="F56" s="32"/>
      <c r="G56" s="65"/>
      <c r="H56" s="67"/>
      <c r="I56" s="118"/>
      <c r="J56" s="65"/>
      <c r="K56" s="74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ht="15.75" customHeight="1">
      <c r="A57" s="32"/>
      <c r="B57" s="65"/>
      <c r="C57" s="65"/>
      <c r="D57" s="32"/>
      <c r="E57" s="32"/>
      <c r="F57" s="32"/>
      <c r="G57" s="65"/>
      <c r="H57" s="67"/>
      <c r="I57" s="118"/>
      <c r="J57" s="65"/>
      <c r="K57" s="74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ht="15.75" customHeight="1">
      <c r="A58" s="32"/>
      <c r="B58" s="65"/>
      <c r="C58" s="65"/>
      <c r="D58" s="32"/>
      <c r="E58" s="32"/>
      <c r="F58" s="32"/>
      <c r="G58" s="65"/>
      <c r="H58" s="67"/>
      <c r="I58" s="118"/>
      <c r="J58" s="65"/>
      <c r="K58" s="74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ht="15.75" customHeight="1">
      <c r="A59" s="32"/>
      <c r="B59" s="65"/>
      <c r="C59" s="65"/>
      <c r="D59" s="32"/>
      <c r="E59" s="32"/>
      <c r="F59" s="32"/>
      <c r="G59" s="65"/>
      <c r="H59" s="67"/>
      <c r="I59" s="118"/>
      <c r="J59" s="65"/>
      <c r="K59" s="74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ht="15.75" customHeight="1">
      <c r="A60" s="32"/>
      <c r="B60" s="65"/>
      <c r="C60" s="65"/>
      <c r="D60" s="32"/>
      <c r="E60" s="32"/>
      <c r="F60" s="32"/>
      <c r="G60" s="65"/>
      <c r="H60" s="67"/>
      <c r="I60" s="118"/>
      <c r="J60" s="65"/>
      <c r="K60" s="74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ht="15.75" customHeight="1">
      <c r="A61" s="32"/>
      <c r="B61" s="65"/>
      <c r="C61" s="65"/>
      <c r="D61" s="32"/>
      <c r="E61" s="32"/>
      <c r="F61" s="32"/>
      <c r="G61" s="65"/>
      <c r="H61" s="67"/>
      <c r="I61" s="118"/>
      <c r="J61" s="65"/>
      <c r="K61" s="74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ht="15.75" customHeight="1">
      <c r="A62" s="32"/>
      <c r="B62" s="65"/>
      <c r="C62" s="65"/>
      <c r="D62" s="32"/>
      <c r="E62" s="32"/>
      <c r="F62" s="32"/>
      <c r="G62" s="65"/>
      <c r="H62" s="67"/>
      <c r="I62" s="118"/>
      <c r="J62" s="65"/>
      <c r="K62" s="74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ht="15.75" customHeight="1">
      <c r="A63" s="32"/>
      <c r="B63" s="65"/>
      <c r="C63" s="65"/>
      <c r="D63" s="32"/>
      <c r="E63" s="32"/>
      <c r="F63" s="32"/>
      <c r="G63" s="65"/>
      <c r="H63" s="67"/>
      <c r="I63" s="118"/>
      <c r="J63" s="65"/>
      <c r="K63" s="74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ht="15.75" customHeight="1">
      <c r="A64" s="32"/>
      <c r="B64" s="65"/>
      <c r="C64" s="65"/>
      <c r="D64" s="32"/>
      <c r="E64" s="32"/>
      <c r="F64" s="32"/>
      <c r="G64" s="65"/>
      <c r="H64" s="67"/>
      <c r="I64" s="118"/>
      <c r="J64" s="65"/>
      <c r="K64" s="74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ht="15.75" customHeight="1">
      <c r="A65" s="32"/>
      <c r="B65" s="65"/>
      <c r="C65" s="65"/>
      <c r="D65" s="32"/>
      <c r="E65" s="32"/>
      <c r="F65" s="32"/>
      <c r="G65" s="65"/>
      <c r="H65" s="67"/>
      <c r="I65" s="118"/>
      <c r="J65" s="65"/>
      <c r="K65" s="74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ht="15.75" customHeight="1">
      <c r="A66" s="32"/>
      <c r="B66" s="65"/>
      <c r="C66" s="65"/>
      <c r="D66" s="32"/>
      <c r="E66" s="32"/>
      <c r="F66" s="32"/>
      <c r="G66" s="65"/>
      <c r="H66" s="67"/>
      <c r="I66" s="118"/>
      <c r="J66" s="65"/>
      <c r="K66" s="74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ht="15.75" customHeight="1">
      <c r="A67" s="32"/>
      <c r="B67" s="65"/>
      <c r="C67" s="65"/>
      <c r="D67" s="32"/>
      <c r="E67" s="32"/>
      <c r="F67" s="32"/>
      <c r="G67" s="65"/>
      <c r="H67" s="67"/>
      <c r="I67" s="118"/>
      <c r="J67" s="65"/>
      <c r="K67" s="74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ht="15.75" customHeight="1">
      <c r="A68" s="32"/>
      <c r="B68" s="65"/>
      <c r="C68" s="65"/>
      <c r="D68" s="32"/>
      <c r="E68" s="32"/>
      <c r="F68" s="32"/>
      <c r="G68" s="65"/>
      <c r="H68" s="67"/>
      <c r="I68" s="118"/>
      <c r="J68" s="65"/>
      <c r="K68" s="74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ht="15.75" customHeight="1">
      <c r="A69" s="32"/>
      <c r="B69" s="65"/>
      <c r="C69" s="65"/>
      <c r="D69" s="32"/>
      <c r="E69" s="32"/>
      <c r="F69" s="32"/>
      <c r="G69" s="65"/>
      <c r="H69" s="67"/>
      <c r="I69" s="118"/>
      <c r="J69" s="65"/>
      <c r="K69" s="74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ht="15.75" customHeight="1">
      <c r="A70" s="32"/>
      <c r="B70" s="65"/>
      <c r="C70" s="65"/>
      <c r="D70" s="32"/>
      <c r="E70" s="32"/>
      <c r="F70" s="32"/>
      <c r="G70" s="65"/>
      <c r="H70" s="67"/>
      <c r="I70" s="118"/>
      <c r="J70" s="65"/>
      <c r="K70" s="74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ht="15.75" customHeight="1">
      <c r="A71" s="32"/>
      <c r="B71" s="65"/>
      <c r="C71" s="65"/>
      <c r="D71" s="32"/>
      <c r="E71" s="32"/>
      <c r="F71" s="32"/>
      <c r="G71" s="65"/>
      <c r="H71" s="67"/>
      <c r="I71" s="118"/>
      <c r="J71" s="65"/>
      <c r="K71" s="74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ht="15.75" customHeight="1">
      <c r="A72" s="32"/>
      <c r="B72" s="65"/>
      <c r="C72" s="65"/>
      <c r="D72" s="32"/>
      <c r="E72" s="32"/>
      <c r="F72" s="32"/>
      <c r="G72" s="65"/>
      <c r="H72" s="67"/>
      <c r="I72" s="118"/>
      <c r="J72" s="65"/>
      <c r="K72" s="74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ht="15.75" customHeight="1">
      <c r="A73" s="32"/>
      <c r="B73" s="65"/>
      <c r="C73" s="65"/>
      <c r="D73" s="32"/>
      <c r="E73" s="32"/>
      <c r="F73" s="32"/>
      <c r="G73" s="65"/>
      <c r="H73" s="67"/>
      <c r="I73" s="118"/>
      <c r="J73" s="65"/>
      <c r="K73" s="74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ht="15.75" customHeight="1">
      <c r="A74" s="32"/>
      <c r="B74" s="65"/>
      <c r="C74" s="65"/>
      <c r="D74" s="32"/>
      <c r="E74" s="32"/>
      <c r="F74" s="32"/>
      <c r="G74" s="65"/>
      <c r="H74" s="67"/>
      <c r="I74" s="118"/>
      <c r="J74" s="65"/>
      <c r="K74" s="74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ht="15.75" customHeight="1">
      <c r="A75" s="32"/>
      <c r="B75" s="65"/>
      <c r="C75" s="65"/>
      <c r="D75" s="32"/>
      <c r="E75" s="32"/>
      <c r="F75" s="32"/>
      <c r="G75" s="65"/>
      <c r="H75" s="67"/>
      <c r="I75" s="118"/>
      <c r="J75" s="65"/>
      <c r="K75" s="74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ht="15.75" customHeight="1">
      <c r="A76" s="32"/>
      <c r="B76" s="65"/>
      <c r="C76" s="65"/>
      <c r="D76" s="32"/>
      <c r="E76" s="32"/>
      <c r="F76" s="32"/>
      <c r="G76" s="65"/>
      <c r="H76" s="67"/>
      <c r="I76" s="118"/>
      <c r="J76" s="65"/>
      <c r="K76" s="74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ht="15.75" customHeight="1">
      <c r="A77" s="32"/>
      <c r="B77" s="65"/>
      <c r="C77" s="65"/>
      <c r="D77" s="32"/>
      <c r="E77" s="32"/>
      <c r="F77" s="32"/>
      <c r="G77" s="65"/>
      <c r="H77" s="67"/>
      <c r="I77" s="118"/>
      <c r="J77" s="65"/>
      <c r="K77" s="74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ht="15.75" customHeight="1">
      <c r="A78" s="32"/>
      <c r="B78" s="65"/>
      <c r="C78" s="65"/>
      <c r="D78" s="32"/>
      <c r="E78" s="32"/>
      <c r="F78" s="32"/>
      <c r="G78" s="65"/>
      <c r="H78" s="67"/>
      <c r="I78" s="118"/>
      <c r="J78" s="65"/>
      <c r="K78" s="74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ht="15.75" customHeight="1">
      <c r="A79" s="32"/>
      <c r="B79" s="65"/>
      <c r="C79" s="65"/>
      <c r="D79" s="32"/>
      <c r="E79" s="32"/>
      <c r="F79" s="32"/>
      <c r="G79" s="65"/>
      <c r="H79" s="67"/>
      <c r="I79" s="118"/>
      <c r="J79" s="65"/>
      <c r="K79" s="74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ht="15.75" customHeight="1">
      <c r="A80" s="32"/>
      <c r="B80" s="65"/>
      <c r="C80" s="65"/>
      <c r="D80" s="32"/>
      <c r="E80" s="32"/>
      <c r="F80" s="32"/>
      <c r="G80" s="65"/>
      <c r="H80" s="67"/>
      <c r="I80" s="118"/>
      <c r="J80" s="65"/>
      <c r="K80" s="74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ht="15.75" customHeight="1">
      <c r="A81" s="32"/>
      <c r="B81" s="65"/>
      <c r="C81" s="65"/>
      <c r="D81" s="32"/>
      <c r="E81" s="32"/>
      <c r="F81" s="32"/>
      <c r="G81" s="65"/>
      <c r="H81" s="67"/>
      <c r="I81" s="118"/>
      <c r="J81" s="65"/>
      <c r="K81" s="74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ht="15.75" customHeight="1">
      <c r="A82" s="32"/>
      <c r="B82" s="65"/>
      <c r="C82" s="65"/>
      <c r="D82" s="32"/>
      <c r="E82" s="32"/>
      <c r="F82" s="32"/>
      <c r="G82" s="65"/>
      <c r="H82" s="67"/>
      <c r="I82" s="118"/>
      <c r="J82" s="65"/>
      <c r="K82" s="74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ht="15.75" customHeight="1">
      <c r="A83" s="32"/>
      <c r="B83" s="65"/>
      <c r="C83" s="65"/>
      <c r="D83" s="32"/>
      <c r="E83" s="32"/>
      <c r="F83" s="32"/>
      <c r="G83" s="65"/>
      <c r="H83" s="67"/>
      <c r="I83" s="118"/>
      <c r="J83" s="65"/>
      <c r="K83" s="74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ht="15.75" customHeight="1">
      <c r="A84" s="32"/>
      <c r="B84" s="65"/>
      <c r="C84" s="65"/>
      <c r="D84" s="32"/>
      <c r="E84" s="32"/>
      <c r="F84" s="32"/>
      <c r="G84" s="65"/>
      <c r="H84" s="67"/>
      <c r="I84" s="118"/>
      <c r="J84" s="65"/>
      <c r="K84" s="74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ht="15.75" customHeight="1">
      <c r="A85" s="32"/>
      <c r="B85" s="65"/>
      <c r="C85" s="65"/>
      <c r="D85" s="32"/>
      <c r="E85" s="32"/>
      <c r="F85" s="32"/>
      <c r="G85" s="65"/>
      <c r="H85" s="67"/>
      <c r="I85" s="118"/>
      <c r="J85" s="65"/>
      <c r="K85" s="74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ht="15.75" customHeight="1">
      <c r="A86" s="32"/>
      <c r="B86" s="65"/>
      <c r="C86" s="65"/>
      <c r="D86" s="32"/>
      <c r="E86" s="32"/>
      <c r="F86" s="32"/>
      <c r="G86" s="65"/>
      <c r="H86" s="67"/>
      <c r="I86" s="118"/>
      <c r="J86" s="65"/>
      <c r="K86" s="74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ht="15.75" customHeight="1">
      <c r="A87" s="32"/>
      <c r="B87" s="65"/>
      <c r="C87" s="65"/>
      <c r="D87" s="32"/>
      <c r="E87" s="32"/>
      <c r="F87" s="32"/>
      <c r="G87" s="65"/>
      <c r="H87" s="67"/>
      <c r="I87" s="118"/>
      <c r="J87" s="65"/>
      <c r="K87" s="74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ht="15.75" customHeight="1">
      <c r="A88" s="32"/>
      <c r="B88" s="65"/>
      <c r="C88" s="65"/>
      <c r="D88" s="32"/>
      <c r="E88" s="32"/>
      <c r="F88" s="32"/>
      <c r="G88" s="65"/>
      <c r="H88" s="67"/>
      <c r="I88" s="118"/>
      <c r="J88" s="65"/>
      <c r="K88" s="74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ht="15.75" customHeight="1">
      <c r="A89" s="32"/>
      <c r="B89" s="65"/>
      <c r="C89" s="65"/>
      <c r="D89" s="32"/>
      <c r="E89" s="32"/>
      <c r="F89" s="32"/>
      <c r="G89" s="65"/>
      <c r="H89" s="67"/>
      <c r="I89" s="118"/>
      <c r="J89" s="65"/>
      <c r="K89" s="74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ht="15.75" customHeight="1">
      <c r="A90" s="32"/>
      <c r="B90" s="65"/>
      <c r="C90" s="65"/>
      <c r="D90" s="32"/>
      <c r="E90" s="32"/>
      <c r="F90" s="32"/>
      <c r="G90" s="65"/>
      <c r="H90" s="67"/>
      <c r="I90" s="118"/>
      <c r="J90" s="65"/>
      <c r="K90" s="74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ht="15.75" customHeight="1">
      <c r="A91" s="32"/>
      <c r="B91" s="65"/>
      <c r="C91" s="65"/>
      <c r="D91" s="32"/>
      <c r="E91" s="32"/>
      <c r="F91" s="32"/>
      <c r="G91" s="65"/>
      <c r="H91" s="67"/>
      <c r="I91" s="118"/>
      <c r="J91" s="65"/>
      <c r="K91" s="74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ht="15.75" customHeight="1">
      <c r="A92" s="32"/>
      <c r="B92" s="65"/>
      <c r="C92" s="65"/>
      <c r="D92" s="32"/>
      <c r="E92" s="32"/>
      <c r="F92" s="32"/>
      <c r="G92" s="65"/>
      <c r="H92" s="67"/>
      <c r="I92" s="118"/>
      <c r="J92" s="65"/>
      <c r="K92" s="74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ht="15.75" customHeight="1">
      <c r="A93" s="32"/>
      <c r="B93" s="65"/>
      <c r="C93" s="65"/>
      <c r="D93" s="32"/>
      <c r="E93" s="32"/>
      <c r="F93" s="32"/>
      <c r="G93" s="65"/>
      <c r="H93" s="67"/>
      <c r="I93" s="118"/>
      <c r="J93" s="65"/>
      <c r="K93" s="74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ht="15.75" customHeight="1">
      <c r="A94" s="32"/>
      <c r="B94" s="65"/>
      <c r="C94" s="65"/>
      <c r="D94" s="32"/>
      <c r="E94" s="32"/>
      <c r="F94" s="32"/>
      <c r="G94" s="65"/>
      <c r="H94" s="67"/>
      <c r="I94" s="118"/>
      <c r="J94" s="65"/>
      <c r="K94" s="74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ht="15.75" customHeight="1">
      <c r="A95" s="32"/>
      <c r="B95" s="65"/>
      <c r="C95" s="65"/>
      <c r="D95" s="32"/>
      <c r="E95" s="32"/>
      <c r="F95" s="32"/>
      <c r="G95" s="65"/>
      <c r="H95" s="67"/>
      <c r="I95" s="118"/>
      <c r="J95" s="65"/>
      <c r="K95" s="74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ht="15.75" customHeight="1">
      <c r="A96" s="32"/>
      <c r="B96" s="65"/>
      <c r="C96" s="65"/>
      <c r="D96" s="32"/>
      <c r="E96" s="32"/>
      <c r="F96" s="32"/>
      <c r="G96" s="65"/>
      <c r="H96" s="67"/>
      <c r="I96" s="118"/>
      <c r="J96" s="65"/>
      <c r="K96" s="74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ht="15.75" customHeight="1">
      <c r="A97" s="32"/>
      <c r="B97" s="65"/>
      <c r="C97" s="65"/>
      <c r="D97" s="32"/>
      <c r="E97" s="32"/>
      <c r="F97" s="32"/>
      <c r="G97" s="65"/>
      <c r="H97" s="67"/>
      <c r="I97" s="118"/>
      <c r="J97" s="65"/>
      <c r="K97" s="74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ht="15.75" customHeight="1">
      <c r="A98" s="32"/>
      <c r="B98" s="65"/>
      <c r="C98" s="65"/>
      <c r="D98" s="32"/>
      <c r="E98" s="32"/>
      <c r="F98" s="32"/>
      <c r="G98" s="65"/>
      <c r="H98" s="67"/>
      <c r="I98" s="118"/>
      <c r="J98" s="65"/>
      <c r="K98" s="74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ht="15.75" customHeight="1">
      <c r="A99" s="32"/>
      <c r="B99" s="65"/>
      <c r="C99" s="65"/>
      <c r="D99" s="32"/>
      <c r="E99" s="32"/>
      <c r="F99" s="32"/>
      <c r="G99" s="65"/>
      <c r="H99" s="67"/>
      <c r="I99" s="118"/>
      <c r="J99" s="65"/>
      <c r="K99" s="74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ht="15.75" customHeight="1">
      <c r="A100" s="32"/>
      <c r="B100" s="65"/>
      <c r="C100" s="65"/>
      <c r="D100" s="32"/>
      <c r="E100" s="32"/>
      <c r="F100" s="32"/>
      <c r="G100" s="65"/>
      <c r="H100" s="67"/>
      <c r="I100" s="118"/>
      <c r="J100" s="65"/>
      <c r="K100" s="74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ht="15.75" customHeight="1">
      <c r="A101" s="32"/>
      <c r="B101" s="65"/>
      <c r="C101" s="65"/>
      <c r="D101" s="32"/>
      <c r="E101" s="32"/>
      <c r="F101" s="32"/>
      <c r="G101" s="65"/>
      <c r="H101" s="67"/>
      <c r="I101" s="118"/>
      <c r="J101" s="65"/>
      <c r="K101" s="74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ht="15.75" customHeight="1">
      <c r="A102" s="32"/>
      <c r="B102" s="65"/>
      <c r="C102" s="65"/>
      <c r="D102" s="32"/>
      <c r="E102" s="32"/>
      <c r="F102" s="32"/>
      <c r="G102" s="65"/>
      <c r="H102" s="67"/>
      <c r="I102" s="118"/>
      <c r="J102" s="65"/>
      <c r="K102" s="74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ht="15.75" customHeight="1">
      <c r="A103" s="32"/>
      <c r="B103" s="65"/>
      <c r="C103" s="65"/>
      <c r="D103" s="32"/>
      <c r="E103" s="32"/>
      <c r="F103" s="32"/>
      <c r="G103" s="65"/>
      <c r="H103" s="67"/>
      <c r="I103" s="118"/>
      <c r="J103" s="65"/>
      <c r="K103" s="74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ht="15.75" customHeight="1">
      <c r="A104" s="32"/>
      <c r="B104" s="65"/>
      <c r="C104" s="65"/>
      <c r="D104" s="32"/>
      <c r="E104" s="32"/>
      <c r="F104" s="32"/>
      <c r="G104" s="65"/>
      <c r="H104" s="67"/>
      <c r="I104" s="118"/>
      <c r="J104" s="65"/>
      <c r="K104" s="74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ht="15.75" customHeight="1">
      <c r="A105" s="32"/>
      <c r="B105" s="65"/>
      <c r="C105" s="65"/>
      <c r="D105" s="32"/>
      <c r="E105" s="32"/>
      <c r="F105" s="32"/>
      <c r="G105" s="65"/>
      <c r="H105" s="67"/>
      <c r="I105" s="118"/>
      <c r="J105" s="65"/>
      <c r="K105" s="74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ht="15.75" customHeight="1">
      <c r="A106" s="32"/>
      <c r="B106" s="65"/>
      <c r="C106" s="65"/>
      <c r="D106" s="32"/>
      <c r="E106" s="32"/>
      <c r="F106" s="32"/>
      <c r="G106" s="65"/>
      <c r="H106" s="67"/>
      <c r="I106" s="118"/>
      <c r="J106" s="65"/>
      <c r="K106" s="74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ht="15.75" customHeight="1">
      <c r="A107" s="32"/>
      <c r="B107" s="65"/>
      <c r="C107" s="65"/>
      <c r="D107" s="32"/>
      <c r="E107" s="32"/>
      <c r="F107" s="32"/>
      <c r="G107" s="65"/>
      <c r="H107" s="67"/>
      <c r="I107" s="118"/>
      <c r="J107" s="65"/>
      <c r="K107" s="74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ht="15.75" customHeight="1">
      <c r="A108" s="32"/>
      <c r="B108" s="65"/>
      <c r="C108" s="65"/>
      <c r="D108" s="32"/>
      <c r="E108" s="32"/>
      <c r="F108" s="32"/>
      <c r="G108" s="65"/>
      <c r="H108" s="67"/>
      <c r="I108" s="118"/>
      <c r="J108" s="65"/>
      <c r="K108" s="74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ht="15.75" customHeight="1">
      <c r="A109" s="32"/>
      <c r="B109" s="65"/>
      <c r="C109" s="65"/>
      <c r="D109" s="32"/>
      <c r="E109" s="32"/>
      <c r="F109" s="32"/>
      <c r="G109" s="65"/>
      <c r="H109" s="67"/>
      <c r="I109" s="118"/>
      <c r="J109" s="65"/>
      <c r="K109" s="74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ht="15.75" customHeight="1">
      <c r="A110" s="32"/>
      <c r="B110" s="65"/>
      <c r="C110" s="65"/>
      <c r="D110" s="32"/>
      <c r="E110" s="32"/>
      <c r="F110" s="32"/>
      <c r="G110" s="65"/>
      <c r="H110" s="67"/>
      <c r="I110" s="118"/>
      <c r="J110" s="65"/>
      <c r="K110" s="74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ht="15.75" customHeight="1">
      <c r="A111" s="32"/>
      <c r="B111" s="65"/>
      <c r="C111" s="65"/>
      <c r="D111" s="32"/>
      <c r="E111" s="32"/>
      <c r="F111" s="32"/>
      <c r="G111" s="65"/>
      <c r="H111" s="67"/>
      <c r="I111" s="118"/>
      <c r="J111" s="65"/>
      <c r="K111" s="74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ht="15.75" customHeight="1">
      <c r="A112" s="32"/>
      <c r="B112" s="65"/>
      <c r="C112" s="65"/>
      <c r="D112" s="32"/>
      <c r="E112" s="32"/>
      <c r="F112" s="32"/>
      <c r="G112" s="65"/>
      <c r="H112" s="67"/>
      <c r="I112" s="118"/>
      <c r="J112" s="65"/>
      <c r="K112" s="74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ht="15.75" customHeight="1">
      <c r="A113" s="32"/>
      <c r="B113" s="65"/>
      <c r="C113" s="65"/>
      <c r="D113" s="32"/>
      <c r="E113" s="32"/>
      <c r="F113" s="32"/>
      <c r="G113" s="65"/>
      <c r="H113" s="67"/>
      <c r="I113" s="118"/>
      <c r="J113" s="65"/>
      <c r="K113" s="74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ht="15.75" customHeight="1">
      <c r="A114" s="32"/>
      <c r="B114" s="65"/>
      <c r="C114" s="65"/>
      <c r="D114" s="32"/>
      <c r="E114" s="32"/>
      <c r="F114" s="32"/>
      <c r="G114" s="65"/>
      <c r="H114" s="67"/>
      <c r="I114" s="118"/>
      <c r="J114" s="65"/>
      <c r="K114" s="74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 ht="15.75" customHeight="1">
      <c r="A115" s="32"/>
      <c r="B115" s="65"/>
      <c r="C115" s="65"/>
      <c r="D115" s="32"/>
      <c r="E115" s="32"/>
      <c r="F115" s="32"/>
      <c r="G115" s="65"/>
      <c r="H115" s="67"/>
      <c r="I115" s="118"/>
      <c r="J115" s="65"/>
      <c r="K115" s="74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 ht="15.75" customHeight="1">
      <c r="A116" s="32"/>
      <c r="B116" s="65"/>
      <c r="C116" s="65"/>
      <c r="D116" s="32"/>
      <c r="E116" s="32"/>
      <c r="F116" s="32"/>
      <c r="G116" s="65"/>
      <c r="H116" s="67"/>
      <c r="I116" s="118"/>
      <c r="J116" s="65"/>
      <c r="K116" s="74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 ht="15.75" customHeight="1">
      <c r="A117" s="32"/>
      <c r="B117" s="65"/>
      <c r="C117" s="65"/>
      <c r="D117" s="32"/>
      <c r="E117" s="32"/>
      <c r="F117" s="32"/>
      <c r="G117" s="65"/>
      <c r="H117" s="67"/>
      <c r="I117" s="118"/>
      <c r="J117" s="65"/>
      <c r="K117" s="74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 ht="15.75" customHeight="1">
      <c r="A118" s="32"/>
      <c r="B118" s="65"/>
      <c r="C118" s="65"/>
      <c r="D118" s="32"/>
      <c r="E118" s="32"/>
      <c r="F118" s="32"/>
      <c r="G118" s="65"/>
      <c r="H118" s="67"/>
      <c r="I118" s="118"/>
      <c r="J118" s="65"/>
      <c r="K118" s="74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 ht="15.75" customHeight="1">
      <c r="A119" s="32"/>
      <c r="B119" s="65"/>
      <c r="C119" s="65"/>
      <c r="D119" s="32"/>
      <c r="E119" s="32"/>
      <c r="F119" s="32"/>
      <c r="G119" s="65"/>
      <c r="H119" s="67"/>
      <c r="I119" s="118"/>
      <c r="J119" s="65"/>
      <c r="K119" s="74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 ht="15.75" customHeight="1">
      <c r="A120" s="32"/>
      <c r="B120" s="65"/>
      <c r="C120" s="65"/>
      <c r="D120" s="32"/>
      <c r="E120" s="32"/>
      <c r="F120" s="32"/>
      <c r="G120" s="65"/>
      <c r="H120" s="67"/>
      <c r="I120" s="118"/>
      <c r="J120" s="65"/>
      <c r="K120" s="74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 ht="15.75" customHeight="1">
      <c r="A121" s="32"/>
      <c r="B121" s="65"/>
      <c r="C121" s="65"/>
      <c r="D121" s="32"/>
      <c r="E121" s="32"/>
      <c r="F121" s="32"/>
      <c r="G121" s="65"/>
      <c r="H121" s="67"/>
      <c r="I121" s="118"/>
      <c r="J121" s="65"/>
      <c r="K121" s="74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 ht="15.75" customHeight="1">
      <c r="A122" s="32"/>
      <c r="B122" s="65"/>
      <c r="C122" s="65"/>
      <c r="D122" s="32"/>
      <c r="E122" s="32"/>
      <c r="F122" s="32"/>
      <c r="G122" s="65"/>
      <c r="H122" s="67"/>
      <c r="I122" s="118"/>
      <c r="J122" s="65"/>
      <c r="K122" s="74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 ht="15.75" customHeight="1">
      <c r="A123" s="32"/>
      <c r="B123" s="65"/>
      <c r="C123" s="65"/>
      <c r="D123" s="32"/>
      <c r="E123" s="32"/>
      <c r="F123" s="32"/>
      <c r="G123" s="65"/>
      <c r="H123" s="67"/>
      <c r="I123" s="118"/>
      <c r="J123" s="65"/>
      <c r="K123" s="74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 ht="15.75" customHeight="1">
      <c r="A124" s="32"/>
      <c r="B124" s="65"/>
      <c r="C124" s="65"/>
      <c r="D124" s="32"/>
      <c r="E124" s="32"/>
      <c r="F124" s="32"/>
      <c r="G124" s="65"/>
      <c r="H124" s="67"/>
      <c r="I124" s="118"/>
      <c r="J124" s="65"/>
      <c r="K124" s="74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 ht="15.75" customHeight="1">
      <c r="A125" s="32"/>
      <c r="B125" s="65"/>
      <c r="C125" s="65"/>
      <c r="D125" s="32"/>
      <c r="E125" s="32"/>
      <c r="F125" s="32"/>
      <c r="G125" s="65"/>
      <c r="H125" s="67"/>
      <c r="I125" s="118"/>
      <c r="J125" s="65"/>
      <c r="K125" s="74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 ht="15.75" customHeight="1">
      <c r="A126" s="32"/>
      <c r="B126" s="65"/>
      <c r="C126" s="65"/>
      <c r="D126" s="32"/>
      <c r="E126" s="32"/>
      <c r="F126" s="32"/>
      <c r="G126" s="65"/>
      <c r="H126" s="67"/>
      <c r="I126" s="118"/>
      <c r="J126" s="65"/>
      <c r="K126" s="74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 ht="15.75" customHeight="1">
      <c r="A127" s="32"/>
      <c r="B127" s="65"/>
      <c r="C127" s="65"/>
      <c r="D127" s="32"/>
      <c r="E127" s="32"/>
      <c r="F127" s="32"/>
      <c r="G127" s="65"/>
      <c r="H127" s="67"/>
      <c r="I127" s="118"/>
      <c r="J127" s="65"/>
      <c r="K127" s="74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 ht="15.75" customHeight="1">
      <c r="A128" s="32"/>
      <c r="B128" s="65"/>
      <c r="C128" s="65"/>
      <c r="D128" s="32"/>
      <c r="E128" s="32"/>
      <c r="F128" s="32"/>
      <c r="G128" s="65"/>
      <c r="H128" s="67"/>
      <c r="I128" s="118"/>
      <c r="J128" s="65"/>
      <c r="K128" s="74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ht="15.75" customHeight="1">
      <c r="A129" s="32"/>
      <c r="B129" s="65"/>
      <c r="C129" s="65"/>
      <c r="D129" s="32"/>
      <c r="E129" s="32"/>
      <c r="F129" s="32"/>
      <c r="G129" s="65"/>
      <c r="H129" s="67"/>
      <c r="I129" s="118"/>
      <c r="J129" s="65"/>
      <c r="K129" s="74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 ht="15.75" customHeight="1">
      <c r="A130" s="32"/>
      <c r="B130" s="65"/>
      <c r="C130" s="65"/>
      <c r="D130" s="32"/>
      <c r="E130" s="32"/>
      <c r="F130" s="32"/>
      <c r="G130" s="65"/>
      <c r="H130" s="67"/>
      <c r="I130" s="118"/>
      <c r="J130" s="65"/>
      <c r="K130" s="74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 ht="15.75" customHeight="1">
      <c r="A131" s="32"/>
      <c r="B131" s="65"/>
      <c r="C131" s="65"/>
      <c r="D131" s="32"/>
      <c r="E131" s="32"/>
      <c r="F131" s="32"/>
      <c r="G131" s="65"/>
      <c r="H131" s="67"/>
      <c r="I131" s="118"/>
      <c r="J131" s="65"/>
      <c r="K131" s="74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 ht="15.75" customHeight="1">
      <c r="A132" s="32"/>
      <c r="B132" s="65"/>
      <c r="C132" s="65"/>
      <c r="D132" s="32"/>
      <c r="E132" s="32"/>
      <c r="F132" s="32"/>
      <c r="G132" s="65"/>
      <c r="H132" s="67"/>
      <c r="I132" s="118"/>
      <c r="J132" s="65"/>
      <c r="K132" s="74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ht="15.75" customHeight="1">
      <c r="A133" s="32"/>
      <c r="B133" s="65"/>
      <c r="C133" s="65"/>
      <c r="D133" s="32"/>
      <c r="E133" s="32"/>
      <c r="F133" s="32"/>
      <c r="G133" s="65"/>
      <c r="H133" s="67"/>
      <c r="I133" s="118"/>
      <c r="J133" s="65"/>
      <c r="K133" s="74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ht="15.75" customHeight="1">
      <c r="A134" s="32"/>
      <c r="B134" s="65"/>
      <c r="C134" s="65"/>
      <c r="D134" s="32"/>
      <c r="E134" s="32"/>
      <c r="F134" s="32"/>
      <c r="G134" s="65"/>
      <c r="H134" s="67"/>
      <c r="I134" s="118"/>
      <c r="J134" s="65"/>
      <c r="K134" s="74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 ht="15.75" customHeight="1">
      <c r="A135" s="32"/>
      <c r="B135" s="65"/>
      <c r="C135" s="65"/>
      <c r="D135" s="32"/>
      <c r="E135" s="32"/>
      <c r="F135" s="32"/>
      <c r="G135" s="65"/>
      <c r="H135" s="67"/>
      <c r="I135" s="118"/>
      <c r="J135" s="65"/>
      <c r="K135" s="74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 ht="15.75" customHeight="1">
      <c r="A136" s="32"/>
      <c r="B136" s="65"/>
      <c r="C136" s="65"/>
      <c r="D136" s="32"/>
      <c r="E136" s="32"/>
      <c r="F136" s="32"/>
      <c r="G136" s="65"/>
      <c r="H136" s="67"/>
      <c r="I136" s="118"/>
      <c r="J136" s="65"/>
      <c r="K136" s="74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 ht="15.75" customHeight="1">
      <c r="A137" s="32"/>
      <c r="B137" s="65"/>
      <c r="C137" s="65"/>
      <c r="D137" s="32"/>
      <c r="E137" s="32"/>
      <c r="F137" s="32"/>
      <c r="G137" s="65"/>
      <c r="H137" s="67"/>
      <c r="I137" s="118"/>
      <c r="J137" s="65"/>
      <c r="K137" s="74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 ht="15.75" customHeight="1">
      <c r="A138" s="32"/>
      <c r="B138" s="65"/>
      <c r="C138" s="65"/>
      <c r="D138" s="32"/>
      <c r="E138" s="32"/>
      <c r="F138" s="32"/>
      <c r="G138" s="65"/>
      <c r="H138" s="67"/>
      <c r="I138" s="118"/>
      <c r="J138" s="65"/>
      <c r="K138" s="74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 ht="15.75" customHeight="1">
      <c r="A139" s="32"/>
      <c r="B139" s="65"/>
      <c r="C139" s="65"/>
      <c r="D139" s="32"/>
      <c r="E139" s="32"/>
      <c r="F139" s="32"/>
      <c r="G139" s="65"/>
      <c r="H139" s="67"/>
      <c r="I139" s="118"/>
      <c r="J139" s="65"/>
      <c r="K139" s="74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 ht="15.75" customHeight="1">
      <c r="A140" s="32"/>
      <c r="B140" s="65"/>
      <c r="C140" s="65"/>
      <c r="D140" s="32"/>
      <c r="E140" s="32"/>
      <c r="F140" s="32"/>
      <c r="G140" s="65"/>
      <c r="H140" s="67"/>
      <c r="I140" s="118"/>
      <c r="J140" s="65"/>
      <c r="K140" s="74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 ht="15.75" customHeight="1">
      <c r="A141" s="32"/>
      <c r="B141" s="65"/>
      <c r="C141" s="65"/>
      <c r="D141" s="32"/>
      <c r="E141" s="32"/>
      <c r="F141" s="32"/>
      <c r="G141" s="65"/>
      <c r="H141" s="67"/>
      <c r="I141" s="118"/>
      <c r="J141" s="65"/>
      <c r="K141" s="74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 ht="15.75" customHeight="1">
      <c r="A142" s="32"/>
      <c r="B142" s="65"/>
      <c r="C142" s="65"/>
      <c r="D142" s="32"/>
      <c r="E142" s="32"/>
      <c r="F142" s="32"/>
      <c r="G142" s="65"/>
      <c r="H142" s="67"/>
      <c r="I142" s="118"/>
      <c r="J142" s="65"/>
      <c r="K142" s="74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 ht="15.75" customHeight="1">
      <c r="A143" s="32"/>
      <c r="B143" s="65"/>
      <c r="C143" s="65"/>
      <c r="D143" s="32"/>
      <c r="E143" s="32"/>
      <c r="F143" s="32"/>
      <c r="G143" s="65"/>
      <c r="H143" s="67"/>
      <c r="I143" s="118"/>
      <c r="J143" s="65"/>
      <c r="K143" s="74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 ht="15.75" customHeight="1">
      <c r="A144" s="32"/>
      <c r="B144" s="65"/>
      <c r="C144" s="65"/>
      <c r="D144" s="32"/>
      <c r="E144" s="32"/>
      <c r="F144" s="32"/>
      <c r="G144" s="65"/>
      <c r="H144" s="67"/>
      <c r="I144" s="118"/>
      <c r="J144" s="65"/>
      <c r="K144" s="74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 ht="15.75" customHeight="1">
      <c r="A145" s="32"/>
      <c r="B145" s="65"/>
      <c r="C145" s="65"/>
      <c r="D145" s="32"/>
      <c r="E145" s="32"/>
      <c r="F145" s="32"/>
      <c r="G145" s="65"/>
      <c r="H145" s="67"/>
      <c r="I145" s="118"/>
      <c r="J145" s="65"/>
      <c r="K145" s="74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 ht="15.75" customHeight="1">
      <c r="A146" s="32"/>
      <c r="B146" s="65"/>
      <c r="C146" s="65"/>
      <c r="D146" s="32"/>
      <c r="E146" s="32"/>
      <c r="F146" s="32"/>
      <c r="G146" s="65"/>
      <c r="H146" s="67"/>
      <c r="I146" s="118"/>
      <c r="J146" s="65"/>
      <c r="K146" s="74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 ht="15.75" customHeight="1">
      <c r="A147" s="32"/>
      <c r="B147" s="65"/>
      <c r="C147" s="65"/>
      <c r="D147" s="32"/>
      <c r="E147" s="32"/>
      <c r="F147" s="32"/>
      <c r="G147" s="65"/>
      <c r="H147" s="67"/>
      <c r="I147" s="118"/>
      <c r="J147" s="65"/>
      <c r="K147" s="74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 ht="15.75" customHeight="1">
      <c r="A148" s="32"/>
      <c r="B148" s="65"/>
      <c r="C148" s="65"/>
      <c r="D148" s="32"/>
      <c r="E148" s="32"/>
      <c r="F148" s="32"/>
      <c r="G148" s="65"/>
      <c r="H148" s="67"/>
      <c r="I148" s="118"/>
      <c r="J148" s="65"/>
      <c r="K148" s="74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 ht="15.75" customHeight="1">
      <c r="A149" s="32"/>
      <c r="B149" s="65"/>
      <c r="C149" s="65"/>
      <c r="D149" s="32"/>
      <c r="E149" s="32"/>
      <c r="F149" s="32"/>
      <c r="G149" s="65"/>
      <c r="H149" s="67"/>
      <c r="I149" s="118"/>
      <c r="J149" s="65"/>
      <c r="K149" s="74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 ht="15.75" customHeight="1">
      <c r="A150" s="32"/>
      <c r="B150" s="65"/>
      <c r="C150" s="65"/>
      <c r="D150" s="32"/>
      <c r="E150" s="32"/>
      <c r="F150" s="32"/>
      <c r="G150" s="65"/>
      <c r="H150" s="67"/>
      <c r="I150" s="118"/>
      <c r="J150" s="65"/>
      <c r="K150" s="74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 ht="15.75" customHeight="1">
      <c r="A151" s="32"/>
      <c r="B151" s="65"/>
      <c r="C151" s="65"/>
      <c r="D151" s="32"/>
      <c r="E151" s="32"/>
      <c r="F151" s="32"/>
      <c r="G151" s="65"/>
      <c r="H151" s="67"/>
      <c r="I151" s="118"/>
      <c r="J151" s="65"/>
      <c r="K151" s="74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 ht="15.75" customHeight="1">
      <c r="A152" s="32"/>
      <c r="B152" s="65"/>
      <c r="C152" s="65"/>
      <c r="D152" s="32"/>
      <c r="E152" s="32"/>
      <c r="F152" s="32"/>
      <c r="G152" s="65"/>
      <c r="H152" s="67"/>
      <c r="I152" s="118"/>
      <c r="J152" s="65"/>
      <c r="K152" s="74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 ht="15.75" customHeight="1">
      <c r="A153" s="32"/>
      <c r="B153" s="65"/>
      <c r="C153" s="65"/>
      <c r="D153" s="32"/>
      <c r="E153" s="32"/>
      <c r="F153" s="32"/>
      <c r="G153" s="65"/>
      <c r="H153" s="67"/>
      <c r="I153" s="118"/>
      <c r="J153" s="65"/>
      <c r="K153" s="74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 ht="15.75" customHeight="1">
      <c r="A154" s="32"/>
      <c r="B154" s="65"/>
      <c r="C154" s="65"/>
      <c r="D154" s="32"/>
      <c r="E154" s="32"/>
      <c r="F154" s="32"/>
      <c r="G154" s="65"/>
      <c r="H154" s="67"/>
      <c r="I154" s="118"/>
      <c r="J154" s="65"/>
      <c r="K154" s="74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 ht="15.75" customHeight="1">
      <c r="A155" s="32"/>
      <c r="B155" s="65"/>
      <c r="C155" s="65"/>
      <c r="D155" s="32"/>
      <c r="E155" s="32"/>
      <c r="F155" s="32"/>
      <c r="G155" s="65"/>
      <c r="H155" s="67"/>
      <c r="I155" s="118"/>
      <c r="J155" s="65"/>
      <c r="K155" s="74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 ht="15.75" customHeight="1">
      <c r="A156" s="32"/>
      <c r="B156" s="65"/>
      <c r="C156" s="65"/>
      <c r="D156" s="32"/>
      <c r="E156" s="32"/>
      <c r="F156" s="32"/>
      <c r="G156" s="65"/>
      <c r="H156" s="67"/>
      <c r="I156" s="118"/>
      <c r="J156" s="65"/>
      <c r="K156" s="74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 ht="15.75" customHeight="1">
      <c r="A157" s="32"/>
      <c r="B157" s="65"/>
      <c r="C157" s="65"/>
      <c r="D157" s="32"/>
      <c r="E157" s="32"/>
      <c r="F157" s="32"/>
      <c r="G157" s="65"/>
      <c r="H157" s="67"/>
      <c r="I157" s="118"/>
      <c r="J157" s="65"/>
      <c r="K157" s="74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 ht="15.75" customHeight="1">
      <c r="A158" s="32"/>
      <c r="B158" s="65"/>
      <c r="C158" s="65"/>
      <c r="D158" s="32"/>
      <c r="E158" s="32"/>
      <c r="F158" s="32"/>
      <c r="G158" s="65"/>
      <c r="H158" s="67"/>
      <c r="I158" s="118"/>
      <c r="J158" s="65"/>
      <c r="K158" s="74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 ht="15.75" customHeight="1">
      <c r="A159" s="32"/>
      <c r="B159" s="65"/>
      <c r="C159" s="65"/>
      <c r="D159" s="32"/>
      <c r="E159" s="32"/>
      <c r="F159" s="32"/>
      <c r="G159" s="65"/>
      <c r="H159" s="67"/>
      <c r="I159" s="118"/>
      <c r="J159" s="65"/>
      <c r="K159" s="74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 ht="15.75" customHeight="1">
      <c r="A160" s="32"/>
      <c r="B160" s="65"/>
      <c r="C160" s="65"/>
      <c r="D160" s="32"/>
      <c r="E160" s="32"/>
      <c r="F160" s="32"/>
      <c r="G160" s="65"/>
      <c r="H160" s="67"/>
      <c r="I160" s="118"/>
      <c r="J160" s="65"/>
      <c r="K160" s="74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 ht="15.75" customHeight="1">
      <c r="A161" s="32"/>
      <c r="B161" s="65"/>
      <c r="C161" s="65"/>
      <c r="D161" s="32"/>
      <c r="E161" s="32"/>
      <c r="F161" s="32"/>
      <c r="G161" s="65"/>
      <c r="H161" s="67"/>
      <c r="I161" s="118"/>
      <c r="J161" s="65"/>
      <c r="K161" s="74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 ht="15.75" customHeight="1">
      <c r="A162" s="32"/>
      <c r="B162" s="65"/>
      <c r="C162" s="65"/>
      <c r="D162" s="32"/>
      <c r="E162" s="32"/>
      <c r="F162" s="32"/>
      <c r="G162" s="65"/>
      <c r="H162" s="67"/>
      <c r="I162" s="118"/>
      <c r="J162" s="65"/>
      <c r="K162" s="74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 ht="15.75" customHeight="1">
      <c r="A163" s="32"/>
      <c r="B163" s="65"/>
      <c r="C163" s="65"/>
      <c r="D163" s="32"/>
      <c r="E163" s="32"/>
      <c r="F163" s="32"/>
      <c r="G163" s="65"/>
      <c r="H163" s="67"/>
      <c r="I163" s="118"/>
      <c r="J163" s="65"/>
      <c r="K163" s="74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 ht="15.75" customHeight="1">
      <c r="A164" s="32"/>
      <c r="B164" s="65"/>
      <c r="C164" s="65"/>
      <c r="D164" s="32"/>
      <c r="E164" s="32"/>
      <c r="F164" s="32"/>
      <c r="G164" s="65"/>
      <c r="H164" s="67"/>
      <c r="I164" s="118"/>
      <c r="J164" s="65"/>
      <c r="K164" s="74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 ht="15.75" customHeight="1">
      <c r="A165" s="32"/>
      <c r="B165" s="65"/>
      <c r="C165" s="65"/>
      <c r="D165" s="32"/>
      <c r="E165" s="32"/>
      <c r="F165" s="32"/>
      <c r="G165" s="65"/>
      <c r="H165" s="67"/>
      <c r="I165" s="118"/>
      <c r="J165" s="65"/>
      <c r="K165" s="74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 ht="15.75" customHeight="1">
      <c r="A166" s="32"/>
      <c r="B166" s="65"/>
      <c r="C166" s="65"/>
      <c r="D166" s="32"/>
      <c r="E166" s="32"/>
      <c r="F166" s="32"/>
      <c r="G166" s="65"/>
      <c r="H166" s="67"/>
      <c r="I166" s="118"/>
      <c r="J166" s="65"/>
      <c r="K166" s="74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 ht="15.75" customHeight="1">
      <c r="A167" s="32"/>
      <c r="B167" s="65"/>
      <c r="C167" s="65"/>
      <c r="D167" s="32"/>
      <c r="E167" s="32"/>
      <c r="F167" s="32"/>
      <c r="G167" s="65"/>
      <c r="H167" s="67"/>
      <c r="I167" s="118"/>
      <c r="J167" s="65"/>
      <c r="K167" s="74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 ht="15.75" customHeight="1">
      <c r="A168" s="32"/>
      <c r="B168" s="65"/>
      <c r="C168" s="65"/>
      <c r="D168" s="32"/>
      <c r="E168" s="32"/>
      <c r="F168" s="32"/>
      <c r="G168" s="65"/>
      <c r="H168" s="67"/>
      <c r="I168" s="118"/>
      <c r="J168" s="65"/>
      <c r="K168" s="74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 ht="15.75" customHeight="1">
      <c r="A169" s="32"/>
      <c r="B169" s="65"/>
      <c r="C169" s="65"/>
      <c r="D169" s="32"/>
      <c r="E169" s="32"/>
      <c r="F169" s="32"/>
      <c r="G169" s="65"/>
      <c r="H169" s="67"/>
      <c r="I169" s="118"/>
      <c r="J169" s="65"/>
      <c r="K169" s="74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 ht="15.75" customHeight="1">
      <c r="A170" s="32"/>
      <c r="B170" s="65"/>
      <c r="C170" s="65"/>
      <c r="D170" s="32"/>
      <c r="E170" s="32"/>
      <c r="F170" s="32"/>
      <c r="G170" s="65"/>
      <c r="H170" s="67"/>
      <c r="I170" s="118"/>
      <c r="J170" s="65"/>
      <c r="K170" s="74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 ht="15.75" customHeight="1">
      <c r="A171" s="32"/>
      <c r="B171" s="65"/>
      <c r="C171" s="65"/>
      <c r="D171" s="32"/>
      <c r="E171" s="32"/>
      <c r="F171" s="32"/>
      <c r="G171" s="65"/>
      <c r="H171" s="67"/>
      <c r="I171" s="118"/>
      <c r="J171" s="65"/>
      <c r="K171" s="74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ht="15.75" customHeight="1">
      <c r="A172" s="32"/>
      <c r="B172" s="65"/>
      <c r="C172" s="65"/>
      <c r="D172" s="32"/>
      <c r="E172" s="32"/>
      <c r="F172" s="32"/>
      <c r="G172" s="65"/>
      <c r="H172" s="67"/>
      <c r="I172" s="118"/>
      <c r="J172" s="65"/>
      <c r="K172" s="74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 ht="15.75" customHeight="1">
      <c r="A173" s="32"/>
      <c r="B173" s="65"/>
      <c r="C173" s="65"/>
      <c r="D173" s="32"/>
      <c r="E173" s="32"/>
      <c r="F173" s="32"/>
      <c r="G173" s="65"/>
      <c r="H173" s="67"/>
      <c r="I173" s="118"/>
      <c r="J173" s="65"/>
      <c r="K173" s="74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ht="15.75" customHeight="1">
      <c r="A174" s="32"/>
      <c r="B174" s="65"/>
      <c r="C174" s="65"/>
      <c r="D174" s="32"/>
      <c r="E174" s="32"/>
      <c r="F174" s="32"/>
      <c r="G174" s="65"/>
      <c r="H174" s="67"/>
      <c r="I174" s="118"/>
      <c r="J174" s="65"/>
      <c r="K174" s="74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ht="15.75" customHeight="1">
      <c r="A175" s="32"/>
      <c r="B175" s="65"/>
      <c r="C175" s="65"/>
      <c r="D175" s="32"/>
      <c r="E175" s="32"/>
      <c r="F175" s="32"/>
      <c r="G175" s="65"/>
      <c r="H175" s="67"/>
      <c r="I175" s="118"/>
      <c r="J175" s="65"/>
      <c r="K175" s="74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 ht="15.75" customHeight="1">
      <c r="A176" s="32"/>
      <c r="B176" s="65"/>
      <c r="C176" s="65"/>
      <c r="D176" s="32"/>
      <c r="E176" s="32"/>
      <c r="F176" s="32"/>
      <c r="G176" s="65"/>
      <c r="H176" s="67"/>
      <c r="I176" s="118"/>
      <c r="J176" s="65"/>
      <c r="K176" s="74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 ht="15.75" customHeight="1">
      <c r="A177" s="32"/>
      <c r="B177" s="65"/>
      <c r="C177" s="65"/>
      <c r="D177" s="32"/>
      <c r="E177" s="32"/>
      <c r="F177" s="32"/>
      <c r="G177" s="65"/>
      <c r="H177" s="67"/>
      <c r="I177" s="118"/>
      <c r="J177" s="65"/>
      <c r="K177" s="74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ht="15.75" customHeight="1">
      <c r="A178" s="32"/>
      <c r="B178" s="65"/>
      <c r="C178" s="65"/>
      <c r="D178" s="32"/>
      <c r="E178" s="32"/>
      <c r="F178" s="32"/>
      <c r="G178" s="65"/>
      <c r="H178" s="67"/>
      <c r="I178" s="118"/>
      <c r="J178" s="65"/>
      <c r="K178" s="74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 ht="15.75" customHeight="1">
      <c r="A179" s="32"/>
      <c r="B179" s="65"/>
      <c r="C179" s="65"/>
      <c r="D179" s="32"/>
      <c r="E179" s="32"/>
      <c r="F179" s="32"/>
      <c r="G179" s="65"/>
      <c r="H179" s="67"/>
      <c r="I179" s="118"/>
      <c r="J179" s="65"/>
      <c r="K179" s="74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 ht="15.75" customHeight="1">
      <c r="A180" s="32"/>
      <c r="B180" s="65"/>
      <c r="C180" s="65"/>
      <c r="D180" s="32"/>
      <c r="E180" s="32"/>
      <c r="F180" s="32"/>
      <c r="G180" s="65"/>
      <c r="H180" s="67"/>
      <c r="I180" s="118"/>
      <c r="J180" s="65"/>
      <c r="K180" s="74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 ht="15.75" customHeight="1">
      <c r="A181" s="32"/>
      <c r="B181" s="65"/>
      <c r="C181" s="65"/>
      <c r="D181" s="32"/>
      <c r="E181" s="32"/>
      <c r="F181" s="32"/>
      <c r="G181" s="65"/>
      <c r="H181" s="67"/>
      <c r="I181" s="118"/>
      <c r="J181" s="65"/>
      <c r="K181" s="74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 ht="15.75" customHeight="1">
      <c r="A182" s="32"/>
      <c r="B182" s="65"/>
      <c r="C182" s="65"/>
      <c r="D182" s="32"/>
      <c r="E182" s="32"/>
      <c r="F182" s="32"/>
      <c r="G182" s="65"/>
      <c r="H182" s="67"/>
      <c r="I182" s="118"/>
      <c r="J182" s="65"/>
      <c r="K182" s="74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ht="15.75" customHeight="1">
      <c r="A183" s="32"/>
      <c r="B183" s="65"/>
      <c r="C183" s="65"/>
      <c r="D183" s="32"/>
      <c r="E183" s="32"/>
      <c r="F183" s="32"/>
      <c r="G183" s="65"/>
      <c r="H183" s="67"/>
      <c r="I183" s="118"/>
      <c r="J183" s="65"/>
      <c r="K183" s="74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 ht="15.75" customHeight="1">
      <c r="A184" s="32"/>
      <c r="B184" s="65"/>
      <c r="C184" s="65"/>
      <c r="D184" s="32"/>
      <c r="E184" s="32"/>
      <c r="F184" s="32"/>
      <c r="G184" s="65"/>
      <c r="H184" s="67"/>
      <c r="I184" s="118"/>
      <c r="J184" s="65"/>
      <c r="K184" s="74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 ht="15.75" customHeight="1">
      <c r="A185" s="32"/>
      <c r="B185" s="65"/>
      <c r="C185" s="65"/>
      <c r="D185" s="32"/>
      <c r="E185" s="32"/>
      <c r="F185" s="32"/>
      <c r="G185" s="65"/>
      <c r="H185" s="67"/>
      <c r="I185" s="118"/>
      <c r="J185" s="65"/>
      <c r="K185" s="74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 ht="15.75" customHeight="1">
      <c r="A186" s="32"/>
      <c r="B186" s="65"/>
      <c r="C186" s="65"/>
      <c r="D186" s="32"/>
      <c r="E186" s="32"/>
      <c r="F186" s="32"/>
      <c r="G186" s="65"/>
      <c r="H186" s="67"/>
      <c r="I186" s="118"/>
      <c r="J186" s="65"/>
      <c r="K186" s="74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 ht="15.75" customHeight="1">
      <c r="A187" s="32"/>
      <c r="B187" s="65"/>
      <c r="C187" s="65"/>
      <c r="D187" s="32"/>
      <c r="E187" s="32"/>
      <c r="F187" s="32"/>
      <c r="G187" s="65"/>
      <c r="H187" s="67"/>
      <c r="I187" s="118"/>
      <c r="J187" s="65"/>
      <c r="K187" s="74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 ht="15.75" customHeight="1">
      <c r="A188" s="32"/>
      <c r="B188" s="65"/>
      <c r="C188" s="65"/>
      <c r="D188" s="32"/>
      <c r="E188" s="32"/>
      <c r="F188" s="32"/>
      <c r="G188" s="65"/>
      <c r="H188" s="67"/>
      <c r="I188" s="118"/>
      <c r="J188" s="65"/>
      <c r="K188" s="74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 ht="15.75" customHeight="1">
      <c r="A189" s="32"/>
      <c r="B189" s="65"/>
      <c r="C189" s="65"/>
      <c r="D189" s="32"/>
      <c r="E189" s="32"/>
      <c r="F189" s="32"/>
      <c r="G189" s="65"/>
      <c r="H189" s="67"/>
      <c r="I189" s="118"/>
      <c r="J189" s="65"/>
      <c r="K189" s="74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 ht="15.75" customHeight="1">
      <c r="A190" s="32"/>
      <c r="B190" s="65"/>
      <c r="C190" s="65"/>
      <c r="D190" s="32"/>
      <c r="E190" s="32"/>
      <c r="F190" s="32"/>
      <c r="G190" s="65"/>
      <c r="H190" s="67"/>
      <c r="I190" s="118"/>
      <c r="J190" s="65"/>
      <c r="K190" s="74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 ht="15.75" customHeight="1">
      <c r="A191" s="32"/>
      <c r="B191" s="65"/>
      <c r="C191" s="65"/>
      <c r="D191" s="32"/>
      <c r="E191" s="32"/>
      <c r="F191" s="32"/>
      <c r="G191" s="65"/>
      <c r="H191" s="67"/>
      <c r="I191" s="118"/>
      <c r="J191" s="65"/>
      <c r="K191" s="74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 ht="15.75" customHeight="1">
      <c r="A192" s="32"/>
      <c r="B192" s="65"/>
      <c r="C192" s="65"/>
      <c r="D192" s="32"/>
      <c r="E192" s="32"/>
      <c r="F192" s="32"/>
      <c r="G192" s="65"/>
      <c r="H192" s="67"/>
      <c r="I192" s="118"/>
      <c r="J192" s="65"/>
      <c r="K192" s="74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 ht="15.75" customHeight="1">
      <c r="A193" s="32"/>
      <c r="B193" s="65"/>
      <c r="C193" s="65"/>
      <c r="D193" s="32"/>
      <c r="E193" s="32"/>
      <c r="F193" s="32"/>
      <c r="G193" s="65"/>
      <c r="H193" s="67"/>
      <c r="I193" s="118"/>
      <c r="J193" s="65"/>
      <c r="K193" s="74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 ht="15.75" customHeight="1">
      <c r="A194" s="32"/>
      <c r="B194" s="65"/>
      <c r="C194" s="65"/>
      <c r="D194" s="32"/>
      <c r="E194" s="32"/>
      <c r="F194" s="32"/>
      <c r="G194" s="65"/>
      <c r="H194" s="67"/>
      <c r="I194" s="118"/>
      <c r="J194" s="65"/>
      <c r="K194" s="74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 ht="15.75" customHeight="1">
      <c r="A195" s="32"/>
      <c r="B195" s="65"/>
      <c r="C195" s="65"/>
      <c r="D195" s="32"/>
      <c r="E195" s="32"/>
      <c r="F195" s="32"/>
      <c r="G195" s="65"/>
      <c r="H195" s="67"/>
      <c r="I195" s="118"/>
      <c r="J195" s="65"/>
      <c r="K195" s="74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 ht="15.75" customHeight="1">
      <c r="A196" s="32"/>
      <c r="B196" s="65"/>
      <c r="C196" s="65"/>
      <c r="D196" s="32"/>
      <c r="E196" s="32"/>
      <c r="F196" s="32"/>
      <c r="G196" s="65"/>
      <c r="H196" s="67"/>
      <c r="I196" s="118"/>
      <c r="J196" s="65"/>
      <c r="K196" s="74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ht="15.75" customHeight="1">
      <c r="A197" s="32"/>
      <c r="B197" s="65"/>
      <c r="C197" s="65"/>
      <c r="D197" s="32"/>
      <c r="E197" s="32"/>
      <c r="F197" s="32"/>
      <c r="G197" s="65"/>
      <c r="H197" s="67"/>
      <c r="I197" s="118"/>
      <c r="J197" s="65"/>
      <c r="K197" s="74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ht="15.75" customHeight="1">
      <c r="A198" s="32"/>
      <c r="B198" s="65"/>
      <c r="C198" s="65"/>
      <c r="D198" s="32"/>
      <c r="E198" s="32"/>
      <c r="F198" s="32"/>
      <c r="G198" s="65"/>
      <c r="H198" s="67"/>
      <c r="I198" s="118"/>
      <c r="J198" s="65"/>
      <c r="K198" s="74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ht="15.75" customHeight="1">
      <c r="A199" s="32"/>
      <c r="B199" s="65"/>
      <c r="C199" s="65"/>
      <c r="D199" s="32"/>
      <c r="E199" s="32"/>
      <c r="F199" s="32"/>
      <c r="G199" s="65"/>
      <c r="H199" s="67"/>
      <c r="I199" s="118"/>
      <c r="J199" s="65"/>
      <c r="K199" s="74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 ht="15.75" customHeight="1">
      <c r="A200" s="32"/>
      <c r="B200" s="65"/>
      <c r="C200" s="65"/>
      <c r="D200" s="32"/>
      <c r="E200" s="32"/>
      <c r="F200" s="32"/>
      <c r="G200" s="65"/>
      <c r="H200" s="67"/>
      <c r="I200" s="118"/>
      <c r="J200" s="65"/>
      <c r="K200" s="74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 ht="15.75" customHeight="1">
      <c r="A201" s="32"/>
      <c r="B201" s="65"/>
      <c r="C201" s="65"/>
      <c r="D201" s="32"/>
      <c r="E201" s="32"/>
      <c r="F201" s="32"/>
      <c r="G201" s="65"/>
      <c r="H201" s="67"/>
      <c r="I201" s="118"/>
      <c r="J201" s="65"/>
      <c r="K201" s="74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 ht="15.75" customHeight="1">
      <c r="A202" s="32"/>
      <c r="B202" s="65"/>
      <c r="C202" s="65"/>
      <c r="D202" s="32"/>
      <c r="E202" s="32"/>
      <c r="F202" s="32"/>
      <c r="G202" s="65"/>
      <c r="H202" s="67"/>
      <c r="I202" s="118"/>
      <c r="J202" s="65"/>
      <c r="K202" s="74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 ht="15.75" customHeight="1">
      <c r="A203" s="32"/>
      <c r="B203" s="65"/>
      <c r="C203" s="65"/>
      <c r="D203" s="32"/>
      <c r="E203" s="32"/>
      <c r="F203" s="32"/>
      <c r="G203" s="65"/>
      <c r="H203" s="67"/>
      <c r="I203" s="118"/>
      <c r="J203" s="65"/>
      <c r="K203" s="74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 ht="15.75" customHeight="1">
      <c r="A204" s="32"/>
      <c r="B204" s="65"/>
      <c r="C204" s="65"/>
      <c r="D204" s="32"/>
      <c r="E204" s="32"/>
      <c r="F204" s="32"/>
      <c r="G204" s="65"/>
      <c r="H204" s="67"/>
      <c r="I204" s="118"/>
      <c r="J204" s="65"/>
      <c r="K204" s="74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ht="15.75" customHeight="1">
      <c r="A205" s="32"/>
      <c r="B205" s="65"/>
      <c r="C205" s="65"/>
      <c r="D205" s="32"/>
      <c r="E205" s="32"/>
      <c r="F205" s="32"/>
      <c r="G205" s="65"/>
      <c r="H205" s="67"/>
      <c r="I205" s="118"/>
      <c r="J205" s="65"/>
      <c r="K205" s="74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ht="15.75" customHeight="1">
      <c r="A206" s="32"/>
      <c r="B206" s="65"/>
      <c r="C206" s="65"/>
      <c r="D206" s="32"/>
      <c r="E206" s="32"/>
      <c r="F206" s="32"/>
      <c r="G206" s="65"/>
      <c r="H206" s="67"/>
      <c r="I206" s="118"/>
      <c r="J206" s="65"/>
      <c r="K206" s="74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 ht="15.75" customHeight="1">
      <c r="A207" s="32"/>
      <c r="B207" s="65"/>
      <c r="C207" s="65"/>
      <c r="D207" s="32"/>
      <c r="E207" s="32"/>
      <c r="F207" s="32"/>
      <c r="G207" s="65"/>
      <c r="H207" s="67"/>
      <c r="I207" s="118"/>
      <c r="J207" s="65"/>
      <c r="K207" s="74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 ht="15.75" customHeight="1">
      <c r="A208" s="32"/>
      <c r="B208" s="65"/>
      <c r="C208" s="65"/>
      <c r="D208" s="32"/>
      <c r="E208" s="32"/>
      <c r="F208" s="32"/>
      <c r="G208" s="65"/>
      <c r="H208" s="67"/>
      <c r="I208" s="118"/>
      <c r="J208" s="65"/>
      <c r="K208" s="74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 ht="15.75" customHeight="1">
      <c r="A209" s="32"/>
      <c r="B209" s="65"/>
      <c r="C209" s="65"/>
      <c r="D209" s="32"/>
      <c r="E209" s="32"/>
      <c r="F209" s="32"/>
      <c r="G209" s="65"/>
      <c r="H209" s="67"/>
      <c r="I209" s="118"/>
      <c r="J209" s="65"/>
      <c r="K209" s="74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 ht="15.75" customHeight="1">
      <c r="A210" s="32"/>
      <c r="B210" s="65"/>
      <c r="C210" s="65"/>
      <c r="D210" s="32"/>
      <c r="E210" s="32"/>
      <c r="F210" s="32"/>
      <c r="G210" s="65"/>
      <c r="H210" s="67"/>
      <c r="I210" s="118"/>
      <c r="J210" s="65"/>
      <c r="K210" s="74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 ht="15.75" customHeight="1">
      <c r="A211" s="32"/>
      <c r="B211" s="65"/>
      <c r="C211" s="65"/>
      <c r="D211" s="32"/>
      <c r="E211" s="32"/>
      <c r="F211" s="32"/>
      <c r="G211" s="65"/>
      <c r="H211" s="67"/>
      <c r="I211" s="118"/>
      <c r="J211" s="65"/>
      <c r="K211" s="74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ht="15.75" customHeight="1">
      <c r="A212" s="32"/>
      <c r="B212" s="65"/>
      <c r="C212" s="65"/>
      <c r="D212" s="32"/>
      <c r="E212" s="32"/>
      <c r="F212" s="32"/>
      <c r="G212" s="65"/>
      <c r="H212" s="67"/>
      <c r="I212" s="118"/>
      <c r="J212" s="65"/>
      <c r="K212" s="74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 ht="15.75" customHeight="1">
      <c r="A213" s="32"/>
      <c r="B213" s="65"/>
      <c r="C213" s="65"/>
      <c r="D213" s="32"/>
      <c r="E213" s="32"/>
      <c r="F213" s="32"/>
      <c r="G213" s="65"/>
      <c r="H213" s="67"/>
      <c r="I213" s="118"/>
      <c r="J213" s="65"/>
      <c r="K213" s="74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 ht="15.75" customHeight="1">
      <c r="A214" s="32"/>
      <c r="B214" s="65"/>
      <c r="C214" s="65"/>
      <c r="D214" s="32"/>
      <c r="E214" s="32"/>
      <c r="F214" s="32"/>
      <c r="G214" s="65"/>
      <c r="H214" s="67"/>
      <c r="I214" s="118"/>
      <c r="J214" s="65"/>
      <c r="K214" s="74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 ht="15.75" customHeight="1">
      <c r="A215" s="32"/>
      <c r="B215" s="65"/>
      <c r="C215" s="65"/>
      <c r="D215" s="32"/>
      <c r="E215" s="32"/>
      <c r="F215" s="32"/>
      <c r="G215" s="65"/>
      <c r="H215" s="67"/>
      <c r="I215" s="118"/>
      <c r="J215" s="65"/>
      <c r="K215" s="74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 ht="15.75" customHeight="1">
      <c r="A216" s="32"/>
      <c r="B216" s="65"/>
      <c r="C216" s="65"/>
      <c r="D216" s="32"/>
      <c r="E216" s="32"/>
      <c r="F216" s="32"/>
      <c r="G216" s="65"/>
      <c r="H216" s="67"/>
      <c r="I216" s="118"/>
      <c r="J216" s="65"/>
      <c r="K216" s="74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 ht="15.75" customHeight="1">
      <c r="A217" s="32"/>
      <c r="B217" s="65"/>
      <c r="C217" s="65"/>
      <c r="D217" s="32"/>
      <c r="E217" s="32"/>
      <c r="F217" s="32"/>
      <c r="G217" s="65"/>
      <c r="H217" s="67"/>
      <c r="I217" s="118"/>
      <c r="J217" s="65"/>
      <c r="K217" s="74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 ht="15.75" customHeight="1">
      <c r="A218" s="32"/>
      <c r="B218" s="65"/>
      <c r="C218" s="65"/>
      <c r="D218" s="32"/>
      <c r="E218" s="32"/>
      <c r="F218" s="32"/>
      <c r="G218" s="65"/>
      <c r="H218" s="67"/>
      <c r="I218" s="118"/>
      <c r="J218" s="65"/>
      <c r="K218" s="74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 ht="15.75" customHeight="1">
      <c r="A219" s="32"/>
      <c r="B219" s="65"/>
      <c r="C219" s="65"/>
      <c r="D219" s="32"/>
      <c r="E219" s="32"/>
      <c r="F219" s="32"/>
      <c r="G219" s="65"/>
      <c r="H219" s="67"/>
      <c r="I219" s="118"/>
      <c r="J219" s="65"/>
      <c r="K219" s="74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ht="15.75" customHeight="1">
      <c r="A220" s="32"/>
      <c r="B220" s="65"/>
      <c r="C220" s="65"/>
      <c r="D220" s="32"/>
      <c r="E220" s="32"/>
      <c r="F220" s="32"/>
      <c r="G220" s="65"/>
      <c r="H220" s="67"/>
      <c r="I220" s="118"/>
      <c r="J220" s="65"/>
      <c r="K220" s="74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ht="15.75" customHeight="1">
      <c r="A221" s="32"/>
      <c r="B221" s="65"/>
      <c r="C221" s="65"/>
      <c r="D221" s="32"/>
      <c r="E221" s="32"/>
      <c r="F221" s="32"/>
      <c r="G221" s="65"/>
      <c r="H221" s="67"/>
      <c r="I221" s="118"/>
      <c r="J221" s="65"/>
      <c r="K221" s="74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ht="15.75" customHeight="1">
      <c r="A222" s="32"/>
      <c r="B222" s="65"/>
      <c r="C222" s="65"/>
      <c r="D222" s="32"/>
      <c r="E222" s="32"/>
      <c r="F222" s="32"/>
      <c r="G222" s="65"/>
      <c r="H222" s="67"/>
      <c r="I222" s="118"/>
      <c r="J222" s="65"/>
      <c r="K222" s="74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ht="15.75" customHeight="1">
      <c r="A223" s="32"/>
      <c r="B223" s="65"/>
      <c r="C223" s="65"/>
      <c r="D223" s="32"/>
      <c r="E223" s="32"/>
      <c r="F223" s="32"/>
      <c r="G223" s="65"/>
      <c r="H223" s="67"/>
      <c r="I223" s="118"/>
      <c r="J223" s="65"/>
      <c r="K223" s="74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ht="15.75" customHeight="1">
      <c r="A224" s="32"/>
      <c r="B224" s="65"/>
      <c r="C224" s="65"/>
      <c r="D224" s="32"/>
      <c r="E224" s="32"/>
      <c r="F224" s="32"/>
      <c r="G224" s="65"/>
      <c r="H224" s="67"/>
      <c r="I224" s="118"/>
      <c r="J224" s="65"/>
      <c r="K224" s="74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ht="15.75" customHeight="1">
      <c r="A225" s="32"/>
      <c r="B225" s="65"/>
      <c r="C225" s="65"/>
      <c r="D225" s="32"/>
      <c r="E225" s="32"/>
      <c r="F225" s="32"/>
      <c r="G225" s="65"/>
      <c r="H225" s="67"/>
      <c r="I225" s="118"/>
      <c r="J225" s="65"/>
      <c r="K225" s="74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ht="15.75" customHeight="1">
      <c r="A226" s="32"/>
      <c r="B226" s="65"/>
      <c r="C226" s="65"/>
      <c r="D226" s="32"/>
      <c r="E226" s="32"/>
      <c r="F226" s="32"/>
      <c r="G226" s="65"/>
      <c r="H226" s="67"/>
      <c r="I226" s="118"/>
      <c r="J226" s="65"/>
      <c r="K226" s="74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ht="15.75" customHeight="1">
      <c r="A227" s="32"/>
      <c r="B227" s="65"/>
      <c r="C227" s="65"/>
      <c r="D227" s="32"/>
      <c r="E227" s="32"/>
      <c r="F227" s="32"/>
      <c r="G227" s="65"/>
      <c r="H227" s="67"/>
      <c r="I227" s="118"/>
      <c r="J227" s="65"/>
      <c r="K227" s="74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ht="15.75" customHeight="1">
      <c r="A228" s="32"/>
      <c r="B228" s="65"/>
      <c r="C228" s="65"/>
      <c r="D228" s="32"/>
      <c r="E228" s="32"/>
      <c r="F228" s="32"/>
      <c r="G228" s="65"/>
      <c r="H228" s="67"/>
      <c r="I228" s="118"/>
      <c r="J228" s="65"/>
      <c r="K228" s="74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ht="15.75" customHeight="1">
      <c r="A229" s="32"/>
      <c r="B229" s="65"/>
      <c r="C229" s="65"/>
      <c r="D229" s="32"/>
      <c r="E229" s="32"/>
      <c r="F229" s="32"/>
      <c r="G229" s="65"/>
      <c r="H229" s="67"/>
      <c r="I229" s="118"/>
      <c r="J229" s="65"/>
      <c r="K229" s="74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ht="15.75" customHeight="1">
      <c r="A230" s="32"/>
      <c r="B230" s="65"/>
      <c r="C230" s="65"/>
      <c r="D230" s="32"/>
      <c r="E230" s="32"/>
      <c r="F230" s="32"/>
      <c r="G230" s="65"/>
      <c r="H230" s="67"/>
      <c r="I230" s="118"/>
      <c r="J230" s="65"/>
      <c r="K230" s="74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ht="15.75" customHeight="1">
      <c r="A231" s="32"/>
      <c r="B231" s="65"/>
      <c r="C231" s="65"/>
      <c r="D231" s="32"/>
      <c r="E231" s="32"/>
      <c r="F231" s="32"/>
      <c r="G231" s="65"/>
      <c r="H231" s="67"/>
      <c r="I231" s="118"/>
      <c r="J231" s="65"/>
      <c r="K231" s="74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ht="15.75" customHeight="1">
      <c r="A232" s="32"/>
      <c r="B232" s="65"/>
      <c r="C232" s="65"/>
      <c r="D232" s="32"/>
      <c r="E232" s="32"/>
      <c r="F232" s="32"/>
      <c r="G232" s="65"/>
      <c r="H232" s="67"/>
      <c r="I232" s="118"/>
      <c r="J232" s="65"/>
      <c r="K232" s="74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 ht="15.75" customHeight="1">
      <c r="A233" s="32"/>
      <c r="B233" s="65"/>
      <c r="C233" s="65"/>
      <c r="D233" s="32"/>
      <c r="E233" s="32"/>
      <c r="F233" s="32"/>
      <c r="G233" s="65"/>
      <c r="H233" s="67"/>
      <c r="I233" s="118"/>
      <c r="J233" s="65"/>
      <c r="K233" s="74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 ht="15.75" customHeight="1">
      <c r="A234" s="32"/>
      <c r="B234" s="65"/>
      <c r="C234" s="65"/>
      <c r="D234" s="32"/>
      <c r="E234" s="32"/>
      <c r="F234" s="32"/>
      <c r="G234" s="65"/>
      <c r="H234" s="67"/>
      <c r="I234" s="118"/>
      <c r="J234" s="65"/>
      <c r="K234" s="74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 ht="15.75" customHeight="1">
      <c r="A235" s="32"/>
      <c r="B235" s="65"/>
      <c r="C235" s="65"/>
      <c r="D235" s="32"/>
      <c r="E235" s="32"/>
      <c r="F235" s="32"/>
      <c r="G235" s="65"/>
      <c r="H235" s="67"/>
      <c r="I235" s="118"/>
      <c r="J235" s="65"/>
      <c r="K235" s="74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 ht="15.75" customHeight="1">
      <c r="A236" s="32"/>
      <c r="B236" s="65"/>
      <c r="C236" s="65"/>
      <c r="D236" s="32"/>
      <c r="E236" s="32"/>
      <c r="F236" s="32"/>
      <c r="G236" s="65"/>
      <c r="H236" s="67"/>
      <c r="I236" s="118"/>
      <c r="J236" s="65"/>
      <c r="K236" s="74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 ht="15.75" customHeight="1">
      <c r="A237" s="32"/>
      <c r="B237" s="65"/>
      <c r="C237" s="65"/>
      <c r="D237" s="32"/>
      <c r="E237" s="32"/>
      <c r="F237" s="32"/>
      <c r="G237" s="65"/>
      <c r="H237" s="67"/>
      <c r="I237" s="118"/>
      <c r="J237" s="65"/>
      <c r="K237" s="74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 ht="15.75" customHeight="1">
      <c r="A238" s="32"/>
      <c r="B238" s="65"/>
      <c r="C238" s="65"/>
      <c r="D238" s="32"/>
      <c r="E238" s="32"/>
      <c r="F238" s="32"/>
      <c r="G238" s="65"/>
      <c r="H238" s="67"/>
      <c r="I238" s="118"/>
      <c r="J238" s="65"/>
      <c r="K238" s="74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ht="15.75" customHeight="1">
      <c r="A239" s="32"/>
      <c r="B239" s="65"/>
      <c r="C239" s="65"/>
      <c r="D239" s="32"/>
      <c r="E239" s="32"/>
      <c r="F239" s="32"/>
      <c r="G239" s="65"/>
      <c r="H239" s="67"/>
      <c r="I239" s="118"/>
      <c r="J239" s="65"/>
      <c r="K239" s="74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 ht="15.75" customHeight="1">
      <c r="A240" s="32"/>
      <c r="B240" s="65"/>
      <c r="C240" s="65"/>
      <c r="D240" s="32"/>
      <c r="E240" s="32"/>
      <c r="F240" s="32"/>
      <c r="G240" s="65"/>
      <c r="H240" s="67"/>
      <c r="I240" s="118"/>
      <c r="J240" s="65"/>
      <c r="K240" s="74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 ht="15.75" customHeight="1">
      <c r="A241" s="32"/>
      <c r="B241" s="65"/>
      <c r="C241" s="65"/>
      <c r="D241" s="32"/>
      <c r="E241" s="32"/>
      <c r="F241" s="32"/>
      <c r="G241" s="65"/>
      <c r="H241" s="67"/>
      <c r="I241" s="118"/>
      <c r="J241" s="65"/>
      <c r="K241" s="74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 ht="15.75" customHeight="1">
      <c r="A242" s="32"/>
      <c r="B242" s="65"/>
      <c r="C242" s="65"/>
      <c r="D242" s="32"/>
      <c r="E242" s="32"/>
      <c r="F242" s="32"/>
      <c r="G242" s="65"/>
      <c r="H242" s="67"/>
      <c r="I242" s="118"/>
      <c r="J242" s="65"/>
      <c r="K242" s="74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 ht="15.75" customHeight="1">
      <c r="A243" s="32"/>
      <c r="B243" s="65"/>
      <c r="C243" s="65"/>
      <c r="D243" s="32"/>
      <c r="E243" s="32"/>
      <c r="F243" s="32"/>
      <c r="G243" s="65"/>
      <c r="H243" s="67"/>
      <c r="I243" s="118"/>
      <c r="J243" s="65"/>
      <c r="K243" s="74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 ht="15.75" customHeight="1">
      <c r="A244" s="32"/>
      <c r="B244" s="65"/>
      <c r="C244" s="65"/>
      <c r="D244" s="32"/>
      <c r="E244" s="32"/>
      <c r="F244" s="32"/>
      <c r="G244" s="65"/>
      <c r="H244" s="67"/>
      <c r="I244" s="118"/>
      <c r="J244" s="65"/>
      <c r="K244" s="74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 ht="15.75" customHeight="1">
      <c r="A245" s="32"/>
      <c r="B245" s="65"/>
      <c r="C245" s="65"/>
      <c r="D245" s="32"/>
      <c r="E245" s="32"/>
      <c r="F245" s="32"/>
      <c r="G245" s="65"/>
      <c r="H245" s="67"/>
      <c r="I245" s="118"/>
      <c r="J245" s="65"/>
      <c r="K245" s="74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 ht="15.75" customHeight="1">
      <c r="A246" s="32"/>
      <c r="B246" s="65"/>
      <c r="C246" s="65"/>
      <c r="D246" s="32"/>
      <c r="E246" s="32"/>
      <c r="F246" s="32"/>
      <c r="G246" s="65"/>
      <c r="H246" s="67"/>
      <c r="I246" s="118"/>
      <c r="J246" s="65"/>
      <c r="K246" s="74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 ht="15.75" customHeight="1">
      <c r="A247" s="32"/>
      <c r="B247" s="65"/>
      <c r="C247" s="65"/>
      <c r="D247" s="32"/>
      <c r="E247" s="32"/>
      <c r="F247" s="32"/>
      <c r="G247" s="65"/>
      <c r="H247" s="67"/>
      <c r="I247" s="118"/>
      <c r="J247" s="65"/>
      <c r="K247" s="74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 ht="15.75" customHeight="1">
      <c r="A248" s="32"/>
      <c r="B248" s="65"/>
      <c r="C248" s="65"/>
      <c r="D248" s="32"/>
      <c r="E248" s="32"/>
      <c r="F248" s="32"/>
      <c r="G248" s="65"/>
      <c r="H248" s="67"/>
      <c r="I248" s="118"/>
      <c r="J248" s="65"/>
      <c r="K248" s="74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 ht="15.75" customHeight="1">
      <c r="A249" s="32"/>
      <c r="B249" s="65"/>
      <c r="C249" s="65"/>
      <c r="D249" s="32"/>
      <c r="E249" s="32"/>
      <c r="F249" s="32"/>
      <c r="G249" s="65"/>
      <c r="H249" s="67"/>
      <c r="I249" s="118"/>
      <c r="J249" s="65"/>
      <c r="K249" s="74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 ht="15.75" customHeight="1">
      <c r="A250" s="32"/>
      <c r="B250" s="65"/>
      <c r="C250" s="65"/>
      <c r="D250" s="32"/>
      <c r="E250" s="32"/>
      <c r="F250" s="32"/>
      <c r="G250" s="65"/>
      <c r="H250" s="67"/>
      <c r="I250" s="118"/>
      <c r="J250" s="65"/>
      <c r="K250" s="74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 ht="15.75" customHeight="1">
      <c r="A251" s="32"/>
      <c r="B251" s="65"/>
      <c r="C251" s="65"/>
      <c r="D251" s="32"/>
      <c r="E251" s="32"/>
      <c r="F251" s="32"/>
      <c r="G251" s="65"/>
      <c r="H251" s="67"/>
      <c r="I251" s="118"/>
      <c r="J251" s="65"/>
      <c r="K251" s="74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ht="15.75" customHeight="1">
      <c r="A252" s="32"/>
      <c r="B252" s="65"/>
      <c r="C252" s="65"/>
      <c r="D252" s="32"/>
      <c r="E252" s="32"/>
      <c r="F252" s="32"/>
      <c r="G252" s="65"/>
      <c r="H252" s="67"/>
      <c r="I252" s="118"/>
      <c r="J252" s="65"/>
      <c r="K252" s="74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ht="15.75" customHeight="1">
      <c r="A253" s="32"/>
      <c r="B253" s="65"/>
      <c r="C253" s="65"/>
      <c r="D253" s="32"/>
      <c r="E253" s="32"/>
      <c r="F253" s="32"/>
      <c r="G253" s="65"/>
      <c r="H253" s="67"/>
      <c r="I253" s="118"/>
      <c r="J253" s="65"/>
      <c r="K253" s="74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ht="15.75" customHeight="1">
      <c r="A254" s="32"/>
      <c r="B254" s="65"/>
      <c r="C254" s="65"/>
      <c r="D254" s="32"/>
      <c r="E254" s="32"/>
      <c r="F254" s="32"/>
      <c r="G254" s="65"/>
      <c r="H254" s="67"/>
      <c r="I254" s="118"/>
      <c r="J254" s="65"/>
      <c r="K254" s="74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 ht="15.75" customHeight="1">
      <c r="A255" s="32"/>
      <c r="B255" s="65"/>
      <c r="C255" s="65"/>
      <c r="D255" s="32"/>
      <c r="E255" s="32"/>
      <c r="F255" s="32"/>
      <c r="G255" s="65"/>
      <c r="H255" s="67"/>
      <c r="I255" s="118"/>
      <c r="J255" s="65"/>
      <c r="K255" s="74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 ht="15.75" customHeight="1">
      <c r="A256" s="32"/>
      <c r="B256" s="65"/>
      <c r="C256" s="65"/>
      <c r="D256" s="32"/>
      <c r="E256" s="32"/>
      <c r="F256" s="32"/>
      <c r="G256" s="65"/>
      <c r="H256" s="67"/>
      <c r="I256" s="118"/>
      <c r="J256" s="65"/>
      <c r="K256" s="74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 ht="15.75" customHeight="1">
      <c r="A257" s="32"/>
      <c r="B257" s="65"/>
      <c r="C257" s="65"/>
      <c r="D257" s="32"/>
      <c r="E257" s="32"/>
      <c r="F257" s="32"/>
      <c r="G257" s="65"/>
      <c r="H257" s="67"/>
      <c r="I257" s="118"/>
      <c r="J257" s="65"/>
      <c r="K257" s="74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 ht="15.75" customHeight="1">
      <c r="A258" s="32"/>
      <c r="B258" s="65"/>
      <c r="C258" s="65"/>
      <c r="D258" s="32"/>
      <c r="E258" s="32"/>
      <c r="F258" s="32"/>
      <c r="G258" s="65"/>
      <c r="H258" s="67"/>
      <c r="I258" s="118"/>
      <c r="J258" s="65"/>
      <c r="K258" s="74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 ht="15.75" customHeight="1">
      <c r="A259" s="32"/>
      <c r="B259" s="65"/>
      <c r="C259" s="65"/>
      <c r="D259" s="32"/>
      <c r="E259" s="32"/>
      <c r="F259" s="32"/>
      <c r="G259" s="65"/>
      <c r="H259" s="67"/>
      <c r="I259" s="118"/>
      <c r="J259" s="65"/>
      <c r="K259" s="74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 ht="15.75" customHeight="1">
      <c r="A260" s="32"/>
      <c r="B260" s="65"/>
      <c r="C260" s="65"/>
      <c r="D260" s="32"/>
      <c r="E260" s="32"/>
      <c r="F260" s="32"/>
      <c r="G260" s="65"/>
      <c r="H260" s="67"/>
      <c r="I260" s="118"/>
      <c r="J260" s="65"/>
      <c r="K260" s="74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 ht="15.75" customHeight="1">
      <c r="A261" s="32"/>
      <c r="B261" s="65"/>
      <c r="C261" s="65"/>
      <c r="D261" s="32"/>
      <c r="E261" s="32"/>
      <c r="F261" s="32"/>
      <c r="G261" s="65"/>
      <c r="H261" s="67"/>
      <c r="I261" s="118"/>
      <c r="J261" s="65"/>
      <c r="K261" s="74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 ht="15.75" customHeight="1">
      <c r="A262" s="32"/>
      <c r="B262" s="65"/>
      <c r="C262" s="65"/>
      <c r="D262" s="32"/>
      <c r="E262" s="32"/>
      <c r="F262" s="32"/>
      <c r="G262" s="65"/>
      <c r="H262" s="67"/>
      <c r="I262" s="118"/>
      <c r="J262" s="65"/>
      <c r="K262" s="74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 ht="15.75" customHeight="1">
      <c r="A263" s="32"/>
      <c r="B263" s="65"/>
      <c r="C263" s="65"/>
      <c r="D263" s="32"/>
      <c r="E263" s="32"/>
      <c r="F263" s="32"/>
      <c r="G263" s="65"/>
      <c r="H263" s="67"/>
      <c r="I263" s="118"/>
      <c r="J263" s="65"/>
      <c r="K263" s="74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 ht="15.75" customHeight="1">
      <c r="A264" s="32"/>
      <c r="B264" s="65"/>
      <c r="C264" s="65"/>
      <c r="D264" s="32"/>
      <c r="E264" s="32"/>
      <c r="F264" s="32"/>
      <c r="G264" s="65"/>
      <c r="H264" s="67"/>
      <c r="I264" s="118"/>
      <c r="J264" s="65"/>
      <c r="K264" s="74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ht="15.75" customHeight="1">
      <c r="A265" s="32"/>
      <c r="B265" s="65"/>
      <c r="C265" s="65"/>
      <c r="D265" s="32"/>
      <c r="E265" s="32"/>
      <c r="F265" s="32"/>
      <c r="G265" s="65"/>
      <c r="H265" s="67"/>
      <c r="I265" s="118"/>
      <c r="J265" s="65"/>
      <c r="K265" s="74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 ht="15.75" customHeight="1">
      <c r="A266" s="32"/>
      <c r="B266" s="65"/>
      <c r="C266" s="65"/>
      <c r="D266" s="32"/>
      <c r="E266" s="32"/>
      <c r="F266" s="32"/>
      <c r="G266" s="65"/>
      <c r="H266" s="67"/>
      <c r="I266" s="118"/>
      <c r="J266" s="65"/>
      <c r="K266" s="74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 ht="15.75" customHeight="1">
      <c r="A267" s="32"/>
      <c r="B267" s="65"/>
      <c r="C267" s="65"/>
      <c r="D267" s="32"/>
      <c r="E267" s="32"/>
      <c r="F267" s="32"/>
      <c r="G267" s="65"/>
      <c r="H267" s="67"/>
      <c r="I267" s="118"/>
      <c r="J267" s="65"/>
      <c r="K267" s="74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 ht="15.75" customHeight="1">
      <c r="A268" s="32"/>
      <c r="B268" s="65"/>
      <c r="C268" s="65"/>
      <c r="D268" s="32"/>
      <c r="E268" s="32"/>
      <c r="F268" s="32"/>
      <c r="G268" s="65"/>
      <c r="H268" s="67"/>
      <c r="I268" s="118"/>
      <c r="J268" s="65"/>
      <c r="K268" s="74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 ht="15.75" customHeight="1">
      <c r="A269" s="32"/>
      <c r="B269" s="65"/>
      <c r="C269" s="65"/>
      <c r="D269" s="32"/>
      <c r="E269" s="32"/>
      <c r="F269" s="32"/>
      <c r="G269" s="65"/>
      <c r="H269" s="67"/>
      <c r="I269" s="118"/>
      <c r="J269" s="65"/>
      <c r="K269" s="74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 ht="15.75" customHeight="1">
      <c r="A270" s="32"/>
      <c r="B270" s="65"/>
      <c r="C270" s="65"/>
      <c r="D270" s="32"/>
      <c r="E270" s="32"/>
      <c r="F270" s="32"/>
      <c r="G270" s="65"/>
      <c r="H270" s="67"/>
      <c r="I270" s="118"/>
      <c r="J270" s="65"/>
      <c r="K270" s="74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 ht="15.75" customHeight="1">
      <c r="A271" s="32"/>
      <c r="B271" s="65"/>
      <c r="C271" s="65"/>
      <c r="D271" s="32"/>
      <c r="E271" s="32"/>
      <c r="F271" s="32"/>
      <c r="G271" s="65"/>
      <c r="H271" s="67"/>
      <c r="I271" s="118"/>
      <c r="J271" s="65"/>
      <c r="K271" s="74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 ht="15.75" customHeight="1">
      <c r="A272" s="32"/>
      <c r="B272" s="65"/>
      <c r="C272" s="65"/>
      <c r="D272" s="32"/>
      <c r="E272" s="32"/>
      <c r="F272" s="32"/>
      <c r="G272" s="65"/>
      <c r="H272" s="67"/>
      <c r="I272" s="118"/>
      <c r="J272" s="65"/>
      <c r="K272" s="74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 ht="15.75" customHeight="1">
      <c r="A273" s="32"/>
      <c r="B273" s="65"/>
      <c r="C273" s="65"/>
      <c r="D273" s="32"/>
      <c r="E273" s="32"/>
      <c r="F273" s="32"/>
      <c r="G273" s="65"/>
      <c r="H273" s="67"/>
      <c r="I273" s="118"/>
      <c r="J273" s="65"/>
      <c r="K273" s="74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 ht="15.75" customHeight="1">
      <c r="A274" s="32"/>
      <c r="B274" s="65"/>
      <c r="C274" s="65"/>
      <c r="D274" s="32"/>
      <c r="E274" s="32"/>
      <c r="F274" s="32"/>
      <c r="G274" s="65"/>
      <c r="H274" s="67"/>
      <c r="I274" s="118"/>
      <c r="J274" s="65"/>
      <c r="K274" s="74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 ht="15.75" customHeight="1">
      <c r="A275" s="32"/>
      <c r="B275" s="65"/>
      <c r="C275" s="65"/>
      <c r="D275" s="32"/>
      <c r="E275" s="32"/>
      <c r="F275" s="32"/>
      <c r="G275" s="65"/>
      <c r="H275" s="67"/>
      <c r="I275" s="118"/>
      <c r="J275" s="65"/>
      <c r="K275" s="74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ht="15.75" customHeight="1">
      <c r="A276" s="32"/>
      <c r="B276" s="65"/>
      <c r="C276" s="65"/>
      <c r="D276" s="32"/>
      <c r="E276" s="32"/>
      <c r="F276" s="32"/>
      <c r="G276" s="65"/>
      <c r="H276" s="67"/>
      <c r="I276" s="118"/>
      <c r="J276" s="65"/>
      <c r="K276" s="74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ht="15.75" customHeight="1">
      <c r="A277" s="32"/>
      <c r="B277" s="65"/>
      <c r="C277" s="65"/>
      <c r="D277" s="32"/>
      <c r="E277" s="32"/>
      <c r="F277" s="32"/>
      <c r="G277" s="65"/>
      <c r="H277" s="67"/>
      <c r="I277" s="118"/>
      <c r="J277" s="65"/>
      <c r="K277" s="74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 ht="15.75" customHeight="1">
      <c r="A278" s="32"/>
      <c r="B278" s="65"/>
      <c r="C278" s="65"/>
      <c r="D278" s="32"/>
      <c r="E278" s="32"/>
      <c r="F278" s="32"/>
      <c r="G278" s="65"/>
      <c r="H278" s="67"/>
      <c r="I278" s="118"/>
      <c r="J278" s="65"/>
      <c r="K278" s="74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 ht="15.75" customHeight="1">
      <c r="A279" s="32"/>
      <c r="B279" s="65"/>
      <c r="C279" s="65"/>
      <c r="D279" s="32"/>
      <c r="E279" s="32"/>
      <c r="F279" s="32"/>
      <c r="G279" s="65"/>
      <c r="H279" s="67"/>
      <c r="I279" s="118"/>
      <c r="J279" s="65"/>
      <c r="K279" s="74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 ht="15.75" customHeight="1">
      <c r="A280" s="32"/>
      <c r="B280" s="65"/>
      <c r="C280" s="65"/>
      <c r="D280" s="32"/>
      <c r="E280" s="32"/>
      <c r="F280" s="32"/>
      <c r="G280" s="65"/>
      <c r="H280" s="67"/>
      <c r="I280" s="118"/>
      <c r="J280" s="65"/>
      <c r="K280" s="74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 ht="15.75" customHeight="1">
      <c r="A281" s="32"/>
      <c r="B281" s="65"/>
      <c r="C281" s="65"/>
      <c r="D281" s="32"/>
      <c r="E281" s="32"/>
      <c r="F281" s="32"/>
      <c r="G281" s="65"/>
      <c r="H281" s="67"/>
      <c r="I281" s="118"/>
      <c r="J281" s="65"/>
      <c r="K281" s="74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 ht="15.75" customHeight="1">
      <c r="A282" s="32"/>
      <c r="B282" s="65"/>
      <c r="C282" s="65"/>
      <c r="D282" s="32"/>
      <c r="E282" s="32"/>
      <c r="F282" s="32"/>
      <c r="G282" s="65"/>
      <c r="H282" s="67"/>
      <c r="I282" s="118"/>
      <c r="J282" s="65"/>
      <c r="K282" s="74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 ht="15.75" customHeight="1">
      <c r="A283" s="32"/>
      <c r="B283" s="65"/>
      <c r="C283" s="65"/>
      <c r="D283" s="32"/>
      <c r="E283" s="32"/>
      <c r="F283" s="32"/>
      <c r="G283" s="65"/>
      <c r="H283" s="67"/>
      <c r="I283" s="118"/>
      <c r="J283" s="65"/>
      <c r="K283" s="74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 ht="15.75" customHeight="1">
      <c r="A284" s="32"/>
      <c r="B284" s="65"/>
      <c r="C284" s="65"/>
      <c r="D284" s="32"/>
      <c r="E284" s="32"/>
      <c r="F284" s="32"/>
      <c r="G284" s="65"/>
      <c r="H284" s="67"/>
      <c r="I284" s="118"/>
      <c r="J284" s="65"/>
      <c r="K284" s="74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 ht="15.75" customHeight="1">
      <c r="A285" s="32"/>
      <c r="B285" s="65"/>
      <c r="C285" s="65"/>
      <c r="D285" s="32"/>
      <c r="E285" s="32"/>
      <c r="F285" s="32"/>
      <c r="G285" s="65"/>
      <c r="H285" s="67"/>
      <c r="I285" s="118"/>
      <c r="J285" s="65"/>
      <c r="K285" s="74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 ht="15.75" customHeight="1">
      <c r="A286" s="32"/>
      <c r="B286" s="65"/>
      <c r="C286" s="65"/>
      <c r="D286" s="32"/>
      <c r="E286" s="32"/>
      <c r="F286" s="32"/>
      <c r="G286" s="65"/>
      <c r="H286" s="67"/>
      <c r="I286" s="118"/>
      <c r="J286" s="65"/>
      <c r="K286" s="74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 ht="15.75" customHeight="1">
      <c r="A287" s="32"/>
      <c r="B287" s="65"/>
      <c r="C287" s="65"/>
      <c r="D287" s="32"/>
      <c r="E287" s="32"/>
      <c r="F287" s="32"/>
      <c r="G287" s="65"/>
      <c r="H287" s="67"/>
      <c r="I287" s="118"/>
      <c r="J287" s="65"/>
      <c r="K287" s="74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 ht="15.75" customHeight="1">
      <c r="A288" s="32"/>
      <c r="B288" s="65"/>
      <c r="C288" s="65"/>
      <c r="D288" s="32"/>
      <c r="E288" s="32"/>
      <c r="F288" s="32"/>
      <c r="G288" s="65"/>
      <c r="H288" s="67"/>
      <c r="I288" s="118"/>
      <c r="J288" s="65"/>
      <c r="K288" s="74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 ht="15.75" customHeight="1">
      <c r="A289" s="32"/>
      <c r="B289" s="65"/>
      <c r="C289" s="65"/>
      <c r="D289" s="32"/>
      <c r="E289" s="32"/>
      <c r="F289" s="32"/>
      <c r="G289" s="65"/>
      <c r="H289" s="67"/>
      <c r="I289" s="118"/>
      <c r="J289" s="65"/>
      <c r="K289" s="74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 ht="15.75" customHeight="1">
      <c r="A290" s="32"/>
      <c r="B290" s="65"/>
      <c r="C290" s="65"/>
      <c r="D290" s="32"/>
      <c r="E290" s="32"/>
      <c r="F290" s="32"/>
      <c r="G290" s="65"/>
      <c r="H290" s="67"/>
      <c r="I290" s="118"/>
      <c r="J290" s="65"/>
      <c r="K290" s="74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 ht="15.75" customHeight="1">
      <c r="A291" s="32"/>
      <c r="B291" s="65"/>
      <c r="C291" s="65"/>
      <c r="D291" s="32"/>
      <c r="E291" s="32"/>
      <c r="F291" s="32"/>
      <c r="G291" s="65"/>
      <c r="H291" s="67"/>
      <c r="I291" s="118"/>
      <c r="J291" s="65"/>
      <c r="K291" s="74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 ht="15.75" customHeight="1">
      <c r="A292" s="32"/>
      <c r="B292" s="65"/>
      <c r="C292" s="65"/>
      <c r="D292" s="32"/>
      <c r="E292" s="32"/>
      <c r="F292" s="32"/>
      <c r="G292" s="65"/>
      <c r="H292" s="67"/>
      <c r="I292" s="118"/>
      <c r="J292" s="65"/>
      <c r="K292" s="74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ht="15.75" customHeight="1">
      <c r="A293" s="32"/>
      <c r="B293" s="65"/>
      <c r="C293" s="65"/>
      <c r="D293" s="32"/>
      <c r="E293" s="32"/>
      <c r="F293" s="32"/>
      <c r="G293" s="65"/>
      <c r="H293" s="67"/>
      <c r="I293" s="118"/>
      <c r="J293" s="65"/>
      <c r="K293" s="74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ht="15.75" customHeight="1">
      <c r="A294" s="32"/>
      <c r="B294" s="65"/>
      <c r="C294" s="65"/>
      <c r="D294" s="32"/>
      <c r="E294" s="32"/>
      <c r="F294" s="32"/>
      <c r="G294" s="65"/>
      <c r="H294" s="67"/>
      <c r="I294" s="118"/>
      <c r="J294" s="65"/>
      <c r="K294" s="74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 ht="15.75" customHeight="1">
      <c r="A295" s="32"/>
      <c r="B295" s="65"/>
      <c r="C295" s="65"/>
      <c r="D295" s="32"/>
      <c r="E295" s="32"/>
      <c r="F295" s="32"/>
      <c r="G295" s="65"/>
      <c r="H295" s="67"/>
      <c r="I295" s="118"/>
      <c r="J295" s="65"/>
      <c r="K295" s="74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 ht="15.75" customHeight="1">
      <c r="A296" s="32"/>
      <c r="B296" s="65"/>
      <c r="C296" s="65"/>
      <c r="D296" s="32"/>
      <c r="E296" s="32"/>
      <c r="F296" s="32"/>
      <c r="G296" s="65"/>
      <c r="H296" s="67"/>
      <c r="I296" s="118"/>
      <c r="J296" s="65"/>
      <c r="K296" s="74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 ht="15.75" customHeight="1">
      <c r="A297" s="32"/>
      <c r="B297" s="65"/>
      <c r="C297" s="65"/>
      <c r="D297" s="32"/>
      <c r="E297" s="32"/>
      <c r="F297" s="32"/>
      <c r="G297" s="65"/>
      <c r="H297" s="67"/>
      <c r="I297" s="118"/>
      <c r="J297" s="65"/>
      <c r="K297" s="74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 ht="15.75" customHeight="1">
      <c r="A298" s="32"/>
      <c r="B298" s="65"/>
      <c r="C298" s="65"/>
      <c r="D298" s="32"/>
      <c r="E298" s="32"/>
      <c r="F298" s="32"/>
      <c r="G298" s="65"/>
      <c r="H298" s="67"/>
      <c r="I298" s="118"/>
      <c r="J298" s="65"/>
      <c r="K298" s="74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 ht="15.75" customHeight="1">
      <c r="A299" s="32"/>
      <c r="B299" s="65"/>
      <c r="C299" s="65"/>
      <c r="D299" s="32"/>
      <c r="E299" s="32"/>
      <c r="F299" s="32"/>
      <c r="G299" s="65"/>
      <c r="H299" s="67"/>
      <c r="I299" s="118"/>
      <c r="J299" s="65"/>
      <c r="K299" s="74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ht="15.75" customHeight="1">
      <c r="A300" s="32"/>
      <c r="B300" s="65"/>
      <c r="C300" s="65"/>
      <c r="D300" s="32"/>
      <c r="E300" s="32"/>
      <c r="F300" s="32"/>
      <c r="G300" s="65"/>
      <c r="H300" s="67"/>
      <c r="I300" s="118"/>
      <c r="J300" s="65"/>
      <c r="K300" s="74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 ht="15.75" customHeight="1">
      <c r="A301" s="32"/>
      <c r="B301" s="65"/>
      <c r="C301" s="65"/>
      <c r="D301" s="32"/>
      <c r="E301" s="32"/>
      <c r="F301" s="32"/>
      <c r="G301" s="65"/>
      <c r="H301" s="67"/>
      <c r="I301" s="118"/>
      <c r="J301" s="65"/>
      <c r="K301" s="74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 ht="15.75" customHeight="1">
      <c r="A302" s="32"/>
      <c r="B302" s="65"/>
      <c r="C302" s="65"/>
      <c r="D302" s="32"/>
      <c r="E302" s="32"/>
      <c r="F302" s="32"/>
      <c r="G302" s="65"/>
      <c r="H302" s="67"/>
      <c r="I302" s="118"/>
      <c r="J302" s="65"/>
      <c r="K302" s="74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 ht="15.75" customHeight="1">
      <c r="A303" s="32"/>
      <c r="B303" s="65"/>
      <c r="C303" s="65"/>
      <c r="D303" s="32"/>
      <c r="E303" s="32"/>
      <c r="F303" s="32"/>
      <c r="G303" s="65"/>
      <c r="H303" s="67"/>
      <c r="I303" s="118"/>
      <c r="J303" s="65"/>
      <c r="K303" s="74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 ht="15.75" customHeight="1">
      <c r="A304" s="32"/>
      <c r="B304" s="65"/>
      <c r="C304" s="65"/>
      <c r="D304" s="32"/>
      <c r="E304" s="32"/>
      <c r="F304" s="32"/>
      <c r="G304" s="65"/>
      <c r="H304" s="67"/>
      <c r="I304" s="118"/>
      <c r="J304" s="65"/>
      <c r="K304" s="74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 ht="15.75" customHeight="1">
      <c r="A305" s="32"/>
      <c r="B305" s="65"/>
      <c r="C305" s="65"/>
      <c r="D305" s="32"/>
      <c r="E305" s="32"/>
      <c r="F305" s="32"/>
      <c r="G305" s="65"/>
      <c r="H305" s="67"/>
      <c r="I305" s="118"/>
      <c r="J305" s="65"/>
      <c r="K305" s="74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 ht="15.75" customHeight="1">
      <c r="A306" s="32"/>
      <c r="B306" s="65"/>
      <c r="C306" s="65"/>
      <c r="D306" s="32"/>
      <c r="E306" s="32"/>
      <c r="F306" s="32"/>
      <c r="G306" s="65"/>
      <c r="H306" s="67"/>
      <c r="I306" s="118"/>
      <c r="J306" s="65"/>
      <c r="K306" s="74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 ht="15.75" customHeight="1">
      <c r="A307" s="32"/>
      <c r="B307" s="65"/>
      <c r="C307" s="65"/>
      <c r="D307" s="32"/>
      <c r="E307" s="32"/>
      <c r="F307" s="32"/>
      <c r="G307" s="65"/>
      <c r="H307" s="67"/>
      <c r="I307" s="118"/>
      <c r="J307" s="65"/>
      <c r="K307" s="74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 ht="15.75" customHeight="1">
      <c r="A308" s="32"/>
      <c r="B308" s="65"/>
      <c r="C308" s="65"/>
      <c r="D308" s="32"/>
      <c r="E308" s="32"/>
      <c r="F308" s="32"/>
      <c r="G308" s="65"/>
      <c r="H308" s="67"/>
      <c r="I308" s="118"/>
      <c r="J308" s="65"/>
      <c r="K308" s="74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 ht="15.75" customHeight="1">
      <c r="A309" s="32"/>
      <c r="B309" s="65"/>
      <c r="C309" s="65"/>
      <c r="D309" s="32"/>
      <c r="E309" s="32"/>
      <c r="F309" s="32"/>
      <c r="G309" s="65"/>
      <c r="H309" s="67"/>
      <c r="I309" s="118"/>
      <c r="J309" s="65"/>
      <c r="K309" s="74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 ht="15.75" customHeight="1">
      <c r="A310" s="32"/>
      <c r="B310" s="65"/>
      <c r="C310" s="65"/>
      <c r="D310" s="32"/>
      <c r="E310" s="32"/>
      <c r="F310" s="32"/>
      <c r="G310" s="65"/>
      <c r="H310" s="67"/>
      <c r="I310" s="118"/>
      <c r="J310" s="65"/>
      <c r="K310" s="74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 ht="15.75" customHeight="1">
      <c r="A311" s="32"/>
      <c r="B311" s="65"/>
      <c r="C311" s="65"/>
      <c r="D311" s="32"/>
      <c r="E311" s="32"/>
      <c r="F311" s="32"/>
      <c r="G311" s="65"/>
      <c r="H311" s="67"/>
      <c r="I311" s="118"/>
      <c r="J311" s="65"/>
      <c r="K311" s="74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 ht="15.75" customHeight="1">
      <c r="A312" s="32"/>
      <c r="B312" s="65"/>
      <c r="C312" s="65"/>
      <c r="D312" s="32"/>
      <c r="E312" s="32"/>
      <c r="F312" s="32"/>
      <c r="G312" s="65"/>
      <c r="H312" s="67"/>
      <c r="I312" s="118"/>
      <c r="J312" s="65"/>
      <c r="K312" s="74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 ht="15.75" customHeight="1">
      <c r="A313" s="32"/>
      <c r="B313" s="65"/>
      <c r="C313" s="65"/>
      <c r="D313" s="32"/>
      <c r="E313" s="32"/>
      <c r="F313" s="32"/>
      <c r="G313" s="65"/>
      <c r="H313" s="67"/>
      <c r="I313" s="118"/>
      <c r="J313" s="65"/>
      <c r="K313" s="74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 ht="15.75" customHeight="1">
      <c r="A314" s="32"/>
      <c r="B314" s="65"/>
      <c r="C314" s="65"/>
      <c r="D314" s="32"/>
      <c r="E314" s="32"/>
      <c r="F314" s="32"/>
      <c r="G314" s="65"/>
      <c r="H314" s="67"/>
      <c r="I314" s="118"/>
      <c r="J314" s="65"/>
      <c r="K314" s="74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 ht="15.75" customHeight="1">
      <c r="A315" s="32"/>
      <c r="B315" s="65"/>
      <c r="C315" s="65"/>
      <c r="D315" s="32"/>
      <c r="E315" s="32"/>
      <c r="F315" s="32"/>
      <c r="G315" s="65"/>
      <c r="H315" s="67"/>
      <c r="I315" s="118"/>
      <c r="J315" s="65"/>
      <c r="K315" s="74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 ht="15.75" customHeight="1">
      <c r="A316" s="32"/>
      <c r="B316" s="65"/>
      <c r="C316" s="65"/>
      <c r="D316" s="32"/>
      <c r="E316" s="32"/>
      <c r="F316" s="32"/>
      <c r="G316" s="65"/>
      <c r="H316" s="67"/>
      <c r="I316" s="118"/>
      <c r="J316" s="65"/>
      <c r="K316" s="74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 ht="15.75" customHeight="1">
      <c r="A317" s="32"/>
      <c r="B317" s="65"/>
      <c r="C317" s="65"/>
      <c r="D317" s="32"/>
      <c r="E317" s="32"/>
      <c r="F317" s="32"/>
      <c r="G317" s="65"/>
      <c r="H317" s="67"/>
      <c r="I317" s="118"/>
      <c r="J317" s="65"/>
      <c r="K317" s="74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 ht="15.75" customHeight="1">
      <c r="A318" s="32"/>
      <c r="B318" s="65"/>
      <c r="C318" s="65"/>
      <c r="D318" s="32"/>
      <c r="E318" s="32"/>
      <c r="F318" s="32"/>
      <c r="G318" s="65"/>
      <c r="H318" s="67"/>
      <c r="I318" s="118"/>
      <c r="J318" s="65"/>
      <c r="K318" s="74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 ht="15.75" customHeight="1">
      <c r="A319" s="32"/>
      <c r="B319" s="65"/>
      <c r="C319" s="65"/>
      <c r="D319" s="32"/>
      <c r="E319" s="32"/>
      <c r="F319" s="32"/>
      <c r="G319" s="65"/>
      <c r="H319" s="67"/>
      <c r="I319" s="118"/>
      <c r="J319" s="65"/>
      <c r="K319" s="74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 ht="15.75" customHeight="1">
      <c r="A320" s="32"/>
      <c r="B320" s="65"/>
      <c r="C320" s="65"/>
      <c r="D320" s="32"/>
      <c r="E320" s="32"/>
      <c r="F320" s="32"/>
      <c r="G320" s="65"/>
      <c r="H320" s="67"/>
      <c r="I320" s="118"/>
      <c r="J320" s="65"/>
      <c r="K320" s="74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 ht="15.75" customHeight="1">
      <c r="A321" s="32"/>
      <c r="B321" s="65"/>
      <c r="C321" s="65"/>
      <c r="D321" s="32"/>
      <c r="E321" s="32"/>
      <c r="F321" s="32"/>
      <c r="G321" s="65"/>
      <c r="H321" s="67"/>
      <c r="I321" s="118"/>
      <c r="J321" s="65"/>
      <c r="K321" s="74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 ht="15.75" customHeight="1">
      <c r="A322" s="32"/>
      <c r="B322" s="65"/>
      <c r="C322" s="65"/>
      <c r="D322" s="32"/>
      <c r="E322" s="32"/>
      <c r="F322" s="32"/>
      <c r="G322" s="65"/>
      <c r="H322" s="67"/>
      <c r="I322" s="118"/>
      <c r="J322" s="65"/>
      <c r="K322" s="74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 ht="15.75" customHeight="1">
      <c r="A323" s="32"/>
      <c r="B323" s="65"/>
      <c r="C323" s="65"/>
      <c r="D323" s="32"/>
      <c r="E323" s="32"/>
      <c r="F323" s="32"/>
      <c r="G323" s="65"/>
      <c r="H323" s="67"/>
      <c r="I323" s="118"/>
      <c r="J323" s="65"/>
      <c r="K323" s="74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 ht="15.75" customHeight="1">
      <c r="A324" s="32"/>
      <c r="B324" s="65"/>
      <c r="C324" s="65"/>
      <c r="D324" s="32"/>
      <c r="E324" s="32"/>
      <c r="F324" s="32"/>
      <c r="G324" s="65"/>
      <c r="H324" s="67"/>
      <c r="I324" s="118"/>
      <c r="J324" s="65"/>
      <c r="K324" s="74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 ht="15.75" customHeight="1">
      <c r="A325" s="32"/>
      <c r="B325" s="65"/>
      <c r="C325" s="65"/>
      <c r="D325" s="32"/>
      <c r="E325" s="32"/>
      <c r="F325" s="32"/>
      <c r="G325" s="65"/>
      <c r="H325" s="67"/>
      <c r="I325" s="118"/>
      <c r="J325" s="65"/>
      <c r="K325" s="74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 ht="15.75" customHeight="1">
      <c r="A326" s="32"/>
      <c r="B326" s="65"/>
      <c r="C326" s="65"/>
      <c r="D326" s="32"/>
      <c r="E326" s="32"/>
      <c r="F326" s="32"/>
      <c r="G326" s="65"/>
      <c r="H326" s="67"/>
      <c r="I326" s="118"/>
      <c r="J326" s="65"/>
      <c r="K326" s="74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 ht="15.75" customHeight="1">
      <c r="A327" s="32"/>
      <c r="B327" s="65"/>
      <c r="C327" s="65"/>
      <c r="D327" s="32"/>
      <c r="E327" s="32"/>
      <c r="F327" s="32"/>
      <c r="G327" s="65"/>
      <c r="H327" s="67"/>
      <c r="I327" s="118"/>
      <c r="J327" s="65"/>
      <c r="K327" s="74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 ht="15.75" customHeight="1">
      <c r="A328" s="32"/>
      <c r="B328" s="65"/>
      <c r="C328" s="65"/>
      <c r="D328" s="32"/>
      <c r="E328" s="32"/>
      <c r="F328" s="32"/>
      <c r="G328" s="65"/>
      <c r="H328" s="67"/>
      <c r="I328" s="118"/>
      <c r="J328" s="65"/>
      <c r="K328" s="74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 ht="15.75" customHeight="1">
      <c r="A329" s="32"/>
      <c r="B329" s="65"/>
      <c r="C329" s="65"/>
      <c r="D329" s="32"/>
      <c r="E329" s="32"/>
      <c r="F329" s="32"/>
      <c r="G329" s="65"/>
      <c r="H329" s="67"/>
      <c r="I329" s="118"/>
      <c r="J329" s="65"/>
      <c r="K329" s="74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 ht="15.75" customHeight="1">
      <c r="A330" s="32"/>
      <c r="B330" s="65"/>
      <c r="C330" s="65"/>
      <c r="D330" s="32"/>
      <c r="E330" s="32"/>
      <c r="F330" s="32"/>
      <c r="G330" s="65"/>
      <c r="H330" s="67"/>
      <c r="I330" s="118"/>
      <c r="J330" s="65"/>
      <c r="K330" s="74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 ht="15.75" customHeight="1">
      <c r="A331" s="32"/>
      <c r="B331" s="65"/>
      <c r="C331" s="65"/>
      <c r="D331" s="32"/>
      <c r="E331" s="32"/>
      <c r="F331" s="32"/>
      <c r="G331" s="65"/>
      <c r="H331" s="67"/>
      <c r="I331" s="118"/>
      <c r="J331" s="65"/>
      <c r="K331" s="74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 ht="15.75" customHeight="1">
      <c r="A332" s="32"/>
      <c r="B332" s="65"/>
      <c r="C332" s="65"/>
      <c r="D332" s="32"/>
      <c r="E332" s="32"/>
      <c r="F332" s="32"/>
      <c r="G332" s="65"/>
      <c r="H332" s="67"/>
      <c r="I332" s="118"/>
      <c r="J332" s="65"/>
      <c r="K332" s="74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 ht="15.75" customHeight="1">
      <c r="A333" s="32"/>
      <c r="B333" s="65"/>
      <c r="C333" s="65"/>
      <c r="D333" s="32"/>
      <c r="E333" s="32"/>
      <c r="F333" s="32"/>
      <c r="G333" s="65"/>
      <c r="H333" s="67"/>
      <c r="I333" s="118"/>
      <c r="J333" s="65"/>
      <c r="K333" s="74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 ht="15.75" customHeight="1">
      <c r="A334" s="32"/>
      <c r="B334" s="65"/>
      <c r="C334" s="65"/>
      <c r="D334" s="32"/>
      <c r="E334" s="32"/>
      <c r="F334" s="32"/>
      <c r="G334" s="65"/>
      <c r="H334" s="67"/>
      <c r="I334" s="118"/>
      <c r="J334" s="65"/>
      <c r="K334" s="74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 ht="15.75" customHeight="1">
      <c r="A335" s="32"/>
      <c r="B335" s="65"/>
      <c r="C335" s="65"/>
      <c r="D335" s="32"/>
      <c r="E335" s="32"/>
      <c r="F335" s="32"/>
      <c r="G335" s="65"/>
      <c r="H335" s="67"/>
      <c r="I335" s="118"/>
      <c r="J335" s="65"/>
      <c r="K335" s="74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 ht="15.75" customHeight="1">
      <c r="A336" s="32"/>
      <c r="B336" s="65"/>
      <c r="C336" s="65"/>
      <c r="D336" s="32"/>
      <c r="E336" s="32"/>
      <c r="F336" s="32"/>
      <c r="G336" s="65"/>
      <c r="H336" s="67"/>
      <c r="I336" s="118"/>
      <c r="J336" s="65"/>
      <c r="K336" s="74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 ht="15.75" customHeight="1">
      <c r="A337" s="32"/>
      <c r="B337" s="65"/>
      <c r="C337" s="65"/>
      <c r="D337" s="32"/>
      <c r="E337" s="32"/>
      <c r="F337" s="32"/>
      <c r="G337" s="65"/>
      <c r="H337" s="67"/>
      <c r="I337" s="118"/>
      <c r="J337" s="65"/>
      <c r="K337" s="74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 ht="15.75" customHeight="1">
      <c r="A338" s="32"/>
      <c r="B338" s="65"/>
      <c r="C338" s="65"/>
      <c r="D338" s="32"/>
      <c r="E338" s="32"/>
      <c r="F338" s="32"/>
      <c r="G338" s="65"/>
      <c r="H338" s="67"/>
      <c r="I338" s="118"/>
      <c r="J338" s="65"/>
      <c r="K338" s="74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 ht="15.75" customHeight="1">
      <c r="A339" s="32"/>
      <c r="B339" s="65"/>
      <c r="C339" s="65"/>
      <c r="D339" s="32"/>
      <c r="E339" s="32"/>
      <c r="F339" s="32"/>
      <c r="G339" s="65"/>
      <c r="H339" s="67"/>
      <c r="I339" s="118"/>
      <c r="J339" s="65"/>
      <c r="K339" s="74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 ht="15.75" customHeight="1">
      <c r="A340" s="32"/>
      <c r="B340" s="65"/>
      <c r="C340" s="65"/>
      <c r="D340" s="32"/>
      <c r="E340" s="32"/>
      <c r="F340" s="32"/>
      <c r="G340" s="65"/>
      <c r="H340" s="67"/>
      <c r="I340" s="118"/>
      <c r="J340" s="65"/>
      <c r="K340" s="74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 ht="15.75" customHeight="1">
      <c r="A341" s="32"/>
      <c r="B341" s="65"/>
      <c r="C341" s="65"/>
      <c r="D341" s="32"/>
      <c r="E341" s="32"/>
      <c r="F341" s="32"/>
      <c r="G341" s="65"/>
      <c r="H341" s="67"/>
      <c r="I341" s="118"/>
      <c r="J341" s="65"/>
      <c r="K341" s="74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 ht="15.75" customHeight="1">
      <c r="A342" s="32"/>
      <c r="B342" s="65"/>
      <c r="C342" s="65"/>
      <c r="D342" s="32"/>
      <c r="E342" s="32"/>
      <c r="F342" s="32"/>
      <c r="G342" s="65"/>
      <c r="H342" s="67"/>
      <c r="I342" s="118"/>
      <c r="J342" s="65"/>
      <c r="K342" s="74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 ht="15.75" customHeight="1">
      <c r="A343" s="32"/>
      <c r="B343" s="65"/>
      <c r="C343" s="65"/>
      <c r="D343" s="32"/>
      <c r="E343" s="32"/>
      <c r="F343" s="32"/>
      <c r="G343" s="65"/>
      <c r="H343" s="67"/>
      <c r="I343" s="118"/>
      <c r="J343" s="65"/>
      <c r="K343" s="74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 ht="15.75" customHeight="1">
      <c r="A344" s="32"/>
      <c r="B344" s="65"/>
      <c r="C344" s="65"/>
      <c r="D344" s="32"/>
      <c r="E344" s="32"/>
      <c r="F344" s="32"/>
      <c r="G344" s="65"/>
      <c r="H344" s="67"/>
      <c r="I344" s="118"/>
      <c r="J344" s="65"/>
      <c r="K344" s="74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 ht="15.75" customHeight="1">
      <c r="A345" s="32"/>
      <c r="B345" s="65"/>
      <c r="C345" s="65"/>
      <c r="D345" s="32"/>
      <c r="E345" s="32"/>
      <c r="F345" s="32"/>
      <c r="G345" s="65"/>
      <c r="H345" s="67"/>
      <c r="I345" s="118"/>
      <c r="J345" s="65"/>
      <c r="K345" s="74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 ht="15.75" customHeight="1">
      <c r="A346" s="32"/>
      <c r="B346" s="65"/>
      <c r="C346" s="65"/>
      <c r="D346" s="32"/>
      <c r="E346" s="32"/>
      <c r="F346" s="32"/>
      <c r="G346" s="65"/>
      <c r="H346" s="67"/>
      <c r="I346" s="118"/>
      <c r="J346" s="65"/>
      <c r="K346" s="74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 ht="15.75" customHeight="1">
      <c r="A347" s="32"/>
      <c r="B347" s="65"/>
      <c r="C347" s="65"/>
      <c r="D347" s="32"/>
      <c r="E347" s="32"/>
      <c r="F347" s="32"/>
      <c r="G347" s="65"/>
      <c r="H347" s="67"/>
      <c r="I347" s="118"/>
      <c r="J347" s="65"/>
      <c r="K347" s="74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 ht="15.75" customHeight="1">
      <c r="A348" s="32"/>
      <c r="B348" s="65"/>
      <c r="C348" s="65"/>
      <c r="D348" s="32"/>
      <c r="E348" s="32"/>
      <c r="F348" s="32"/>
      <c r="G348" s="65"/>
      <c r="H348" s="67"/>
      <c r="I348" s="118"/>
      <c r="J348" s="65"/>
      <c r="K348" s="74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 ht="15.75" customHeight="1">
      <c r="A349" s="32"/>
      <c r="B349" s="65"/>
      <c r="C349" s="65"/>
      <c r="D349" s="32"/>
      <c r="E349" s="32"/>
      <c r="F349" s="32"/>
      <c r="G349" s="65"/>
      <c r="H349" s="67"/>
      <c r="I349" s="118"/>
      <c r="J349" s="65"/>
      <c r="K349" s="74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 ht="15.75" customHeight="1">
      <c r="A350" s="32"/>
      <c r="B350" s="65"/>
      <c r="C350" s="65"/>
      <c r="D350" s="32"/>
      <c r="E350" s="32"/>
      <c r="F350" s="32"/>
      <c r="G350" s="65"/>
      <c r="H350" s="67"/>
      <c r="I350" s="118"/>
      <c r="J350" s="65"/>
      <c r="K350" s="74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 ht="15.75" customHeight="1">
      <c r="A351" s="32"/>
      <c r="B351" s="65"/>
      <c r="C351" s="65"/>
      <c r="D351" s="32"/>
      <c r="E351" s="32"/>
      <c r="F351" s="32"/>
      <c r="G351" s="65"/>
      <c r="H351" s="67"/>
      <c r="I351" s="118"/>
      <c r="J351" s="65"/>
      <c r="K351" s="74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 ht="15.75" customHeight="1">
      <c r="A352" s="32"/>
      <c r="B352" s="65"/>
      <c r="C352" s="65"/>
      <c r="D352" s="32"/>
      <c r="E352" s="32"/>
      <c r="F352" s="32"/>
      <c r="G352" s="65"/>
      <c r="H352" s="67"/>
      <c r="I352" s="118"/>
      <c r="J352" s="65"/>
      <c r="K352" s="74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 ht="15.75" customHeight="1">
      <c r="A353" s="32"/>
      <c r="B353" s="65"/>
      <c r="C353" s="65"/>
      <c r="D353" s="32"/>
      <c r="E353" s="32"/>
      <c r="F353" s="32"/>
      <c r="G353" s="65"/>
      <c r="H353" s="67"/>
      <c r="I353" s="118"/>
      <c r="J353" s="65"/>
      <c r="K353" s="74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 ht="15.75" customHeight="1">
      <c r="A354" s="32"/>
      <c r="B354" s="65"/>
      <c r="C354" s="65"/>
      <c r="D354" s="32"/>
      <c r="E354" s="32"/>
      <c r="F354" s="32"/>
      <c r="G354" s="65"/>
      <c r="H354" s="67"/>
      <c r="I354" s="118"/>
      <c r="J354" s="65"/>
      <c r="K354" s="74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 ht="15.75" customHeight="1">
      <c r="A355" s="32"/>
      <c r="B355" s="65"/>
      <c r="C355" s="65"/>
      <c r="D355" s="32"/>
      <c r="E355" s="32"/>
      <c r="F355" s="32"/>
      <c r="G355" s="65"/>
      <c r="H355" s="67"/>
      <c r="I355" s="118"/>
      <c r="J355" s="65"/>
      <c r="K355" s="74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 ht="15.75" customHeight="1">
      <c r="A356" s="32"/>
      <c r="B356" s="65"/>
      <c r="C356" s="65"/>
      <c r="D356" s="32"/>
      <c r="E356" s="32"/>
      <c r="F356" s="32"/>
      <c r="G356" s="65"/>
      <c r="H356" s="67"/>
      <c r="I356" s="118"/>
      <c r="J356" s="65"/>
      <c r="K356" s="74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 ht="15.75" customHeight="1">
      <c r="A357" s="32"/>
      <c r="B357" s="65"/>
      <c r="C357" s="65"/>
      <c r="D357" s="32"/>
      <c r="E357" s="32"/>
      <c r="F357" s="32"/>
      <c r="G357" s="65"/>
      <c r="H357" s="67"/>
      <c r="I357" s="118"/>
      <c r="J357" s="65"/>
      <c r="K357" s="74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 ht="15.75" customHeight="1">
      <c r="A358" s="32"/>
      <c r="B358" s="65"/>
      <c r="C358" s="65"/>
      <c r="D358" s="32"/>
      <c r="E358" s="32"/>
      <c r="F358" s="32"/>
      <c r="G358" s="65"/>
      <c r="H358" s="67"/>
      <c r="I358" s="118"/>
      <c r="J358" s="65"/>
      <c r="K358" s="74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 ht="15.75" customHeight="1">
      <c r="A359" s="32"/>
      <c r="B359" s="65"/>
      <c r="C359" s="65"/>
      <c r="D359" s="32"/>
      <c r="E359" s="32"/>
      <c r="F359" s="32"/>
      <c r="G359" s="65"/>
      <c r="H359" s="67"/>
      <c r="I359" s="118"/>
      <c r="J359" s="65"/>
      <c r="K359" s="74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 ht="15.75" customHeight="1">
      <c r="A360" s="32"/>
      <c r="B360" s="65"/>
      <c r="C360" s="65"/>
      <c r="D360" s="32"/>
      <c r="E360" s="32"/>
      <c r="F360" s="32"/>
      <c r="G360" s="65"/>
      <c r="H360" s="67"/>
      <c r="I360" s="118"/>
      <c r="J360" s="65"/>
      <c r="K360" s="74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 ht="15.75" customHeight="1">
      <c r="A361" s="32"/>
      <c r="B361" s="65"/>
      <c r="C361" s="65"/>
      <c r="D361" s="32"/>
      <c r="E361" s="32"/>
      <c r="F361" s="32"/>
      <c r="G361" s="65"/>
      <c r="H361" s="67"/>
      <c r="I361" s="118"/>
      <c r="J361" s="65"/>
      <c r="K361" s="74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 ht="15.75" customHeight="1">
      <c r="A362" s="32"/>
      <c r="B362" s="65"/>
      <c r="C362" s="65"/>
      <c r="D362" s="32"/>
      <c r="E362" s="32"/>
      <c r="F362" s="32"/>
      <c r="G362" s="65"/>
      <c r="H362" s="67"/>
      <c r="I362" s="118"/>
      <c r="J362" s="65"/>
      <c r="K362" s="74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 ht="15.75" customHeight="1">
      <c r="A363" s="32"/>
      <c r="B363" s="65"/>
      <c r="C363" s="65"/>
      <c r="D363" s="32"/>
      <c r="E363" s="32"/>
      <c r="F363" s="32"/>
      <c r="G363" s="65"/>
      <c r="H363" s="67"/>
      <c r="I363" s="118"/>
      <c r="J363" s="65"/>
      <c r="K363" s="74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 ht="15.75" customHeight="1">
      <c r="A364" s="32"/>
      <c r="B364" s="65"/>
      <c r="C364" s="65"/>
      <c r="D364" s="32"/>
      <c r="E364" s="32"/>
      <c r="F364" s="32"/>
      <c r="G364" s="65"/>
      <c r="H364" s="67"/>
      <c r="I364" s="118"/>
      <c r="J364" s="65"/>
      <c r="K364" s="74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 ht="15.75" customHeight="1">
      <c r="A365" s="32"/>
      <c r="B365" s="65"/>
      <c r="C365" s="65"/>
      <c r="D365" s="32"/>
      <c r="E365" s="32"/>
      <c r="F365" s="32"/>
      <c r="G365" s="65"/>
      <c r="H365" s="67"/>
      <c r="I365" s="118"/>
      <c r="J365" s="65"/>
      <c r="K365" s="74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 ht="15.75" customHeight="1">
      <c r="A366" s="32"/>
      <c r="B366" s="65"/>
      <c r="C366" s="65"/>
      <c r="D366" s="32"/>
      <c r="E366" s="32"/>
      <c r="F366" s="32"/>
      <c r="G366" s="65"/>
      <c r="H366" s="67"/>
      <c r="I366" s="118"/>
      <c r="J366" s="65"/>
      <c r="K366" s="74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 ht="15.75" customHeight="1">
      <c r="A367" s="32"/>
      <c r="B367" s="65"/>
      <c r="C367" s="65"/>
      <c r="D367" s="32"/>
      <c r="E367" s="32"/>
      <c r="F367" s="32"/>
      <c r="G367" s="65"/>
      <c r="H367" s="67"/>
      <c r="I367" s="118"/>
      <c r="J367" s="65"/>
      <c r="K367" s="74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 ht="15.75" customHeight="1">
      <c r="A368" s="32"/>
      <c r="B368" s="65"/>
      <c r="C368" s="65"/>
      <c r="D368" s="32"/>
      <c r="E368" s="32"/>
      <c r="F368" s="32"/>
      <c r="G368" s="65"/>
      <c r="H368" s="67"/>
      <c r="I368" s="118"/>
      <c r="J368" s="65"/>
      <c r="K368" s="74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 ht="15.75" customHeight="1">
      <c r="A369" s="32"/>
      <c r="B369" s="65"/>
      <c r="C369" s="65"/>
      <c r="D369" s="32"/>
      <c r="E369" s="32"/>
      <c r="F369" s="32"/>
      <c r="G369" s="65"/>
      <c r="H369" s="67"/>
      <c r="I369" s="118"/>
      <c r="J369" s="65"/>
      <c r="K369" s="74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 ht="15.75" customHeight="1">
      <c r="A370" s="32"/>
      <c r="B370" s="65"/>
      <c r="C370" s="65"/>
      <c r="D370" s="32"/>
      <c r="E370" s="32"/>
      <c r="F370" s="32"/>
      <c r="G370" s="65"/>
      <c r="H370" s="67"/>
      <c r="I370" s="118"/>
      <c r="J370" s="65"/>
      <c r="K370" s="74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 ht="15.75" customHeight="1">
      <c r="A371" s="32"/>
      <c r="B371" s="65"/>
      <c r="C371" s="65"/>
      <c r="D371" s="32"/>
      <c r="E371" s="32"/>
      <c r="F371" s="32"/>
      <c r="G371" s="65"/>
      <c r="H371" s="67"/>
      <c r="I371" s="118"/>
      <c r="J371" s="65"/>
      <c r="K371" s="74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 ht="15.75" customHeight="1">
      <c r="A372" s="32"/>
      <c r="B372" s="65"/>
      <c r="C372" s="65"/>
      <c r="D372" s="32"/>
      <c r="E372" s="32"/>
      <c r="F372" s="32"/>
      <c r="G372" s="65"/>
      <c r="H372" s="67"/>
      <c r="I372" s="118"/>
      <c r="J372" s="65"/>
      <c r="K372" s="74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 ht="15.75" customHeight="1">
      <c r="A373" s="32"/>
      <c r="B373" s="65"/>
      <c r="C373" s="65"/>
      <c r="D373" s="32"/>
      <c r="E373" s="32"/>
      <c r="F373" s="32"/>
      <c r="G373" s="65"/>
      <c r="H373" s="67"/>
      <c r="I373" s="118"/>
      <c r="J373" s="65"/>
      <c r="K373" s="74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 ht="15.75" customHeight="1">
      <c r="A374" s="32"/>
      <c r="B374" s="65"/>
      <c r="C374" s="65"/>
      <c r="D374" s="32"/>
      <c r="E374" s="32"/>
      <c r="F374" s="32"/>
      <c r="G374" s="65"/>
      <c r="H374" s="67"/>
      <c r="I374" s="118"/>
      <c r="J374" s="65"/>
      <c r="K374" s="74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 ht="15.75" customHeight="1">
      <c r="A375" s="32"/>
      <c r="B375" s="65"/>
      <c r="C375" s="65"/>
      <c r="D375" s="32"/>
      <c r="E375" s="32"/>
      <c r="F375" s="32"/>
      <c r="G375" s="65"/>
      <c r="H375" s="67"/>
      <c r="I375" s="118"/>
      <c r="J375" s="65"/>
      <c r="K375" s="74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 ht="15.75" customHeight="1">
      <c r="A376" s="32"/>
      <c r="B376" s="65"/>
      <c r="C376" s="65"/>
      <c r="D376" s="32"/>
      <c r="E376" s="32"/>
      <c r="F376" s="32"/>
      <c r="G376" s="65"/>
      <c r="H376" s="67"/>
      <c r="I376" s="118"/>
      <c r="J376" s="65"/>
      <c r="K376" s="74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 ht="15.75" customHeight="1">
      <c r="A377" s="32"/>
      <c r="B377" s="65"/>
      <c r="C377" s="65"/>
      <c r="D377" s="32"/>
      <c r="E377" s="32"/>
      <c r="F377" s="32"/>
      <c r="G377" s="65"/>
      <c r="H377" s="67"/>
      <c r="I377" s="118"/>
      <c r="J377" s="65"/>
      <c r="K377" s="74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 ht="15.75" customHeight="1">
      <c r="A378" s="32"/>
      <c r="B378" s="65"/>
      <c r="C378" s="65"/>
      <c r="D378" s="32"/>
      <c r="E378" s="32"/>
      <c r="F378" s="32"/>
      <c r="G378" s="65"/>
      <c r="H378" s="67"/>
      <c r="I378" s="118"/>
      <c r="J378" s="65"/>
      <c r="K378" s="74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 ht="15.75" customHeight="1">
      <c r="A379" s="32"/>
      <c r="B379" s="65"/>
      <c r="C379" s="65"/>
      <c r="D379" s="32"/>
      <c r="E379" s="32"/>
      <c r="F379" s="32"/>
      <c r="G379" s="65"/>
      <c r="H379" s="67"/>
      <c r="I379" s="118"/>
      <c r="J379" s="65"/>
      <c r="K379" s="74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 ht="15.75" customHeight="1">
      <c r="A380" s="32"/>
      <c r="B380" s="65"/>
      <c r="C380" s="65"/>
      <c r="D380" s="32"/>
      <c r="E380" s="32"/>
      <c r="F380" s="32"/>
      <c r="G380" s="65"/>
      <c r="H380" s="67"/>
      <c r="I380" s="118"/>
      <c r="J380" s="65"/>
      <c r="K380" s="74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 ht="15.75" customHeight="1">
      <c r="A381" s="32"/>
      <c r="B381" s="65"/>
      <c r="C381" s="65"/>
      <c r="D381" s="32"/>
      <c r="E381" s="32"/>
      <c r="F381" s="32"/>
      <c r="G381" s="65"/>
      <c r="H381" s="67"/>
      <c r="I381" s="118"/>
      <c r="J381" s="65"/>
      <c r="K381" s="74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 ht="15.75" customHeight="1">
      <c r="A382" s="32"/>
      <c r="B382" s="65"/>
      <c r="C382" s="65"/>
      <c r="D382" s="32"/>
      <c r="E382" s="32"/>
      <c r="F382" s="32"/>
      <c r="G382" s="65"/>
      <c r="H382" s="67"/>
      <c r="I382" s="118"/>
      <c r="J382" s="65"/>
      <c r="K382" s="74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 ht="15.75" customHeight="1">
      <c r="A383" s="32"/>
      <c r="B383" s="65"/>
      <c r="C383" s="65"/>
      <c r="D383" s="32"/>
      <c r="E383" s="32"/>
      <c r="F383" s="32"/>
      <c r="G383" s="65"/>
      <c r="H383" s="67"/>
      <c r="I383" s="118"/>
      <c r="J383" s="65"/>
      <c r="K383" s="74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 ht="15.75" customHeight="1">
      <c r="A384" s="32"/>
      <c r="B384" s="65"/>
      <c r="C384" s="65"/>
      <c r="D384" s="32"/>
      <c r="E384" s="32"/>
      <c r="F384" s="32"/>
      <c r="G384" s="65"/>
      <c r="H384" s="67"/>
      <c r="I384" s="118"/>
      <c r="J384" s="65"/>
      <c r="K384" s="74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 ht="15.75" customHeight="1">
      <c r="A385" s="32"/>
      <c r="B385" s="65"/>
      <c r="C385" s="65"/>
      <c r="D385" s="32"/>
      <c r="E385" s="32"/>
      <c r="F385" s="32"/>
      <c r="G385" s="65"/>
      <c r="H385" s="67"/>
      <c r="I385" s="118"/>
      <c r="J385" s="65"/>
      <c r="K385" s="74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 ht="15.75" customHeight="1">
      <c r="A386" s="32"/>
      <c r="B386" s="65"/>
      <c r="C386" s="65"/>
      <c r="D386" s="32"/>
      <c r="E386" s="32"/>
      <c r="F386" s="32"/>
      <c r="G386" s="65"/>
      <c r="H386" s="67"/>
      <c r="I386" s="118"/>
      <c r="J386" s="65"/>
      <c r="K386" s="74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 ht="15.75" customHeight="1">
      <c r="A387" s="32"/>
      <c r="B387" s="65"/>
      <c r="C387" s="65"/>
      <c r="D387" s="32"/>
      <c r="E387" s="32"/>
      <c r="F387" s="32"/>
      <c r="G387" s="65"/>
      <c r="H387" s="67"/>
      <c r="I387" s="118"/>
      <c r="J387" s="65"/>
      <c r="K387" s="74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 ht="15.75" customHeight="1">
      <c r="A388" s="32"/>
      <c r="B388" s="65"/>
      <c r="C388" s="65"/>
      <c r="D388" s="32"/>
      <c r="E388" s="32"/>
      <c r="F388" s="32"/>
      <c r="G388" s="65"/>
      <c r="H388" s="67"/>
      <c r="I388" s="118"/>
      <c r="J388" s="65"/>
      <c r="K388" s="74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 ht="15.75" customHeight="1">
      <c r="A389" s="32"/>
      <c r="B389" s="65"/>
      <c r="C389" s="65"/>
      <c r="D389" s="32"/>
      <c r="E389" s="32"/>
      <c r="F389" s="32"/>
      <c r="G389" s="65"/>
      <c r="H389" s="67"/>
      <c r="I389" s="118"/>
      <c r="J389" s="65"/>
      <c r="K389" s="74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 ht="15.75" customHeight="1">
      <c r="A390" s="32"/>
      <c r="B390" s="65"/>
      <c r="C390" s="65"/>
      <c r="D390" s="32"/>
      <c r="E390" s="32"/>
      <c r="F390" s="32"/>
      <c r="G390" s="65"/>
      <c r="H390" s="67"/>
      <c r="I390" s="118"/>
      <c r="J390" s="65"/>
      <c r="K390" s="74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 ht="15.75" customHeight="1">
      <c r="A391" s="32"/>
      <c r="B391" s="65"/>
      <c r="C391" s="65"/>
      <c r="D391" s="32"/>
      <c r="E391" s="32"/>
      <c r="F391" s="32"/>
      <c r="G391" s="65"/>
      <c r="H391" s="67"/>
      <c r="I391" s="118"/>
      <c r="J391" s="65"/>
      <c r="K391" s="74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 ht="15.75" customHeight="1">
      <c r="A392" s="32"/>
      <c r="B392" s="65"/>
      <c r="C392" s="65"/>
      <c r="D392" s="32"/>
      <c r="E392" s="32"/>
      <c r="F392" s="32"/>
      <c r="G392" s="65"/>
      <c r="H392" s="67"/>
      <c r="I392" s="118"/>
      <c r="J392" s="65"/>
      <c r="K392" s="74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 ht="15.75" customHeight="1">
      <c r="A393" s="32"/>
      <c r="B393" s="65"/>
      <c r="C393" s="65"/>
      <c r="D393" s="32"/>
      <c r="E393" s="32"/>
      <c r="F393" s="32"/>
      <c r="G393" s="65"/>
      <c r="H393" s="67"/>
      <c r="I393" s="118"/>
      <c r="J393" s="65"/>
      <c r="K393" s="74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 ht="15.75" customHeight="1">
      <c r="A394" s="32"/>
      <c r="B394" s="65"/>
      <c r="C394" s="65"/>
      <c r="D394" s="32"/>
      <c r="E394" s="32"/>
      <c r="F394" s="32"/>
      <c r="G394" s="65"/>
      <c r="H394" s="67"/>
      <c r="I394" s="118"/>
      <c r="J394" s="65"/>
      <c r="K394" s="74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 ht="15.75" customHeight="1">
      <c r="A395" s="32"/>
      <c r="B395" s="65"/>
      <c r="C395" s="65"/>
      <c r="D395" s="32"/>
      <c r="E395" s="32"/>
      <c r="F395" s="32"/>
      <c r="G395" s="65"/>
      <c r="H395" s="67"/>
      <c r="I395" s="118"/>
      <c r="J395" s="65"/>
      <c r="K395" s="74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 ht="15.75" customHeight="1">
      <c r="A396" s="32"/>
      <c r="B396" s="65"/>
      <c r="C396" s="65"/>
      <c r="D396" s="32"/>
      <c r="E396" s="32"/>
      <c r="F396" s="32"/>
      <c r="G396" s="65"/>
      <c r="H396" s="67"/>
      <c r="I396" s="118"/>
      <c r="J396" s="65"/>
      <c r="K396" s="74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 ht="15.75" customHeight="1">
      <c r="A397" s="32"/>
      <c r="B397" s="65"/>
      <c r="C397" s="65"/>
      <c r="D397" s="32"/>
      <c r="E397" s="32"/>
      <c r="F397" s="32"/>
      <c r="G397" s="65"/>
      <c r="H397" s="67"/>
      <c r="I397" s="118"/>
      <c r="J397" s="65"/>
      <c r="K397" s="74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ht="15.75" customHeight="1">
      <c r="A398" s="32"/>
      <c r="B398" s="65"/>
      <c r="C398" s="65"/>
      <c r="D398" s="32"/>
      <c r="E398" s="32"/>
      <c r="F398" s="32"/>
      <c r="G398" s="65"/>
      <c r="H398" s="67"/>
      <c r="I398" s="118"/>
      <c r="J398" s="65"/>
      <c r="K398" s="74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 ht="15.75" customHeight="1">
      <c r="A399" s="32"/>
      <c r="B399" s="65"/>
      <c r="C399" s="65"/>
      <c r="D399" s="32"/>
      <c r="E399" s="32"/>
      <c r="F399" s="32"/>
      <c r="G399" s="65"/>
      <c r="H399" s="67"/>
      <c r="I399" s="118"/>
      <c r="J399" s="65"/>
      <c r="K399" s="74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 ht="15.75" customHeight="1">
      <c r="A400" s="32"/>
      <c r="B400" s="65"/>
      <c r="C400" s="65"/>
      <c r="D400" s="32"/>
      <c r="E400" s="32"/>
      <c r="F400" s="32"/>
      <c r="G400" s="65"/>
      <c r="H400" s="67"/>
      <c r="I400" s="118"/>
      <c r="J400" s="65"/>
      <c r="K400" s="74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 ht="15.75" customHeight="1">
      <c r="A401" s="32"/>
      <c r="B401" s="65"/>
      <c r="C401" s="65"/>
      <c r="D401" s="32"/>
      <c r="E401" s="32"/>
      <c r="F401" s="32"/>
      <c r="G401" s="65"/>
      <c r="H401" s="67"/>
      <c r="I401" s="118"/>
      <c r="J401" s="65"/>
      <c r="K401" s="74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 ht="15.75" customHeight="1">
      <c r="A402" s="32"/>
      <c r="B402" s="65"/>
      <c r="C402" s="65"/>
      <c r="D402" s="32"/>
      <c r="E402" s="32"/>
      <c r="F402" s="32"/>
      <c r="G402" s="65"/>
      <c r="H402" s="67"/>
      <c r="I402" s="118"/>
      <c r="J402" s="65"/>
      <c r="K402" s="74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 ht="15.75" customHeight="1">
      <c r="A403" s="32"/>
      <c r="B403" s="65"/>
      <c r="C403" s="65"/>
      <c r="D403" s="32"/>
      <c r="E403" s="32"/>
      <c r="F403" s="32"/>
      <c r="G403" s="65"/>
      <c r="H403" s="67"/>
      <c r="I403" s="118"/>
      <c r="J403" s="65"/>
      <c r="K403" s="74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 ht="15.75" customHeight="1">
      <c r="A404" s="32"/>
      <c r="B404" s="65"/>
      <c r="C404" s="65"/>
      <c r="D404" s="32"/>
      <c r="E404" s="32"/>
      <c r="F404" s="32"/>
      <c r="G404" s="65"/>
      <c r="H404" s="67"/>
      <c r="I404" s="118"/>
      <c r="J404" s="65"/>
      <c r="K404" s="74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 ht="15.75" customHeight="1">
      <c r="A405" s="32"/>
      <c r="B405" s="65"/>
      <c r="C405" s="65"/>
      <c r="D405" s="32"/>
      <c r="E405" s="32"/>
      <c r="F405" s="32"/>
      <c r="G405" s="65"/>
      <c r="H405" s="67"/>
      <c r="I405" s="118"/>
      <c r="J405" s="65"/>
      <c r="K405" s="74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 ht="15.75" customHeight="1">
      <c r="A406" s="32"/>
      <c r="B406" s="65"/>
      <c r="C406" s="65"/>
      <c r="D406" s="32"/>
      <c r="E406" s="32"/>
      <c r="F406" s="32"/>
      <c r="G406" s="65"/>
      <c r="H406" s="67"/>
      <c r="I406" s="118"/>
      <c r="J406" s="65"/>
      <c r="K406" s="74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 ht="15.75" customHeight="1">
      <c r="A407" s="32"/>
      <c r="B407" s="65"/>
      <c r="C407" s="65"/>
      <c r="D407" s="32"/>
      <c r="E407" s="32"/>
      <c r="F407" s="32"/>
      <c r="G407" s="65"/>
      <c r="H407" s="67"/>
      <c r="I407" s="118"/>
      <c r="J407" s="65"/>
      <c r="K407" s="74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 ht="15.75" customHeight="1">
      <c r="A408" s="32"/>
      <c r="B408" s="65"/>
      <c r="C408" s="65"/>
      <c r="D408" s="32"/>
      <c r="E408" s="32"/>
      <c r="F408" s="32"/>
      <c r="G408" s="65"/>
      <c r="H408" s="67"/>
      <c r="I408" s="118"/>
      <c r="J408" s="65"/>
      <c r="K408" s="74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 ht="15.75" customHeight="1">
      <c r="A409" s="32"/>
      <c r="B409" s="65"/>
      <c r="C409" s="65"/>
      <c r="D409" s="32"/>
      <c r="E409" s="32"/>
      <c r="F409" s="32"/>
      <c r="G409" s="65"/>
      <c r="H409" s="67"/>
      <c r="I409" s="118"/>
      <c r="J409" s="65"/>
      <c r="K409" s="74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 ht="15.75" customHeight="1">
      <c r="A410" s="32"/>
      <c r="B410" s="65"/>
      <c r="C410" s="65"/>
      <c r="D410" s="32"/>
      <c r="E410" s="32"/>
      <c r="F410" s="32"/>
      <c r="G410" s="65"/>
      <c r="H410" s="67"/>
      <c r="I410" s="118"/>
      <c r="J410" s="65"/>
      <c r="K410" s="74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 ht="15.75" customHeight="1">
      <c r="A411" s="32"/>
      <c r="B411" s="65"/>
      <c r="C411" s="65"/>
      <c r="D411" s="32"/>
      <c r="E411" s="32"/>
      <c r="F411" s="32"/>
      <c r="G411" s="65"/>
      <c r="H411" s="67"/>
      <c r="I411" s="118"/>
      <c r="J411" s="65"/>
      <c r="K411" s="74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 ht="15.75" customHeight="1">
      <c r="A412" s="32"/>
      <c r="B412" s="65"/>
      <c r="C412" s="65"/>
      <c r="D412" s="32"/>
      <c r="E412" s="32"/>
      <c r="F412" s="32"/>
      <c r="G412" s="65"/>
      <c r="H412" s="67"/>
      <c r="I412" s="118"/>
      <c r="J412" s="65"/>
      <c r="K412" s="74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 ht="15.75" customHeight="1">
      <c r="A413" s="32"/>
      <c r="B413" s="65"/>
      <c r="C413" s="65"/>
      <c r="D413" s="32"/>
      <c r="E413" s="32"/>
      <c r="F413" s="32"/>
      <c r="G413" s="65"/>
      <c r="H413" s="67"/>
      <c r="I413" s="118"/>
      <c r="J413" s="65"/>
      <c r="K413" s="74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 ht="15.75" customHeight="1">
      <c r="A414" s="32"/>
      <c r="B414" s="65"/>
      <c r="C414" s="65"/>
      <c r="D414" s="32"/>
      <c r="E414" s="32"/>
      <c r="F414" s="32"/>
      <c r="G414" s="65"/>
      <c r="H414" s="67"/>
      <c r="I414" s="118"/>
      <c r="J414" s="65"/>
      <c r="K414" s="74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 ht="15.75" customHeight="1">
      <c r="A415" s="32"/>
      <c r="B415" s="65"/>
      <c r="C415" s="65"/>
      <c r="D415" s="32"/>
      <c r="E415" s="32"/>
      <c r="F415" s="32"/>
      <c r="G415" s="65"/>
      <c r="H415" s="67"/>
      <c r="I415" s="118"/>
      <c r="J415" s="65"/>
      <c r="K415" s="74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 ht="15.75" customHeight="1">
      <c r="A416" s="32"/>
      <c r="B416" s="65"/>
      <c r="C416" s="65"/>
      <c r="D416" s="32"/>
      <c r="E416" s="32"/>
      <c r="F416" s="32"/>
      <c r="G416" s="65"/>
      <c r="H416" s="67"/>
      <c r="I416" s="118"/>
      <c r="J416" s="65"/>
      <c r="K416" s="74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 ht="15.75" customHeight="1">
      <c r="A417" s="32"/>
      <c r="B417" s="65"/>
      <c r="C417" s="65"/>
      <c r="D417" s="32"/>
      <c r="E417" s="32"/>
      <c r="F417" s="32"/>
      <c r="G417" s="65"/>
      <c r="H417" s="67"/>
      <c r="I417" s="118"/>
      <c r="J417" s="65"/>
      <c r="K417" s="74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 ht="15.75" customHeight="1">
      <c r="A418" s="32"/>
      <c r="B418" s="65"/>
      <c r="C418" s="65"/>
      <c r="D418" s="32"/>
      <c r="E418" s="32"/>
      <c r="F418" s="32"/>
      <c r="G418" s="65"/>
      <c r="H418" s="67"/>
      <c r="I418" s="118"/>
      <c r="J418" s="65"/>
      <c r="K418" s="74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 ht="15.75" customHeight="1">
      <c r="A419" s="32"/>
      <c r="B419" s="65"/>
      <c r="C419" s="65"/>
      <c r="D419" s="32"/>
      <c r="E419" s="32"/>
      <c r="F419" s="32"/>
      <c r="G419" s="65"/>
      <c r="H419" s="67"/>
      <c r="I419" s="118"/>
      <c r="J419" s="65"/>
      <c r="K419" s="74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 ht="15.75" customHeight="1">
      <c r="A420" s="32"/>
      <c r="B420" s="65"/>
      <c r="C420" s="65"/>
      <c r="D420" s="32"/>
      <c r="E420" s="32"/>
      <c r="F420" s="32"/>
      <c r="G420" s="65"/>
      <c r="H420" s="67"/>
      <c r="I420" s="118"/>
      <c r="J420" s="65"/>
      <c r="K420" s="74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 ht="15.75" customHeight="1">
      <c r="A421" s="32"/>
      <c r="B421" s="65"/>
      <c r="C421" s="65"/>
      <c r="D421" s="32"/>
      <c r="E421" s="32"/>
      <c r="F421" s="32"/>
      <c r="G421" s="65"/>
      <c r="H421" s="67"/>
      <c r="I421" s="118"/>
      <c r="J421" s="65"/>
      <c r="K421" s="74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 ht="15.75" customHeight="1">
      <c r="A422" s="32"/>
      <c r="B422" s="65"/>
      <c r="C422" s="65"/>
      <c r="D422" s="32"/>
      <c r="E422" s="32"/>
      <c r="F422" s="32"/>
      <c r="G422" s="65"/>
      <c r="H422" s="67"/>
      <c r="I422" s="118"/>
      <c r="J422" s="65"/>
      <c r="K422" s="74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 ht="15.75" customHeight="1">
      <c r="A423" s="32"/>
      <c r="B423" s="65"/>
      <c r="C423" s="65"/>
      <c r="D423" s="32"/>
      <c r="E423" s="32"/>
      <c r="F423" s="32"/>
      <c r="G423" s="65"/>
      <c r="H423" s="67"/>
      <c r="I423" s="118"/>
      <c r="J423" s="65"/>
      <c r="K423" s="74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 ht="15.75" customHeight="1">
      <c r="A424" s="32"/>
      <c r="B424" s="65"/>
      <c r="C424" s="65"/>
      <c r="D424" s="32"/>
      <c r="E424" s="32"/>
      <c r="F424" s="32"/>
      <c r="G424" s="65"/>
      <c r="H424" s="67"/>
      <c r="I424" s="118"/>
      <c r="J424" s="65"/>
      <c r="K424" s="74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 ht="15.75" customHeight="1">
      <c r="A425" s="32"/>
      <c r="B425" s="65"/>
      <c r="C425" s="65"/>
      <c r="D425" s="32"/>
      <c r="E425" s="32"/>
      <c r="F425" s="32"/>
      <c r="G425" s="65"/>
      <c r="H425" s="67"/>
      <c r="I425" s="118"/>
      <c r="J425" s="65"/>
      <c r="K425" s="74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 ht="15.75" customHeight="1">
      <c r="A426" s="32"/>
      <c r="B426" s="65"/>
      <c r="C426" s="65"/>
      <c r="D426" s="32"/>
      <c r="E426" s="32"/>
      <c r="F426" s="32"/>
      <c r="G426" s="65"/>
      <c r="H426" s="67"/>
      <c r="I426" s="118"/>
      <c r="J426" s="65"/>
      <c r="K426" s="74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 ht="15.75" customHeight="1">
      <c r="A427" s="32"/>
      <c r="B427" s="65"/>
      <c r="C427" s="65"/>
      <c r="D427" s="32"/>
      <c r="E427" s="32"/>
      <c r="F427" s="32"/>
      <c r="G427" s="65"/>
      <c r="H427" s="67"/>
      <c r="I427" s="118"/>
      <c r="J427" s="65"/>
      <c r="K427" s="74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 ht="15.75" customHeight="1">
      <c r="A428" s="32"/>
      <c r="B428" s="65"/>
      <c r="C428" s="65"/>
      <c r="D428" s="32"/>
      <c r="E428" s="32"/>
      <c r="F428" s="32"/>
      <c r="G428" s="65"/>
      <c r="H428" s="67"/>
      <c r="I428" s="118"/>
      <c r="J428" s="65"/>
      <c r="K428" s="74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 ht="15.75" customHeight="1">
      <c r="A429" s="32"/>
      <c r="B429" s="65"/>
      <c r="C429" s="65"/>
      <c r="D429" s="32"/>
      <c r="E429" s="32"/>
      <c r="F429" s="32"/>
      <c r="G429" s="65"/>
      <c r="H429" s="67"/>
      <c r="I429" s="118"/>
      <c r="J429" s="65"/>
      <c r="K429" s="74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 ht="15.75" customHeight="1">
      <c r="A430" s="32"/>
      <c r="B430" s="65"/>
      <c r="C430" s="65"/>
      <c r="D430" s="32"/>
      <c r="E430" s="32"/>
      <c r="F430" s="32"/>
      <c r="G430" s="65"/>
      <c r="H430" s="67"/>
      <c r="I430" s="118"/>
      <c r="J430" s="65"/>
      <c r="K430" s="74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 ht="15.75" customHeight="1">
      <c r="A431" s="32"/>
      <c r="B431" s="65"/>
      <c r="C431" s="65"/>
      <c r="D431" s="32"/>
      <c r="E431" s="32"/>
      <c r="F431" s="32"/>
      <c r="G431" s="65"/>
      <c r="H431" s="67"/>
      <c r="I431" s="118"/>
      <c r="J431" s="65"/>
      <c r="K431" s="74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 ht="15.75" customHeight="1">
      <c r="A432" s="32"/>
      <c r="B432" s="65"/>
      <c r="C432" s="65"/>
      <c r="D432" s="32"/>
      <c r="E432" s="32"/>
      <c r="F432" s="32"/>
      <c r="G432" s="65"/>
      <c r="H432" s="67"/>
      <c r="I432" s="118"/>
      <c r="J432" s="65"/>
      <c r="K432" s="74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 ht="15.75" customHeight="1">
      <c r="A433" s="32"/>
      <c r="B433" s="65"/>
      <c r="C433" s="65"/>
      <c r="D433" s="32"/>
      <c r="E433" s="32"/>
      <c r="F433" s="32"/>
      <c r="G433" s="65"/>
      <c r="H433" s="67"/>
      <c r="I433" s="118"/>
      <c r="J433" s="65"/>
      <c r="K433" s="74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 ht="15.75" customHeight="1">
      <c r="A434" s="32"/>
      <c r="B434" s="65"/>
      <c r="C434" s="65"/>
      <c r="D434" s="32"/>
      <c r="E434" s="32"/>
      <c r="F434" s="32"/>
      <c r="G434" s="65"/>
      <c r="H434" s="67"/>
      <c r="I434" s="118"/>
      <c r="J434" s="65"/>
      <c r="K434" s="74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 ht="15.75" customHeight="1">
      <c r="A435" s="32"/>
      <c r="B435" s="65"/>
      <c r="C435" s="65"/>
      <c r="D435" s="32"/>
      <c r="E435" s="32"/>
      <c r="F435" s="32"/>
      <c r="G435" s="65"/>
      <c r="H435" s="67"/>
      <c r="I435" s="118"/>
      <c r="J435" s="65"/>
      <c r="K435" s="74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 ht="15.75" customHeight="1">
      <c r="A436" s="32"/>
      <c r="B436" s="65"/>
      <c r="C436" s="65"/>
      <c r="D436" s="32"/>
      <c r="E436" s="32"/>
      <c r="F436" s="32"/>
      <c r="G436" s="65"/>
      <c r="H436" s="67"/>
      <c r="I436" s="118"/>
      <c r="J436" s="65"/>
      <c r="K436" s="74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 ht="15.75" customHeight="1">
      <c r="A437" s="32"/>
      <c r="B437" s="65"/>
      <c r="C437" s="65"/>
      <c r="D437" s="32"/>
      <c r="E437" s="32"/>
      <c r="F437" s="32"/>
      <c r="G437" s="65"/>
      <c r="H437" s="67"/>
      <c r="I437" s="118"/>
      <c r="J437" s="65"/>
      <c r="K437" s="74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 ht="15.75" customHeight="1">
      <c r="A438" s="32"/>
      <c r="B438" s="65"/>
      <c r="C438" s="65"/>
      <c r="D438" s="32"/>
      <c r="E438" s="32"/>
      <c r="F438" s="32"/>
      <c r="G438" s="65"/>
      <c r="H438" s="67"/>
      <c r="I438" s="118"/>
      <c r="J438" s="65"/>
      <c r="K438" s="74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 ht="15.75" customHeight="1">
      <c r="A439" s="32"/>
      <c r="B439" s="65"/>
      <c r="C439" s="65"/>
      <c r="D439" s="32"/>
      <c r="E439" s="32"/>
      <c r="F439" s="32"/>
      <c r="G439" s="65"/>
      <c r="H439" s="67"/>
      <c r="I439" s="118"/>
      <c r="J439" s="65"/>
      <c r="K439" s="74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 ht="15.75" customHeight="1">
      <c r="A440" s="32"/>
      <c r="B440" s="65"/>
      <c r="C440" s="65"/>
      <c r="D440" s="32"/>
      <c r="E440" s="32"/>
      <c r="F440" s="32"/>
      <c r="G440" s="65"/>
      <c r="H440" s="67"/>
      <c r="I440" s="118"/>
      <c r="J440" s="65"/>
      <c r="K440" s="74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 ht="15.75" customHeight="1">
      <c r="A441" s="32"/>
      <c r="B441" s="65"/>
      <c r="C441" s="65"/>
      <c r="D441" s="32"/>
      <c r="E441" s="32"/>
      <c r="F441" s="32"/>
      <c r="G441" s="65"/>
      <c r="H441" s="67"/>
      <c r="I441" s="118"/>
      <c r="J441" s="65"/>
      <c r="K441" s="74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 ht="15.75" customHeight="1">
      <c r="A442" s="32"/>
      <c r="B442" s="65"/>
      <c r="C442" s="65"/>
      <c r="D442" s="32"/>
      <c r="E442" s="32"/>
      <c r="F442" s="32"/>
      <c r="G442" s="65"/>
      <c r="H442" s="67"/>
      <c r="I442" s="118"/>
      <c r="J442" s="65"/>
      <c r="K442" s="74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 ht="15.75" customHeight="1">
      <c r="A443" s="32"/>
      <c r="B443" s="65"/>
      <c r="C443" s="65"/>
      <c r="D443" s="32"/>
      <c r="E443" s="32"/>
      <c r="F443" s="32"/>
      <c r="G443" s="65"/>
      <c r="H443" s="67"/>
      <c r="I443" s="118"/>
      <c r="J443" s="65"/>
      <c r="K443" s="74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 ht="15.75" customHeight="1">
      <c r="A444" s="32"/>
      <c r="B444" s="65"/>
      <c r="C444" s="65"/>
      <c r="D444" s="32"/>
      <c r="E444" s="32"/>
      <c r="F444" s="32"/>
      <c r="G444" s="65"/>
      <c r="H444" s="67"/>
      <c r="I444" s="118"/>
      <c r="J444" s="65"/>
      <c r="K444" s="74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 ht="15.75" customHeight="1">
      <c r="A445" s="32"/>
      <c r="B445" s="65"/>
      <c r="C445" s="65"/>
      <c r="D445" s="32"/>
      <c r="E445" s="32"/>
      <c r="F445" s="32"/>
      <c r="G445" s="65"/>
      <c r="H445" s="67"/>
      <c r="I445" s="118"/>
      <c r="J445" s="65"/>
      <c r="K445" s="74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 ht="15.75" customHeight="1">
      <c r="A446" s="32"/>
      <c r="B446" s="65"/>
      <c r="C446" s="65"/>
      <c r="D446" s="32"/>
      <c r="E446" s="32"/>
      <c r="F446" s="32"/>
      <c r="G446" s="65"/>
      <c r="H446" s="67"/>
      <c r="I446" s="118"/>
      <c r="J446" s="65"/>
      <c r="K446" s="74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 ht="15.75" customHeight="1">
      <c r="A447" s="32"/>
      <c r="B447" s="65"/>
      <c r="C447" s="65"/>
      <c r="D447" s="32"/>
      <c r="E447" s="32"/>
      <c r="F447" s="32"/>
      <c r="G447" s="65"/>
      <c r="H447" s="67"/>
      <c r="I447" s="118"/>
      <c r="J447" s="65"/>
      <c r="K447" s="74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 ht="15.75" customHeight="1">
      <c r="A448" s="32"/>
      <c r="B448" s="65"/>
      <c r="C448" s="65"/>
      <c r="D448" s="32"/>
      <c r="E448" s="32"/>
      <c r="F448" s="32"/>
      <c r="G448" s="65"/>
      <c r="H448" s="67"/>
      <c r="I448" s="118"/>
      <c r="J448" s="65"/>
      <c r="K448" s="74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 ht="15.75" customHeight="1">
      <c r="A449" s="32"/>
      <c r="B449" s="65"/>
      <c r="C449" s="65"/>
      <c r="D449" s="32"/>
      <c r="E449" s="32"/>
      <c r="F449" s="32"/>
      <c r="G449" s="65"/>
      <c r="H449" s="67"/>
      <c r="I449" s="118"/>
      <c r="J449" s="65"/>
      <c r="K449" s="74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 ht="15.75" customHeight="1">
      <c r="A450" s="32"/>
      <c r="B450" s="65"/>
      <c r="C450" s="65"/>
      <c r="D450" s="32"/>
      <c r="E450" s="32"/>
      <c r="F450" s="32"/>
      <c r="G450" s="65"/>
      <c r="H450" s="67"/>
      <c r="I450" s="118"/>
      <c r="J450" s="65"/>
      <c r="K450" s="74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 ht="15.75" customHeight="1">
      <c r="A451" s="32"/>
      <c r="B451" s="65"/>
      <c r="C451" s="65"/>
      <c r="D451" s="32"/>
      <c r="E451" s="32"/>
      <c r="F451" s="32"/>
      <c r="G451" s="65"/>
      <c r="H451" s="67"/>
      <c r="I451" s="118"/>
      <c r="J451" s="65"/>
      <c r="K451" s="74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 ht="15.75" customHeight="1">
      <c r="A452" s="32"/>
      <c r="B452" s="65"/>
      <c r="C452" s="65"/>
      <c r="D452" s="32"/>
      <c r="E452" s="32"/>
      <c r="F452" s="32"/>
      <c r="G452" s="65"/>
      <c r="H452" s="67"/>
      <c r="I452" s="118"/>
      <c r="J452" s="65"/>
      <c r="K452" s="74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 ht="15.75" customHeight="1">
      <c r="A453" s="32"/>
      <c r="B453" s="65"/>
      <c r="C453" s="65"/>
      <c r="D453" s="32"/>
      <c r="E453" s="32"/>
      <c r="F453" s="32"/>
      <c r="G453" s="65"/>
      <c r="H453" s="67"/>
      <c r="I453" s="118"/>
      <c r="J453" s="65"/>
      <c r="K453" s="74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 ht="15.75" customHeight="1">
      <c r="A454" s="32"/>
      <c r="B454" s="65"/>
      <c r="C454" s="65"/>
      <c r="D454" s="32"/>
      <c r="E454" s="32"/>
      <c r="F454" s="32"/>
      <c r="G454" s="65"/>
      <c r="H454" s="67"/>
      <c r="I454" s="118"/>
      <c r="J454" s="65"/>
      <c r="K454" s="74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 ht="15.75" customHeight="1">
      <c r="A455" s="32"/>
      <c r="B455" s="65"/>
      <c r="C455" s="65"/>
      <c r="D455" s="32"/>
      <c r="E455" s="32"/>
      <c r="F455" s="32"/>
      <c r="G455" s="65"/>
      <c r="H455" s="67"/>
      <c r="I455" s="118"/>
      <c r="J455" s="65"/>
      <c r="K455" s="74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 ht="15.75" customHeight="1">
      <c r="A456" s="32"/>
      <c r="B456" s="65"/>
      <c r="C456" s="65"/>
      <c r="D456" s="32"/>
      <c r="E456" s="32"/>
      <c r="F456" s="32"/>
      <c r="G456" s="65"/>
      <c r="H456" s="67"/>
      <c r="I456" s="118"/>
      <c r="J456" s="65"/>
      <c r="K456" s="74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 ht="15.75" customHeight="1">
      <c r="A457" s="32"/>
      <c r="B457" s="65"/>
      <c r="C457" s="65"/>
      <c r="D457" s="32"/>
      <c r="E457" s="32"/>
      <c r="F457" s="32"/>
      <c r="G457" s="65"/>
      <c r="H457" s="67"/>
      <c r="I457" s="118"/>
      <c r="J457" s="65"/>
      <c r="K457" s="74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 ht="15.75" customHeight="1">
      <c r="A458" s="32"/>
      <c r="B458" s="65"/>
      <c r="C458" s="65"/>
      <c r="D458" s="32"/>
      <c r="E458" s="32"/>
      <c r="F458" s="32"/>
      <c r="G458" s="65"/>
      <c r="H458" s="67"/>
      <c r="I458" s="118"/>
      <c r="J458" s="65"/>
      <c r="K458" s="74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 ht="15.75" customHeight="1">
      <c r="A459" s="32"/>
      <c r="B459" s="65"/>
      <c r="C459" s="65"/>
      <c r="D459" s="32"/>
      <c r="E459" s="32"/>
      <c r="F459" s="32"/>
      <c r="G459" s="65"/>
      <c r="H459" s="67"/>
      <c r="I459" s="118"/>
      <c r="J459" s="65"/>
      <c r="K459" s="74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 ht="15.75" customHeight="1">
      <c r="A460" s="32"/>
      <c r="B460" s="65"/>
      <c r="C460" s="65"/>
      <c r="D460" s="32"/>
      <c r="E460" s="32"/>
      <c r="F460" s="32"/>
      <c r="G460" s="65"/>
      <c r="H460" s="67"/>
      <c r="I460" s="118"/>
      <c r="J460" s="65"/>
      <c r="K460" s="74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 ht="15.75" customHeight="1">
      <c r="A461" s="32"/>
      <c r="B461" s="65"/>
      <c r="C461" s="65"/>
      <c r="D461" s="32"/>
      <c r="E461" s="32"/>
      <c r="F461" s="32"/>
      <c r="G461" s="65"/>
      <c r="H461" s="67"/>
      <c r="I461" s="118"/>
      <c r="J461" s="65"/>
      <c r="K461" s="74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ht="15.75" customHeight="1">
      <c r="A462" s="32"/>
      <c r="B462" s="65"/>
      <c r="C462" s="65"/>
      <c r="D462" s="32"/>
      <c r="E462" s="32"/>
      <c r="F462" s="32"/>
      <c r="G462" s="65"/>
      <c r="H462" s="67"/>
      <c r="I462" s="118"/>
      <c r="J462" s="65"/>
      <c r="K462" s="74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 ht="15.75" customHeight="1">
      <c r="A463" s="32"/>
      <c r="B463" s="65"/>
      <c r="C463" s="65"/>
      <c r="D463" s="32"/>
      <c r="E463" s="32"/>
      <c r="F463" s="32"/>
      <c r="G463" s="65"/>
      <c r="H463" s="67"/>
      <c r="I463" s="118"/>
      <c r="J463" s="65"/>
      <c r="K463" s="74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 ht="15.75" customHeight="1">
      <c r="A464" s="32"/>
      <c r="B464" s="65"/>
      <c r="C464" s="65"/>
      <c r="D464" s="32"/>
      <c r="E464" s="32"/>
      <c r="F464" s="32"/>
      <c r="G464" s="65"/>
      <c r="H464" s="67"/>
      <c r="I464" s="118"/>
      <c r="J464" s="65"/>
      <c r="K464" s="74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 ht="15.75" customHeight="1">
      <c r="A465" s="32"/>
      <c r="B465" s="65"/>
      <c r="C465" s="65"/>
      <c r="D465" s="32"/>
      <c r="E465" s="32"/>
      <c r="F465" s="32"/>
      <c r="G465" s="65"/>
      <c r="H465" s="67"/>
      <c r="I465" s="118"/>
      <c r="J465" s="65"/>
      <c r="K465" s="74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 ht="15.75" customHeight="1">
      <c r="A466" s="32"/>
      <c r="B466" s="65"/>
      <c r="C466" s="65"/>
      <c r="D466" s="32"/>
      <c r="E466" s="32"/>
      <c r="F466" s="32"/>
      <c r="G466" s="65"/>
      <c r="H466" s="67"/>
      <c r="I466" s="118"/>
      <c r="J466" s="65"/>
      <c r="K466" s="74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 ht="15.75" customHeight="1">
      <c r="A467" s="32"/>
      <c r="B467" s="65"/>
      <c r="C467" s="65"/>
      <c r="D467" s="32"/>
      <c r="E467" s="32"/>
      <c r="F467" s="32"/>
      <c r="G467" s="65"/>
      <c r="H467" s="67"/>
      <c r="I467" s="118"/>
      <c r="J467" s="65"/>
      <c r="K467" s="74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 ht="15.75" customHeight="1">
      <c r="A468" s="32"/>
      <c r="B468" s="65"/>
      <c r="C468" s="65"/>
      <c r="D468" s="32"/>
      <c r="E468" s="32"/>
      <c r="F468" s="32"/>
      <c r="G468" s="65"/>
      <c r="H468" s="67"/>
      <c r="I468" s="118"/>
      <c r="J468" s="65"/>
      <c r="K468" s="74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 ht="15.75" customHeight="1">
      <c r="A469" s="32"/>
      <c r="B469" s="65"/>
      <c r="C469" s="65"/>
      <c r="D469" s="32"/>
      <c r="E469" s="32"/>
      <c r="F469" s="32"/>
      <c r="G469" s="65"/>
      <c r="H469" s="67"/>
      <c r="I469" s="118"/>
      <c r="J469" s="65"/>
      <c r="K469" s="74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 ht="15.75" customHeight="1">
      <c r="A470" s="32"/>
      <c r="B470" s="65"/>
      <c r="C470" s="65"/>
      <c r="D470" s="32"/>
      <c r="E470" s="32"/>
      <c r="F470" s="32"/>
      <c r="G470" s="65"/>
      <c r="H470" s="67"/>
      <c r="I470" s="118"/>
      <c r="J470" s="65"/>
      <c r="K470" s="74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 ht="15.75" customHeight="1">
      <c r="A471" s="32"/>
      <c r="B471" s="65"/>
      <c r="C471" s="65"/>
      <c r="D471" s="32"/>
      <c r="E471" s="32"/>
      <c r="F471" s="32"/>
      <c r="G471" s="65"/>
      <c r="H471" s="67"/>
      <c r="I471" s="118"/>
      <c r="J471" s="65"/>
      <c r="K471" s="74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 ht="15.75" customHeight="1">
      <c r="A472" s="32"/>
      <c r="B472" s="65"/>
      <c r="C472" s="65"/>
      <c r="D472" s="32"/>
      <c r="E472" s="32"/>
      <c r="F472" s="32"/>
      <c r="G472" s="65"/>
      <c r="H472" s="67"/>
      <c r="I472" s="118"/>
      <c r="J472" s="65"/>
      <c r="K472" s="74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 ht="15.75" customHeight="1">
      <c r="A473" s="32"/>
      <c r="B473" s="65"/>
      <c r="C473" s="65"/>
      <c r="D473" s="32"/>
      <c r="E473" s="32"/>
      <c r="F473" s="32"/>
      <c r="G473" s="65"/>
      <c r="H473" s="67"/>
      <c r="I473" s="118"/>
      <c r="J473" s="65"/>
      <c r="K473" s="74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 ht="15.75" customHeight="1">
      <c r="A474" s="32"/>
      <c r="B474" s="65"/>
      <c r="C474" s="65"/>
      <c r="D474" s="32"/>
      <c r="E474" s="32"/>
      <c r="F474" s="32"/>
      <c r="G474" s="65"/>
      <c r="H474" s="67"/>
      <c r="I474" s="118"/>
      <c r="J474" s="65"/>
      <c r="K474" s="74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 ht="15.75" customHeight="1">
      <c r="A475" s="32"/>
      <c r="B475" s="65"/>
      <c r="C475" s="65"/>
      <c r="D475" s="32"/>
      <c r="E475" s="32"/>
      <c r="F475" s="32"/>
      <c r="G475" s="65"/>
      <c r="H475" s="67"/>
      <c r="I475" s="118"/>
      <c r="J475" s="65"/>
      <c r="K475" s="74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 ht="15.75" customHeight="1">
      <c r="A476" s="32"/>
      <c r="B476" s="65"/>
      <c r="C476" s="65"/>
      <c r="D476" s="32"/>
      <c r="E476" s="32"/>
      <c r="F476" s="32"/>
      <c r="G476" s="65"/>
      <c r="H476" s="67"/>
      <c r="I476" s="118"/>
      <c r="J476" s="65"/>
      <c r="K476" s="74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 ht="15.75" customHeight="1">
      <c r="A477" s="32"/>
      <c r="B477" s="65"/>
      <c r="C477" s="65"/>
      <c r="D477" s="32"/>
      <c r="E477" s="32"/>
      <c r="F477" s="32"/>
      <c r="G477" s="65"/>
      <c r="H477" s="67"/>
      <c r="I477" s="118"/>
      <c r="J477" s="65"/>
      <c r="K477" s="74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 ht="15.75" customHeight="1">
      <c r="A478" s="32"/>
      <c r="B478" s="65"/>
      <c r="C478" s="65"/>
      <c r="D478" s="32"/>
      <c r="E478" s="32"/>
      <c r="F478" s="32"/>
      <c r="G478" s="65"/>
      <c r="H478" s="67"/>
      <c r="I478" s="118"/>
      <c r="J478" s="65"/>
      <c r="K478" s="74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 ht="15.75" customHeight="1">
      <c r="A479" s="32"/>
      <c r="B479" s="65"/>
      <c r="C479" s="65"/>
      <c r="D479" s="32"/>
      <c r="E479" s="32"/>
      <c r="F479" s="32"/>
      <c r="G479" s="65"/>
      <c r="H479" s="67"/>
      <c r="I479" s="118"/>
      <c r="J479" s="65"/>
      <c r="K479" s="74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 ht="15.75" customHeight="1">
      <c r="A480" s="32"/>
      <c r="B480" s="65"/>
      <c r="C480" s="65"/>
      <c r="D480" s="32"/>
      <c r="E480" s="32"/>
      <c r="F480" s="32"/>
      <c r="G480" s="65"/>
      <c r="H480" s="67"/>
      <c r="I480" s="118"/>
      <c r="J480" s="65"/>
      <c r="K480" s="74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 ht="15.75" customHeight="1">
      <c r="A481" s="32"/>
      <c r="B481" s="65"/>
      <c r="C481" s="65"/>
      <c r="D481" s="32"/>
      <c r="E481" s="32"/>
      <c r="F481" s="32"/>
      <c r="G481" s="65"/>
      <c r="H481" s="67"/>
      <c r="I481" s="118"/>
      <c r="J481" s="65"/>
      <c r="K481" s="74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 ht="15.75" customHeight="1">
      <c r="A482" s="32"/>
      <c r="B482" s="65"/>
      <c r="C482" s="65"/>
      <c r="D482" s="32"/>
      <c r="E482" s="32"/>
      <c r="F482" s="32"/>
      <c r="G482" s="65"/>
      <c r="H482" s="67"/>
      <c r="I482" s="118"/>
      <c r="J482" s="65"/>
      <c r="K482" s="74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 ht="15.75" customHeight="1">
      <c r="A483" s="32"/>
      <c r="B483" s="65"/>
      <c r="C483" s="65"/>
      <c r="D483" s="32"/>
      <c r="E483" s="32"/>
      <c r="F483" s="32"/>
      <c r="G483" s="65"/>
      <c r="H483" s="67"/>
      <c r="I483" s="118"/>
      <c r="J483" s="65"/>
      <c r="K483" s="74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 ht="15.75" customHeight="1">
      <c r="A484" s="32"/>
      <c r="B484" s="65"/>
      <c r="C484" s="65"/>
      <c r="D484" s="32"/>
      <c r="E484" s="32"/>
      <c r="F484" s="32"/>
      <c r="G484" s="65"/>
      <c r="H484" s="67"/>
      <c r="I484" s="118"/>
      <c r="J484" s="65"/>
      <c r="K484" s="74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 ht="15.75" customHeight="1">
      <c r="A485" s="32"/>
      <c r="B485" s="65"/>
      <c r="C485" s="65"/>
      <c r="D485" s="32"/>
      <c r="E485" s="32"/>
      <c r="F485" s="32"/>
      <c r="G485" s="65"/>
      <c r="H485" s="67"/>
      <c r="I485" s="118"/>
      <c r="J485" s="65"/>
      <c r="K485" s="74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 ht="15.75" customHeight="1">
      <c r="A486" s="32"/>
      <c r="B486" s="65"/>
      <c r="C486" s="65"/>
      <c r="D486" s="32"/>
      <c r="E486" s="32"/>
      <c r="F486" s="32"/>
      <c r="G486" s="65"/>
      <c r="H486" s="67"/>
      <c r="I486" s="118"/>
      <c r="J486" s="65"/>
      <c r="K486" s="74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 ht="15.75" customHeight="1">
      <c r="A487" s="32"/>
      <c r="B487" s="65"/>
      <c r="C487" s="65"/>
      <c r="D487" s="32"/>
      <c r="E487" s="32"/>
      <c r="F487" s="32"/>
      <c r="G487" s="65"/>
      <c r="H487" s="67"/>
      <c r="I487" s="118"/>
      <c r="J487" s="65"/>
      <c r="K487" s="74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 ht="15.75" customHeight="1">
      <c r="A488" s="32"/>
      <c r="B488" s="65"/>
      <c r="C488" s="65"/>
      <c r="D488" s="32"/>
      <c r="E488" s="32"/>
      <c r="F488" s="32"/>
      <c r="G488" s="65"/>
      <c r="H488" s="67"/>
      <c r="I488" s="118"/>
      <c r="J488" s="65"/>
      <c r="K488" s="74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 ht="15.75" customHeight="1">
      <c r="A489" s="32"/>
      <c r="B489" s="65"/>
      <c r="C489" s="65"/>
      <c r="D489" s="32"/>
      <c r="E489" s="32"/>
      <c r="F489" s="32"/>
      <c r="G489" s="65"/>
      <c r="H489" s="67"/>
      <c r="I489" s="118"/>
      <c r="J489" s="65"/>
      <c r="K489" s="74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 ht="15.75" customHeight="1">
      <c r="A490" s="32"/>
      <c r="B490" s="65"/>
      <c r="C490" s="65"/>
      <c r="D490" s="32"/>
      <c r="E490" s="32"/>
      <c r="F490" s="32"/>
      <c r="G490" s="65"/>
      <c r="H490" s="67"/>
      <c r="I490" s="118"/>
      <c r="J490" s="65"/>
      <c r="K490" s="74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 ht="15.75" customHeight="1">
      <c r="A491" s="32"/>
      <c r="B491" s="65"/>
      <c r="C491" s="65"/>
      <c r="D491" s="32"/>
      <c r="E491" s="32"/>
      <c r="F491" s="32"/>
      <c r="G491" s="65"/>
      <c r="H491" s="67"/>
      <c r="I491" s="118"/>
      <c r="J491" s="65"/>
      <c r="K491" s="74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 ht="15.75" customHeight="1">
      <c r="A492" s="32"/>
      <c r="B492" s="65"/>
      <c r="C492" s="65"/>
      <c r="D492" s="32"/>
      <c r="E492" s="32"/>
      <c r="F492" s="32"/>
      <c r="G492" s="65"/>
      <c r="H492" s="67"/>
      <c r="I492" s="118"/>
      <c r="J492" s="65"/>
      <c r="K492" s="74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 ht="15.75" customHeight="1">
      <c r="A493" s="32"/>
      <c r="B493" s="65"/>
      <c r="C493" s="65"/>
      <c r="D493" s="32"/>
      <c r="E493" s="32"/>
      <c r="F493" s="32"/>
      <c r="G493" s="65"/>
      <c r="H493" s="67"/>
      <c r="I493" s="118"/>
      <c r="J493" s="65"/>
      <c r="K493" s="74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 ht="15.75" customHeight="1">
      <c r="A494" s="32"/>
      <c r="B494" s="65"/>
      <c r="C494" s="65"/>
      <c r="D494" s="32"/>
      <c r="E494" s="32"/>
      <c r="F494" s="32"/>
      <c r="G494" s="65"/>
      <c r="H494" s="67"/>
      <c r="I494" s="118"/>
      <c r="J494" s="65"/>
      <c r="K494" s="74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 ht="15.75" customHeight="1">
      <c r="A495" s="32"/>
      <c r="B495" s="65"/>
      <c r="C495" s="65"/>
      <c r="D495" s="32"/>
      <c r="E495" s="32"/>
      <c r="F495" s="32"/>
      <c r="G495" s="65"/>
      <c r="H495" s="67"/>
      <c r="I495" s="118"/>
      <c r="J495" s="65"/>
      <c r="K495" s="74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 ht="15.75" customHeight="1">
      <c r="A496" s="32"/>
      <c r="B496" s="65"/>
      <c r="C496" s="65"/>
      <c r="D496" s="32"/>
      <c r="E496" s="32"/>
      <c r="F496" s="32"/>
      <c r="G496" s="65"/>
      <c r="H496" s="67"/>
      <c r="I496" s="118"/>
      <c r="J496" s="65"/>
      <c r="K496" s="74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 ht="15.75" customHeight="1">
      <c r="A497" s="32"/>
      <c r="B497" s="65"/>
      <c r="C497" s="65"/>
      <c r="D497" s="32"/>
      <c r="E497" s="32"/>
      <c r="F497" s="32"/>
      <c r="G497" s="65"/>
      <c r="H497" s="67"/>
      <c r="I497" s="118"/>
      <c r="J497" s="65"/>
      <c r="K497" s="74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 ht="15.75" customHeight="1">
      <c r="A498" s="32"/>
      <c r="B498" s="65"/>
      <c r="C498" s="65"/>
      <c r="D498" s="32"/>
      <c r="E498" s="32"/>
      <c r="F498" s="32"/>
      <c r="G498" s="65"/>
      <c r="H498" s="67"/>
      <c r="I498" s="118"/>
      <c r="J498" s="65"/>
      <c r="K498" s="74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 ht="15.75" customHeight="1">
      <c r="A499" s="32"/>
      <c r="B499" s="65"/>
      <c r="C499" s="65"/>
      <c r="D499" s="32"/>
      <c r="E499" s="32"/>
      <c r="F499" s="32"/>
      <c r="G499" s="65"/>
      <c r="H499" s="67"/>
      <c r="I499" s="118"/>
      <c r="J499" s="65"/>
      <c r="K499" s="74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 ht="15.75" customHeight="1">
      <c r="A500" s="32"/>
      <c r="B500" s="65"/>
      <c r="C500" s="65"/>
      <c r="D500" s="32"/>
      <c r="E500" s="32"/>
      <c r="F500" s="32"/>
      <c r="G500" s="65"/>
      <c r="H500" s="67"/>
      <c r="I500" s="118"/>
      <c r="J500" s="65"/>
      <c r="K500" s="74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 ht="15.75" customHeight="1">
      <c r="A501" s="32"/>
      <c r="B501" s="65"/>
      <c r="C501" s="65"/>
      <c r="D501" s="32"/>
      <c r="E501" s="32"/>
      <c r="F501" s="32"/>
      <c r="G501" s="65"/>
      <c r="H501" s="67"/>
      <c r="I501" s="118"/>
      <c r="J501" s="65"/>
      <c r="K501" s="74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 ht="15.75" customHeight="1">
      <c r="A502" s="32"/>
      <c r="B502" s="65"/>
      <c r="C502" s="65"/>
      <c r="D502" s="32"/>
      <c r="E502" s="32"/>
      <c r="F502" s="32"/>
      <c r="G502" s="65"/>
      <c r="H502" s="67"/>
      <c r="I502" s="118"/>
      <c r="J502" s="65"/>
      <c r="K502" s="74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 ht="15.75" customHeight="1">
      <c r="A503" s="32"/>
      <c r="B503" s="65"/>
      <c r="C503" s="65"/>
      <c r="D503" s="32"/>
      <c r="E503" s="32"/>
      <c r="F503" s="32"/>
      <c r="G503" s="65"/>
      <c r="H503" s="67"/>
      <c r="I503" s="118"/>
      <c r="J503" s="65"/>
      <c r="K503" s="74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 ht="15.75" customHeight="1">
      <c r="A504" s="32"/>
      <c r="B504" s="65"/>
      <c r="C504" s="65"/>
      <c r="D504" s="32"/>
      <c r="E504" s="32"/>
      <c r="F504" s="32"/>
      <c r="G504" s="65"/>
      <c r="H504" s="67"/>
      <c r="I504" s="118"/>
      <c r="J504" s="65"/>
      <c r="K504" s="74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 ht="15.75" customHeight="1">
      <c r="A505" s="32"/>
      <c r="B505" s="65"/>
      <c r="C505" s="65"/>
      <c r="D505" s="32"/>
      <c r="E505" s="32"/>
      <c r="F505" s="32"/>
      <c r="G505" s="65"/>
      <c r="H505" s="67"/>
      <c r="I505" s="118"/>
      <c r="J505" s="65"/>
      <c r="K505" s="74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 ht="15.75" customHeight="1">
      <c r="A506" s="32"/>
      <c r="B506" s="65"/>
      <c r="C506" s="65"/>
      <c r="D506" s="32"/>
      <c r="E506" s="32"/>
      <c r="F506" s="32"/>
      <c r="G506" s="65"/>
      <c r="H506" s="67"/>
      <c r="I506" s="118"/>
      <c r="J506" s="65"/>
      <c r="K506" s="74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 ht="15.75" customHeight="1">
      <c r="A507" s="32"/>
      <c r="B507" s="65"/>
      <c r="C507" s="65"/>
      <c r="D507" s="32"/>
      <c r="E507" s="32"/>
      <c r="F507" s="32"/>
      <c r="G507" s="65"/>
      <c r="H507" s="67"/>
      <c r="I507" s="118"/>
      <c r="J507" s="65"/>
      <c r="K507" s="74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 ht="15.75" customHeight="1">
      <c r="A508" s="32"/>
      <c r="B508" s="65"/>
      <c r="C508" s="65"/>
      <c r="D508" s="32"/>
      <c r="E508" s="32"/>
      <c r="F508" s="32"/>
      <c r="G508" s="65"/>
      <c r="H508" s="67"/>
      <c r="I508" s="118"/>
      <c r="J508" s="65"/>
      <c r="K508" s="74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 ht="15.75" customHeight="1">
      <c r="A509" s="32"/>
      <c r="B509" s="65"/>
      <c r="C509" s="65"/>
      <c r="D509" s="32"/>
      <c r="E509" s="32"/>
      <c r="F509" s="32"/>
      <c r="G509" s="65"/>
      <c r="H509" s="67"/>
      <c r="I509" s="118"/>
      <c r="J509" s="65"/>
      <c r="K509" s="74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 ht="15.75" customHeight="1">
      <c r="A510" s="32"/>
      <c r="B510" s="65"/>
      <c r="C510" s="65"/>
      <c r="D510" s="32"/>
      <c r="E510" s="32"/>
      <c r="F510" s="32"/>
      <c r="G510" s="65"/>
      <c r="H510" s="67"/>
      <c r="I510" s="118"/>
      <c r="J510" s="65"/>
      <c r="K510" s="74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ht="15.75" customHeight="1">
      <c r="A511" s="32"/>
      <c r="B511" s="65"/>
      <c r="C511" s="65"/>
      <c r="D511" s="32"/>
      <c r="E511" s="32"/>
      <c r="F511" s="32"/>
      <c r="G511" s="65"/>
      <c r="H511" s="67"/>
      <c r="I511" s="118"/>
      <c r="J511" s="65"/>
      <c r="K511" s="74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 ht="15.75" customHeight="1">
      <c r="A512" s="32"/>
      <c r="B512" s="65"/>
      <c r="C512" s="65"/>
      <c r="D512" s="32"/>
      <c r="E512" s="32"/>
      <c r="F512" s="32"/>
      <c r="G512" s="65"/>
      <c r="H512" s="67"/>
      <c r="I512" s="118"/>
      <c r="J512" s="65"/>
      <c r="K512" s="74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 ht="15.75" customHeight="1">
      <c r="A513" s="32"/>
      <c r="B513" s="65"/>
      <c r="C513" s="65"/>
      <c r="D513" s="32"/>
      <c r="E513" s="32"/>
      <c r="F513" s="32"/>
      <c r="G513" s="65"/>
      <c r="H513" s="67"/>
      <c r="I513" s="118"/>
      <c r="J513" s="65"/>
      <c r="K513" s="74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 ht="15.75" customHeight="1">
      <c r="A514" s="32"/>
      <c r="B514" s="65"/>
      <c r="C514" s="65"/>
      <c r="D514" s="32"/>
      <c r="E514" s="32"/>
      <c r="F514" s="32"/>
      <c r="G514" s="65"/>
      <c r="H514" s="67"/>
      <c r="I514" s="118"/>
      <c r="J514" s="65"/>
      <c r="K514" s="74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 ht="15.75" customHeight="1">
      <c r="A515" s="32"/>
      <c r="B515" s="65"/>
      <c r="C515" s="65"/>
      <c r="D515" s="32"/>
      <c r="E515" s="32"/>
      <c r="F515" s="32"/>
      <c r="G515" s="65"/>
      <c r="H515" s="67"/>
      <c r="I515" s="118"/>
      <c r="J515" s="65"/>
      <c r="K515" s="74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 ht="15.75" customHeight="1">
      <c r="A516" s="32"/>
      <c r="B516" s="65"/>
      <c r="C516" s="65"/>
      <c r="D516" s="32"/>
      <c r="E516" s="32"/>
      <c r="F516" s="32"/>
      <c r="G516" s="65"/>
      <c r="H516" s="67"/>
      <c r="I516" s="118"/>
      <c r="J516" s="65"/>
      <c r="K516" s="74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 ht="15.75" customHeight="1">
      <c r="A517" s="32"/>
      <c r="B517" s="65"/>
      <c r="C517" s="65"/>
      <c r="D517" s="32"/>
      <c r="E517" s="32"/>
      <c r="F517" s="32"/>
      <c r="G517" s="65"/>
      <c r="H517" s="67"/>
      <c r="I517" s="118"/>
      <c r="J517" s="65"/>
      <c r="K517" s="74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 ht="15.75" customHeight="1">
      <c r="A518" s="32"/>
      <c r="B518" s="65"/>
      <c r="C518" s="65"/>
      <c r="D518" s="32"/>
      <c r="E518" s="32"/>
      <c r="F518" s="32"/>
      <c r="G518" s="65"/>
      <c r="H518" s="67"/>
      <c r="I518" s="118"/>
      <c r="J518" s="65"/>
      <c r="K518" s="74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 ht="15.75" customHeight="1">
      <c r="A519" s="32"/>
      <c r="B519" s="65"/>
      <c r="C519" s="65"/>
      <c r="D519" s="32"/>
      <c r="E519" s="32"/>
      <c r="F519" s="32"/>
      <c r="G519" s="65"/>
      <c r="H519" s="67"/>
      <c r="I519" s="118"/>
      <c r="J519" s="65"/>
      <c r="K519" s="74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 ht="15.75" customHeight="1">
      <c r="A520" s="32"/>
      <c r="B520" s="65"/>
      <c r="C520" s="65"/>
      <c r="D520" s="32"/>
      <c r="E520" s="32"/>
      <c r="F520" s="32"/>
      <c r="G520" s="65"/>
      <c r="H520" s="67"/>
      <c r="I520" s="118"/>
      <c r="J520" s="65"/>
      <c r="K520" s="74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 ht="15.75" customHeight="1">
      <c r="A521" s="32"/>
      <c r="B521" s="65"/>
      <c r="C521" s="65"/>
      <c r="D521" s="32"/>
      <c r="E521" s="32"/>
      <c r="F521" s="32"/>
      <c r="G521" s="65"/>
      <c r="H521" s="67"/>
      <c r="I521" s="118"/>
      <c r="J521" s="65"/>
      <c r="K521" s="74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 ht="15.75" customHeight="1">
      <c r="A522" s="32"/>
      <c r="B522" s="65"/>
      <c r="C522" s="65"/>
      <c r="D522" s="32"/>
      <c r="E522" s="32"/>
      <c r="F522" s="32"/>
      <c r="G522" s="65"/>
      <c r="H522" s="67"/>
      <c r="I522" s="118"/>
      <c r="J522" s="65"/>
      <c r="K522" s="74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 ht="15.75" customHeight="1">
      <c r="A523" s="32"/>
      <c r="B523" s="65"/>
      <c r="C523" s="65"/>
      <c r="D523" s="32"/>
      <c r="E523" s="32"/>
      <c r="F523" s="32"/>
      <c r="G523" s="65"/>
      <c r="H523" s="67"/>
      <c r="I523" s="118"/>
      <c r="J523" s="65"/>
      <c r="K523" s="74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ht="15.75" customHeight="1">
      <c r="A524" s="32"/>
      <c r="B524" s="65"/>
      <c r="C524" s="65"/>
      <c r="D524" s="32"/>
      <c r="E524" s="32"/>
      <c r="F524" s="32"/>
      <c r="G524" s="65"/>
      <c r="H524" s="67"/>
      <c r="I524" s="118"/>
      <c r="J524" s="65"/>
      <c r="K524" s="74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 ht="15.75" customHeight="1">
      <c r="A525" s="32"/>
      <c r="B525" s="65"/>
      <c r="C525" s="65"/>
      <c r="D525" s="32"/>
      <c r="E525" s="32"/>
      <c r="F525" s="32"/>
      <c r="G525" s="65"/>
      <c r="H525" s="67"/>
      <c r="I525" s="118"/>
      <c r="J525" s="65"/>
      <c r="K525" s="74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 ht="15.75" customHeight="1">
      <c r="A526" s="32"/>
      <c r="B526" s="65"/>
      <c r="C526" s="65"/>
      <c r="D526" s="32"/>
      <c r="E526" s="32"/>
      <c r="F526" s="32"/>
      <c r="G526" s="65"/>
      <c r="H526" s="67"/>
      <c r="I526" s="118"/>
      <c r="J526" s="65"/>
      <c r="K526" s="74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 ht="15.75" customHeight="1">
      <c r="A527" s="32"/>
      <c r="B527" s="65"/>
      <c r="C527" s="65"/>
      <c r="D527" s="32"/>
      <c r="E527" s="32"/>
      <c r="F527" s="32"/>
      <c r="G527" s="65"/>
      <c r="H527" s="67"/>
      <c r="I527" s="118"/>
      <c r="J527" s="65"/>
      <c r="K527" s="74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 ht="15.75" customHeight="1">
      <c r="A528" s="32"/>
      <c r="B528" s="65"/>
      <c r="C528" s="65"/>
      <c r="D528" s="32"/>
      <c r="E528" s="32"/>
      <c r="F528" s="32"/>
      <c r="G528" s="65"/>
      <c r="H528" s="67"/>
      <c r="I528" s="118"/>
      <c r="J528" s="65"/>
      <c r="K528" s="74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 ht="15.75" customHeight="1">
      <c r="A529" s="32"/>
      <c r="B529" s="65"/>
      <c r="C529" s="65"/>
      <c r="D529" s="32"/>
      <c r="E529" s="32"/>
      <c r="F529" s="32"/>
      <c r="G529" s="65"/>
      <c r="H529" s="67"/>
      <c r="I529" s="118"/>
      <c r="J529" s="65"/>
      <c r="K529" s="74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 ht="15.75" customHeight="1">
      <c r="A530" s="32"/>
      <c r="B530" s="65"/>
      <c r="C530" s="65"/>
      <c r="D530" s="32"/>
      <c r="E530" s="32"/>
      <c r="F530" s="32"/>
      <c r="G530" s="65"/>
      <c r="H530" s="67"/>
      <c r="I530" s="118"/>
      <c r="J530" s="65"/>
      <c r="K530" s="74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 ht="15.75" customHeight="1">
      <c r="A531" s="32"/>
      <c r="B531" s="65"/>
      <c r="C531" s="65"/>
      <c r="D531" s="32"/>
      <c r="E531" s="32"/>
      <c r="F531" s="32"/>
      <c r="G531" s="65"/>
      <c r="H531" s="67"/>
      <c r="I531" s="118"/>
      <c r="J531" s="65"/>
      <c r="K531" s="74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 ht="15.75" customHeight="1">
      <c r="A532" s="32"/>
      <c r="B532" s="65"/>
      <c r="C532" s="65"/>
      <c r="D532" s="32"/>
      <c r="E532" s="32"/>
      <c r="F532" s="32"/>
      <c r="G532" s="65"/>
      <c r="H532" s="67"/>
      <c r="I532" s="118"/>
      <c r="J532" s="65"/>
      <c r="K532" s="74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 ht="15.75" customHeight="1">
      <c r="A533" s="32"/>
      <c r="B533" s="65"/>
      <c r="C533" s="65"/>
      <c r="D533" s="32"/>
      <c r="E533" s="32"/>
      <c r="F533" s="32"/>
      <c r="G533" s="65"/>
      <c r="H533" s="67"/>
      <c r="I533" s="118"/>
      <c r="J533" s="65"/>
      <c r="K533" s="74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 ht="15.75" customHeight="1">
      <c r="A534" s="32"/>
      <c r="B534" s="65"/>
      <c r="C534" s="65"/>
      <c r="D534" s="32"/>
      <c r="E534" s="32"/>
      <c r="F534" s="32"/>
      <c r="G534" s="65"/>
      <c r="H534" s="67"/>
      <c r="I534" s="118"/>
      <c r="J534" s="65"/>
      <c r="K534" s="74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 ht="15.75" customHeight="1">
      <c r="A535" s="32"/>
      <c r="B535" s="65"/>
      <c r="C535" s="65"/>
      <c r="D535" s="32"/>
      <c r="E535" s="32"/>
      <c r="F535" s="32"/>
      <c r="G535" s="65"/>
      <c r="H535" s="67"/>
      <c r="I535" s="118"/>
      <c r="J535" s="65"/>
      <c r="K535" s="74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 ht="15.75" customHeight="1">
      <c r="A536" s="32"/>
      <c r="B536" s="65"/>
      <c r="C536" s="65"/>
      <c r="D536" s="32"/>
      <c r="E536" s="32"/>
      <c r="F536" s="32"/>
      <c r="G536" s="65"/>
      <c r="H536" s="67"/>
      <c r="I536" s="118"/>
      <c r="J536" s="65"/>
      <c r="K536" s="74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 ht="15.75" customHeight="1">
      <c r="A537" s="32"/>
      <c r="B537" s="65"/>
      <c r="C537" s="65"/>
      <c r="D537" s="32"/>
      <c r="E537" s="32"/>
      <c r="F537" s="32"/>
      <c r="G537" s="65"/>
      <c r="H537" s="67"/>
      <c r="I537" s="118"/>
      <c r="J537" s="65"/>
      <c r="K537" s="74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ht="15.75" customHeight="1">
      <c r="A538" s="32"/>
      <c r="B538" s="65"/>
      <c r="C538" s="65"/>
      <c r="D538" s="32"/>
      <c r="E538" s="32"/>
      <c r="F538" s="32"/>
      <c r="G538" s="65"/>
      <c r="H538" s="67"/>
      <c r="I538" s="118"/>
      <c r="J538" s="65"/>
      <c r="K538" s="74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ht="15.75" customHeight="1">
      <c r="A539" s="32"/>
      <c r="B539" s="65"/>
      <c r="C539" s="65"/>
      <c r="D539" s="32"/>
      <c r="E539" s="32"/>
      <c r="F539" s="32"/>
      <c r="G539" s="65"/>
      <c r="H539" s="67"/>
      <c r="I539" s="118"/>
      <c r="J539" s="65"/>
      <c r="K539" s="74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 ht="15.75" customHeight="1">
      <c r="A540" s="32"/>
      <c r="B540" s="65"/>
      <c r="C540" s="65"/>
      <c r="D540" s="32"/>
      <c r="E540" s="32"/>
      <c r="F540" s="32"/>
      <c r="G540" s="65"/>
      <c r="H540" s="67"/>
      <c r="I540" s="118"/>
      <c r="J540" s="65"/>
      <c r="K540" s="74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 ht="15.75" customHeight="1">
      <c r="A541" s="32"/>
      <c r="B541" s="65"/>
      <c r="C541" s="65"/>
      <c r="D541" s="32"/>
      <c r="E541" s="32"/>
      <c r="F541" s="32"/>
      <c r="G541" s="65"/>
      <c r="H541" s="67"/>
      <c r="I541" s="118"/>
      <c r="J541" s="65"/>
      <c r="K541" s="74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 ht="15.75" customHeight="1">
      <c r="A542" s="32"/>
      <c r="B542" s="65"/>
      <c r="C542" s="65"/>
      <c r="D542" s="32"/>
      <c r="E542" s="32"/>
      <c r="F542" s="32"/>
      <c r="G542" s="65"/>
      <c r="H542" s="67"/>
      <c r="I542" s="118"/>
      <c r="J542" s="65"/>
      <c r="K542" s="74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 ht="15.75" customHeight="1">
      <c r="A543" s="32"/>
      <c r="B543" s="65"/>
      <c r="C543" s="65"/>
      <c r="D543" s="32"/>
      <c r="E543" s="32"/>
      <c r="F543" s="32"/>
      <c r="G543" s="65"/>
      <c r="H543" s="67"/>
      <c r="I543" s="118"/>
      <c r="J543" s="65"/>
      <c r="K543" s="74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 ht="15.75" customHeight="1">
      <c r="A544" s="32"/>
      <c r="B544" s="65"/>
      <c r="C544" s="65"/>
      <c r="D544" s="32"/>
      <c r="E544" s="32"/>
      <c r="F544" s="32"/>
      <c r="G544" s="65"/>
      <c r="H544" s="67"/>
      <c r="I544" s="118"/>
      <c r="J544" s="65"/>
      <c r="K544" s="74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 ht="15.75" customHeight="1">
      <c r="A545" s="32"/>
      <c r="B545" s="65"/>
      <c r="C545" s="65"/>
      <c r="D545" s="32"/>
      <c r="E545" s="32"/>
      <c r="F545" s="32"/>
      <c r="G545" s="65"/>
      <c r="H545" s="67"/>
      <c r="I545" s="118"/>
      <c r="J545" s="65"/>
      <c r="K545" s="74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 ht="15.75" customHeight="1">
      <c r="A546" s="32"/>
      <c r="B546" s="65"/>
      <c r="C546" s="65"/>
      <c r="D546" s="32"/>
      <c r="E546" s="32"/>
      <c r="F546" s="32"/>
      <c r="G546" s="65"/>
      <c r="H546" s="67"/>
      <c r="I546" s="118"/>
      <c r="J546" s="65"/>
      <c r="K546" s="74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 ht="15.75" customHeight="1">
      <c r="A547" s="32"/>
      <c r="B547" s="65"/>
      <c r="C547" s="65"/>
      <c r="D547" s="32"/>
      <c r="E547" s="32"/>
      <c r="F547" s="32"/>
      <c r="G547" s="65"/>
      <c r="H547" s="67"/>
      <c r="I547" s="118"/>
      <c r="J547" s="65"/>
      <c r="K547" s="74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 ht="15.75" customHeight="1">
      <c r="A548" s="32"/>
      <c r="B548" s="65"/>
      <c r="C548" s="65"/>
      <c r="D548" s="32"/>
      <c r="E548" s="32"/>
      <c r="F548" s="32"/>
      <c r="G548" s="65"/>
      <c r="H548" s="67"/>
      <c r="I548" s="118"/>
      <c r="J548" s="65"/>
      <c r="K548" s="74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 ht="15.75" customHeight="1">
      <c r="A549" s="32"/>
      <c r="B549" s="65"/>
      <c r="C549" s="65"/>
      <c r="D549" s="32"/>
      <c r="E549" s="32"/>
      <c r="F549" s="32"/>
      <c r="G549" s="65"/>
      <c r="H549" s="67"/>
      <c r="I549" s="118"/>
      <c r="J549" s="65"/>
      <c r="K549" s="74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 ht="15.75" customHeight="1">
      <c r="A550" s="32"/>
      <c r="B550" s="65"/>
      <c r="C550" s="65"/>
      <c r="D550" s="32"/>
      <c r="E550" s="32"/>
      <c r="F550" s="32"/>
      <c r="G550" s="65"/>
      <c r="H550" s="67"/>
      <c r="I550" s="118"/>
      <c r="J550" s="65"/>
      <c r="K550" s="74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 ht="15.75" customHeight="1">
      <c r="A551" s="32"/>
      <c r="B551" s="65"/>
      <c r="C551" s="65"/>
      <c r="D551" s="32"/>
      <c r="E551" s="32"/>
      <c r="F551" s="32"/>
      <c r="G551" s="65"/>
      <c r="H551" s="67"/>
      <c r="I551" s="118"/>
      <c r="J551" s="65"/>
      <c r="K551" s="74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 ht="15.75" customHeight="1">
      <c r="A552" s="32"/>
      <c r="B552" s="65"/>
      <c r="C552" s="65"/>
      <c r="D552" s="32"/>
      <c r="E552" s="32"/>
      <c r="F552" s="32"/>
      <c r="G552" s="65"/>
      <c r="H552" s="67"/>
      <c r="I552" s="118"/>
      <c r="J552" s="65"/>
      <c r="K552" s="74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 ht="15.75" customHeight="1">
      <c r="A553" s="32"/>
      <c r="B553" s="65"/>
      <c r="C553" s="65"/>
      <c r="D553" s="32"/>
      <c r="E553" s="32"/>
      <c r="F553" s="32"/>
      <c r="G553" s="65"/>
      <c r="H553" s="67"/>
      <c r="I553" s="118"/>
      <c r="J553" s="65"/>
      <c r="K553" s="74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 ht="15.75" customHeight="1">
      <c r="A554" s="32"/>
      <c r="B554" s="65"/>
      <c r="C554" s="65"/>
      <c r="D554" s="32"/>
      <c r="E554" s="32"/>
      <c r="F554" s="32"/>
      <c r="G554" s="65"/>
      <c r="H554" s="67"/>
      <c r="I554" s="118"/>
      <c r="J554" s="65"/>
      <c r="K554" s="74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 ht="15.75" customHeight="1">
      <c r="A555" s="32"/>
      <c r="B555" s="65"/>
      <c r="C555" s="65"/>
      <c r="D555" s="32"/>
      <c r="E555" s="32"/>
      <c r="F555" s="32"/>
      <c r="G555" s="65"/>
      <c r="H555" s="67"/>
      <c r="I555" s="118"/>
      <c r="J555" s="65"/>
      <c r="K555" s="74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 ht="15.75" customHeight="1">
      <c r="A556" s="32"/>
      <c r="B556" s="65"/>
      <c r="C556" s="65"/>
      <c r="D556" s="32"/>
      <c r="E556" s="32"/>
      <c r="F556" s="32"/>
      <c r="G556" s="65"/>
      <c r="H556" s="67"/>
      <c r="I556" s="118"/>
      <c r="J556" s="65"/>
      <c r="K556" s="74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 ht="15.75" customHeight="1">
      <c r="A557" s="32"/>
      <c r="B557" s="65"/>
      <c r="C557" s="65"/>
      <c r="D557" s="32"/>
      <c r="E557" s="32"/>
      <c r="F557" s="32"/>
      <c r="G557" s="65"/>
      <c r="H557" s="67"/>
      <c r="I557" s="118"/>
      <c r="J557" s="65"/>
      <c r="K557" s="74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 ht="15.75" customHeight="1">
      <c r="A558" s="32"/>
      <c r="B558" s="65"/>
      <c r="C558" s="65"/>
      <c r="D558" s="32"/>
      <c r="E558" s="32"/>
      <c r="F558" s="32"/>
      <c r="G558" s="65"/>
      <c r="H558" s="67"/>
      <c r="I558" s="118"/>
      <c r="J558" s="65"/>
      <c r="K558" s="74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 ht="15.75" customHeight="1">
      <c r="A559" s="32"/>
      <c r="B559" s="65"/>
      <c r="C559" s="65"/>
      <c r="D559" s="32"/>
      <c r="E559" s="32"/>
      <c r="F559" s="32"/>
      <c r="G559" s="65"/>
      <c r="H559" s="67"/>
      <c r="I559" s="118"/>
      <c r="J559" s="65"/>
      <c r="K559" s="74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 ht="15.75" customHeight="1">
      <c r="A560" s="32"/>
      <c r="B560" s="65"/>
      <c r="C560" s="65"/>
      <c r="D560" s="32"/>
      <c r="E560" s="32"/>
      <c r="F560" s="32"/>
      <c r="G560" s="65"/>
      <c r="H560" s="67"/>
      <c r="I560" s="118"/>
      <c r="J560" s="65"/>
      <c r="K560" s="74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 ht="15.75" customHeight="1">
      <c r="A561" s="32"/>
      <c r="B561" s="65"/>
      <c r="C561" s="65"/>
      <c r="D561" s="32"/>
      <c r="E561" s="32"/>
      <c r="F561" s="32"/>
      <c r="G561" s="65"/>
      <c r="H561" s="67"/>
      <c r="I561" s="118"/>
      <c r="J561" s="65"/>
      <c r="K561" s="74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 ht="15.75" customHeight="1">
      <c r="A562" s="32"/>
      <c r="B562" s="65"/>
      <c r="C562" s="65"/>
      <c r="D562" s="32"/>
      <c r="E562" s="32"/>
      <c r="F562" s="32"/>
      <c r="G562" s="65"/>
      <c r="H562" s="67"/>
      <c r="I562" s="118"/>
      <c r="J562" s="65"/>
      <c r="K562" s="74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 ht="15.75" customHeight="1">
      <c r="A563" s="32"/>
      <c r="B563" s="65"/>
      <c r="C563" s="65"/>
      <c r="D563" s="32"/>
      <c r="E563" s="32"/>
      <c r="F563" s="32"/>
      <c r="G563" s="65"/>
      <c r="H563" s="67"/>
      <c r="I563" s="118"/>
      <c r="J563" s="65"/>
      <c r="K563" s="74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 ht="15.75" customHeight="1">
      <c r="A564" s="32"/>
      <c r="B564" s="65"/>
      <c r="C564" s="65"/>
      <c r="D564" s="32"/>
      <c r="E564" s="32"/>
      <c r="F564" s="32"/>
      <c r="G564" s="65"/>
      <c r="H564" s="67"/>
      <c r="I564" s="118"/>
      <c r="J564" s="65"/>
      <c r="K564" s="74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 ht="15.75" customHeight="1">
      <c r="A565" s="32"/>
      <c r="B565" s="65"/>
      <c r="C565" s="65"/>
      <c r="D565" s="32"/>
      <c r="E565" s="32"/>
      <c r="F565" s="32"/>
      <c r="G565" s="65"/>
      <c r="H565" s="67"/>
      <c r="I565" s="118"/>
      <c r="J565" s="65"/>
      <c r="K565" s="74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 ht="15.75" customHeight="1">
      <c r="A566" s="32"/>
      <c r="B566" s="65"/>
      <c r="C566" s="65"/>
      <c r="D566" s="32"/>
      <c r="E566" s="32"/>
      <c r="F566" s="32"/>
      <c r="G566" s="65"/>
      <c r="H566" s="67"/>
      <c r="I566" s="118"/>
      <c r="J566" s="65"/>
      <c r="K566" s="74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 ht="15.75" customHeight="1">
      <c r="A567" s="32"/>
      <c r="B567" s="65"/>
      <c r="C567" s="65"/>
      <c r="D567" s="32"/>
      <c r="E567" s="32"/>
      <c r="F567" s="32"/>
      <c r="G567" s="65"/>
      <c r="H567" s="67"/>
      <c r="I567" s="118"/>
      <c r="J567" s="65"/>
      <c r="K567" s="74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 ht="15.75" customHeight="1">
      <c r="A568" s="32"/>
      <c r="B568" s="65"/>
      <c r="C568" s="65"/>
      <c r="D568" s="32"/>
      <c r="E568" s="32"/>
      <c r="F568" s="32"/>
      <c r="G568" s="65"/>
      <c r="H568" s="67"/>
      <c r="I568" s="118"/>
      <c r="J568" s="65"/>
      <c r="K568" s="74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 ht="15.75" customHeight="1">
      <c r="A569" s="32"/>
      <c r="B569" s="65"/>
      <c r="C569" s="65"/>
      <c r="D569" s="32"/>
      <c r="E569" s="32"/>
      <c r="F569" s="32"/>
      <c r="G569" s="65"/>
      <c r="H569" s="67"/>
      <c r="I569" s="118"/>
      <c r="J569" s="65"/>
      <c r="K569" s="74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 ht="15.75" customHeight="1">
      <c r="A570" s="32"/>
      <c r="B570" s="65"/>
      <c r="C570" s="65"/>
      <c r="D570" s="32"/>
      <c r="E570" s="32"/>
      <c r="F570" s="32"/>
      <c r="G570" s="65"/>
      <c r="H570" s="67"/>
      <c r="I570" s="118"/>
      <c r="J570" s="65"/>
      <c r="K570" s="74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 ht="15.75" customHeight="1">
      <c r="A571" s="32"/>
      <c r="B571" s="65"/>
      <c r="C571" s="65"/>
      <c r="D571" s="32"/>
      <c r="E571" s="32"/>
      <c r="F571" s="32"/>
      <c r="G571" s="65"/>
      <c r="H571" s="67"/>
      <c r="I571" s="118"/>
      <c r="J571" s="65"/>
      <c r="K571" s="74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 ht="15.75" customHeight="1">
      <c r="A572" s="32"/>
      <c r="B572" s="65"/>
      <c r="C572" s="65"/>
      <c r="D572" s="32"/>
      <c r="E572" s="32"/>
      <c r="F572" s="32"/>
      <c r="G572" s="65"/>
      <c r="H572" s="67"/>
      <c r="I572" s="118"/>
      <c r="J572" s="65"/>
      <c r="K572" s="74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 ht="15.75" customHeight="1">
      <c r="A573" s="32"/>
      <c r="B573" s="65"/>
      <c r="C573" s="65"/>
      <c r="D573" s="32"/>
      <c r="E573" s="32"/>
      <c r="F573" s="32"/>
      <c r="G573" s="65"/>
      <c r="H573" s="67"/>
      <c r="I573" s="118"/>
      <c r="J573" s="65"/>
      <c r="K573" s="74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 ht="15.75" customHeight="1">
      <c r="A574" s="32"/>
      <c r="B574" s="65"/>
      <c r="C574" s="65"/>
      <c r="D574" s="32"/>
      <c r="E574" s="32"/>
      <c r="F574" s="32"/>
      <c r="G574" s="65"/>
      <c r="H574" s="67"/>
      <c r="I574" s="118"/>
      <c r="J574" s="65"/>
      <c r="K574" s="74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 ht="15.75" customHeight="1">
      <c r="A575" s="32"/>
      <c r="B575" s="65"/>
      <c r="C575" s="65"/>
      <c r="D575" s="32"/>
      <c r="E575" s="32"/>
      <c r="F575" s="32"/>
      <c r="G575" s="65"/>
      <c r="H575" s="67"/>
      <c r="I575" s="118"/>
      <c r="J575" s="65"/>
      <c r="K575" s="74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 ht="15.75" customHeight="1">
      <c r="A576" s="32"/>
      <c r="B576" s="65"/>
      <c r="C576" s="65"/>
      <c r="D576" s="32"/>
      <c r="E576" s="32"/>
      <c r="F576" s="32"/>
      <c r="G576" s="65"/>
      <c r="H576" s="67"/>
      <c r="I576" s="118"/>
      <c r="J576" s="65"/>
      <c r="K576" s="74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 ht="15.75" customHeight="1">
      <c r="A577" s="32"/>
      <c r="B577" s="65"/>
      <c r="C577" s="65"/>
      <c r="D577" s="32"/>
      <c r="E577" s="32"/>
      <c r="F577" s="32"/>
      <c r="G577" s="65"/>
      <c r="H577" s="67"/>
      <c r="I577" s="118"/>
      <c r="J577" s="65"/>
      <c r="K577" s="74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 ht="15.75" customHeight="1">
      <c r="A578" s="32"/>
      <c r="B578" s="65"/>
      <c r="C578" s="65"/>
      <c r="D578" s="32"/>
      <c r="E578" s="32"/>
      <c r="F578" s="32"/>
      <c r="G578" s="65"/>
      <c r="H578" s="67"/>
      <c r="I578" s="118"/>
      <c r="J578" s="65"/>
      <c r="K578" s="74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 ht="15.75" customHeight="1">
      <c r="A579" s="32"/>
      <c r="B579" s="65"/>
      <c r="C579" s="65"/>
      <c r="D579" s="32"/>
      <c r="E579" s="32"/>
      <c r="F579" s="32"/>
      <c r="G579" s="65"/>
      <c r="H579" s="67"/>
      <c r="I579" s="118"/>
      <c r="J579" s="65"/>
      <c r="K579" s="74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 ht="15.75" customHeight="1">
      <c r="A580" s="32"/>
      <c r="B580" s="65"/>
      <c r="C580" s="65"/>
      <c r="D580" s="32"/>
      <c r="E580" s="32"/>
      <c r="F580" s="32"/>
      <c r="G580" s="65"/>
      <c r="H580" s="67"/>
      <c r="I580" s="118"/>
      <c r="J580" s="65"/>
      <c r="K580" s="74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ht="15.75" customHeight="1">
      <c r="A581" s="32"/>
      <c r="B581" s="65"/>
      <c r="C581" s="65"/>
      <c r="D581" s="32"/>
      <c r="E581" s="32"/>
      <c r="F581" s="32"/>
      <c r="G581" s="65"/>
      <c r="H581" s="67"/>
      <c r="I581" s="118"/>
      <c r="J581" s="65"/>
      <c r="K581" s="74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 ht="15.75" customHeight="1">
      <c r="A582" s="32"/>
      <c r="B582" s="65"/>
      <c r="C582" s="65"/>
      <c r="D582" s="32"/>
      <c r="E582" s="32"/>
      <c r="F582" s="32"/>
      <c r="G582" s="65"/>
      <c r="H582" s="67"/>
      <c r="I582" s="118"/>
      <c r="J582" s="65"/>
      <c r="K582" s="74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ht="15.75" customHeight="1">
      <c r="A583" s="32"/>
      <c r="B583" s="65"/>
      <c r="C583" s="65"/>
      <c r="D583" s="32"/>
      <c r="E583" s="32"/>
      <c r="F583" s="32"/>
      <c r="G583" s="65"/>
      <c r="H583" s="67"/>
      <c r="I583" s="118"/>
      <c r="J583" s="65"/>
      <c r="K583" s="74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 ht="15.75" customHeight="1">
      <c r="A584" s="32"/>
      <c r="B584" s="65"/>
      <c r="C584" s="65"/>
      <c r="D584" s="32"/>
      <c r="E584" s="32"/>
      <c r="F584" s="32"/>
      <c r="G584" s="65"/>
      <c r="H584" s="67"/>
      <c r="I584" s="118"/>
      <c r="J584" s="65"/>
      <c r="K584" s="74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 ht="15.75" customHeight="1">
      <c r="A585" s="32"/>
      <c r="B585" s="65"/>
      <c r="C585" s="65"/>
      <c r="D585" s="32"/>
      <c r="E585" s="32"/>
      <c r="F585" s="32"/>
      <c r="G585" s="65"/>
      <c r="H585" s="67"/>
      <c r="I585" s="118"/>
      <c r="J585" s="65"/>
      <c r="K585" s="74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 ht="15.75" customHeight="1">
      <c r="A586" s="32"/>
      <c r="B586" s="65"/>
      <c r="C586" s="65"/>
      <c r="D586" s="32"/>
      <c r="E586" s="32"/>
      <c r="F586" s="32"/>
      <c r="G586" s="65"/>
      <c r="H586" s="67"/>
      <c r="I586" s="118"/>
      <c r="J586" s="65"/>
      <c r="K586" s="74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 ht="15.75" customHeight="1">
      <c r="A587" s="32"/>
      <c r="B587" s="65"/>
      <c r="C587" s="65"/>
      <c r="D587" s="32"/>
      <c r="E587" s="32"/>
      <c r="F587" s="32"/>
      <c r="G587" s="65"/>
      <c r="H587" s="67"/>
      <c r="I587" s="118"/>
      <c r="J587" s="65"/>
      <c r="K587" s="74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ht="15.75" customHeight="1">
      <c r="A588" s="32"/>
      <c r="B588" s="65"/>
      <c r="C588" s="65"/>
      <c r="D588" s="32"/>
      <c r="E588" s="32"/>
      <c r="F588" s="32"/>
      <c r="G588" s="65"/>
      <c r="H588" s="67"/>
      <c r="I588" s="118"/>
      <c r="J588" s="65"/>
      <c r="K588" s="74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 ht="15.75" customHeight="1">
      <c r="A589" s="32"/>
      <c r="B589" s="65"/>
      <c r="C589" s="65"/>
      <c r="D589" s="32"/>
      <c r="E589" s="32"/>
      <c r="F589" s="32"/>
      <c r="G589" s="65"/>
      <c r="H589" s="67"/>
      <c r="I589" s="118"/>
      <c r="J589" s="65"/>
      <c r="K589" s="74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 ht="15.75" customHeight="1">
      <c r="A590" s="32"/>
      <c r="B590" s="65"/>
      <c r="C590" s="65"/>
      <c r="D590" s="32"/>
      <c r="E590" s="32"/>
      <c r="F590" s="32"/>
      <c r="G590" s="65"/>
      <c r="H590" s="67"/>
      <c r="I590" s="118"/>
      <c r="J590" s="65"/>
      <c r="K590" s="74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 ht="15.75" customHeight="1">
      <c r="A591" s="32"/>
      <c r="B591" s="65"/>
      <c r="C591" s="65"/>
      <c r="D591" s="32"/>
      <c r="E591" s="32"/>
      <c r="F591" s="32"/>
      <c r="G591" s="65"/>
      <c r="H591" s="67"/>
      <c r="I591" s="118"/>
      <c r="J591" s="65"/>
      <c r="K591" s="74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 ht="15.75" customHeight="1">
      <c r="A592" s="32"/>
      <c r="B592" s="65"/>
      <c r="C592" s="65"/>
      <c r="D592" s="32"/>
      <c r="E592" s="32"/>
      <c r="F592" s="32"/>
      <c r="G592" s="65"/>
      <c r="H592" s="67"/>
      <c r="I592" s="118"/>
      <c r="J592" s="65"/>
      <c r="K592" s="74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 ht="15.75" customHeight="1">
      <c r="A593" s="32"/>
      <c r="B593" s="65"/>
      <c r="C593" s="65"/>
      <c r="D593" s="32"/>
      <c r="E593" s="32"/>
      <c r="F593" s="32"/>
      <c r="G593" s="65"/>
      <c r="H593" s="67"/>
      <c r="I593" s="118"/>
      <c r="J593" s="65"/>
      <c r="K593" s="74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ht="15.75" customHeight="1">
      <c r="A594" s="32"/>
      <c r="B594" s="65"/>
      <c r="C594" s="65"/>
      <c r="D594" s="32"/>
      <c r="E594" s="32"/>
      <c r="F594" s="32"/>
      <c r="G594" s="65"/>
      <c r="H594" s="67"/>
      <c r="I594" s="118"/>
      <c r="J594" s="65"/>
      <c r="K594" s="74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 ht="15.75" customHeight="1">
      <c r="A595" s="32"/>
      <c r="B595" s="65"/>
      <c r="C595" s="65"/>
      <c r="D595" s="32"/>
      <c r="E595" s="32"/>
      <c r="F595" s="32"/>
      <c r="G595" s="65"/>
      <c r="H595" s="67"/>
      <c r="I595" s="118"/>
      <c r="J595" s="65"/>
      <c r="K595" s="74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 ht="15.75" customHeight="1">
      <c r="A596" s="32"/>
      <c r="B596" s="65"/>
      <c r="C596" s="65"/>
      <c r="D596" s="32"/>
      <c r="E596" s="32"/>
      <c r="F596" s="32"/>
      <c r="G596" s="65"/>
      <c r="H596" s="67"/>
      <c r="I596" s="118"/>
      <c r="J596" s="65"/>
      <c r="K596" s="74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 ht="15.75" customHeight="1">
      <c r="A597" s="32"/>
      <c r="B597" s="65"/>
      <c r="C597" s="65"/>
      <c r="D597" s="32"/>
      <c r="E597" s="32"/>
      <c r="F597" s="32"/>
      <c r="G597" s="65"/>
      <c r="H597" s="67"/>
      <c r="I597" s="118"/>
      <c r="J597" s="65"/>
      <c r="K597" s="74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 ht="15.75" customHeight="1">
      <c r="A598" s="32"/>
      <c r="B598" s="65"/>
      <c r="C598" s="65"/>
      <c r="D598" s="32"/>
      <c r="E598" s="32"/>
      <c r="F598" s="32"/>
      <c r="G598" s="65"/>
      <c r="H598" s="67"/>
      <c r="I598" s="118"/>
      <c r="J598" s="65"/>
      <c r="K598" s="74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 ht="15.75" customHeight="1">
      <c r="A599" s="32"/>
      <c r="B599" s="65"/>
      <c r="C599" s="65"/>
      <c r="D599" s="32"/>
      <c r="E599" s="32"/>
      <c r="F599" s="32"/>
      <c r="G599" s="65"/>
      <c r="H599" s="67"/>
      <c r="I599" s="118"/>
      <c r="J599" s="65"/>
      <c r="K599" s="74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 ht="15.75" customHeight="1">
      <c r="A600" s="32"/>
      <c r="B600" s="65"/>
      <c r="C600" s="65"/>
      <c r="D600" s="32"/>
      <c r="E600" s="32"/>
      <c r="F600" s="32"/>
      <c r="G600" s="65"/>
      <c r="H600" s="67"/>
      <c r="I600" s="118"/>
      <c r="J600" s="65"/>
      <c r="K600" s="74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 ht="15.75" customHeight="1">
      <c r="A601" s="32"/>
      <c r="B601" s="65"/>
      <c r="C601" s="65"/>
      <c r="D601" s="32"/>
      <c r="E601" s="32"/>
      <c r="F601" s="32"/>
      <c r="G601" s="65"/>
      <c r="H601" s="67"/>
      <c r="I601" s="118"/>
      <c r="J601" s="65"/>
      <c r="K601" s="74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 ht="15.75" customHeight="1">
      <c r="A602" s="32"/>
      <c r="B602" s="65"/>
      <c r="C602" s="65"/>
      <c r="D602" s="32"/>
      <c r="E602" s="32"/>
      <c r="F602" s="32"/>
      <c r="G602" s="65"/>
      <c r="H602" s="67"/>
      <c r="I602" s="118"/>
      <c r="J602" s="65"/>
      <c r="K602" s="74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 ht="15.75" customHeight="1">
      <c r="A603" s="32"/>
      <c r="B603" s="65"/>
      <c r="C603" s="65"/>
      <c r="D603" s="32"/>
      <c r="E603" s="32"/>
      <c r="F603" s="32"/>
      <c r="G603" s="65"/>
      <c r="H603" s="67"/>
      <c r="I603" s="118"/>
      <c r="J603" s="65"/>
      <c r="K603" s="74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 ht="15.75" customHeight="1">
      <c r="A604" s="32"/>
      <c r="B604" s="65"/>
      <c r="C604" s="65"/>
      <c r="D604" s="32"/>
      <c r="E604" s="32"/>
      <c r="F604" s="32"/>
      <c r="G604" s="65"/>
      <c r="H604" s="67"/>
      <c r="I604" s="118"/>
      <c r="J604" s="65"/>
      <c r="K604" s="74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 ht="15.75" customHeight="1">
      <c r="A605" s="32"/>
      <c r="B605" s="65"/>
      <c r="C605" s="65"/>
      <c r="D605" s="32"/>
      <c r="E605" s="32"/>
      <c r="F605" s="32"/>
      <c r="G605" s="65"/>
      <c r="H605" s="67"/>
      <c r="I605" s="118"/>
      <c r="J605" s="65"/>
      <c r="K605" s="74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 ht="15.75" customHeight="1">
      <c r="A606" s="32"/>
      <c r="B606" s="65"/>
      <c r="C606" s="65"/>
      <c r="D606" s="32"/>
      <c r="E606" s="32"/>
      <c r="F606" s="32"/>
      <c r="G606" s="65"/>
      <c r="H606" s="67"/>
      <c r="I606" s="118"/>
      <c r="J606" s="65"/>
      <c r="K606" s="74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 ht="15.75" customHeight="1">
      <c r="A607" s="32"/>
      <c r="B607" s="65"/>
      <c r="C607" s="65"/>
      <c r="D607" s="32"/>
      <c r="E607" s="32"/>
      <c r="F607" s="32"/>
      <c r="G607" s="65"/>
      <c r="H607" s="67"/>
      <c r="I607" s="118"/>
      <c r="J607" s="65"/>
      <c r="K607" s="74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 ht="15.75" customHeight="1">
      <c r="A608" s="32"/>
      <c r="B608" s="65"/>
      <c r="C608" s="65"/>
      <c r="D608" s="32"/>
      <c r="E608" s="32"/>
      <c r="F608" s="32"/>
      <c r="G608" s="65"/>
      <c r="H608" s="67"/>
      <c r="I608" s="118"/>
      <c r="J608" s="65"/>
      <c r="K608" s="74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 ht="15.75" customHeight="1">
      <c r="A609" s="32"/>
      <c r="B609" s="65"/>
      <c r="C609" s="65"/>
      <c r="D609" s="32"/>
      <c r="E609" s="32"/>
      <c r="F609" s="32"/>
      <c r="G609" s="65"/>
      <c r="H609" s="67"/>
      <c r="I609" s="118"/>
      <c r="J609" s="65"/>
      <c r="K609" s="74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 ht="15.75" customHeight="1">
      <c r="A610" s="32"/>
      <c r="B610" s="65"/>
      <c r="C610" s="65"/>
      <c r="D610" s="32"/>
      <c r="E610" s="32"/>
      <c r="F610" s="32"/>
      <c r="G610" s="65"/>
      <c r="H610" s="67"/>
      <c r="I610" s="118"/>
      <c r="J610" s="65"/>
      <c r="K610" s="74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 ht="15.75" customHeight="1">
      <c r="A611" s="32"/>
      <c r="B611" s="65"/>
      <c r="C611" s="65"/>
      <c r="D611" s="32"/>
      <c r="E611" s="32"/>
      <c r="F611" s="32"/>
      <c r="G611" s="65"/>
      <c r="H611" s="67"/>
      <c r="I611" s="118"/>
      <c r="J611" s="65"/>
      <c r="K611" s="74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 ht="15.75" customHeight="1">
      <c r="A612" s="32"/>
      <c r="B612" s="65"/>
      <c r="C612" s="65"/>
      <c r="D612" s="32"/>
      <c r="E612" s="32"/>
      <c r="F612" s="32"/>
      <c r="G612" s="65"/>
      <c r="H612" s="67"/>
      <c r="I612" s="118"/>
      <c r="J612" s="65"/>
      <c r="K612" s="74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 ht="15.75" customHeight="1">
      <c r="A613" s="32"/>
      <c r="B613" s="65"/>
      <c r="C613" s="65"/>
      <c r="D613" s="32"/>
      <c r="E613" s="32"/>
      <c r="F613" s="32"/>
      <c r="G613" s="65"/>
      <c r="H613" s="67"/>
      <c r="I613" s="118"/>
      <c r="J613" s="65"/>
      <c r="K613" s="74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 ht="15.75" customHeight="1">
      <c r="A614" s="32"/>
      <c r="B614" s="65"/>
      <c r="C614" s="65"/>
      <c r="D614" s="32"/>
      <c r="E614" s="32"/>
      <c r="F614" s="32"/>
      <c r="G614" s="65"/>
      <c r="H614" s="67"/>
      <c r="I614" s="118"/>
      <c r="J614" s="65"/>
      <c r="K614" s="74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 ht="15.75" customHeight="1">
      <c r="A615" s="32"/>
      <c r="B615" s="65"/>
      <c r="C615" s="65"/>
      <c r="D615" s="32"/>
      <c r="E615" s="32"/>
      <c r="F615" s="32"/>
      <c r="G615" s="65"/>
      <c r="H615" s="67"/>
      <c r="I615" s="118"/>
      <c r="J615" s="65"/>
      <c r="K615" s="74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 ht="15.75" customHeight="1">
      <c r="A616" s="32"/>
      <c r="B616" s="65"/>
      <c r="C616" s="65"/>
      <c r="D616" s="32"/>
      <c r="E616" s="32"/>
      <c r="F616" s="32"/>
      <c r="G616" s="65"/>
      <c r="H616" s="67"/>
      <c r="I616" s="118"/>
      <c r="J616" s="65"/>
      <c r="K616" s="74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 ht="15.75" customHeight="1">
      <c r="A617" s="32"/>
      <c r="B617" s="65"/>
      <c r="C617" s="65"/>
      <c r="D617" s="32"/>
      <c r="E617" s="32"/>
      <c r="F617" s="32"/>
      <c r="G617" s="65"/>
      <c r="H617" s="67"/>
      <c r="I617" s="118"/>
      <c r="J617" s="65"/>
      <c r="K617" s="74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 ht="15.75" customHeight="1">
      <c r="A618" s="32"/>
      <c r="B618" s="65"/>
      <c r="C618" s="65"/>
      <c r="D618" s="32"/>
      <c r="E618" s="32"/>
      <c r="F618" s="32"/>
      <c r="G618" s="65"/>
      <c r="H618" s="67"/>
      <c r="I618" s="118"/>
      <c r="J618" s="65"/>
      <c r="K618" s="74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 ht="15.75" customHeight="1">
      <c r="A619" s="32"/>
      <c r="B619" s="65"/>
      <c r="C619" s="65"/>
      <c r="D619" s="32"/>
      <c r="E619" s="32"/>
      <c r="F619" s="32"/>
      <c r="G619" s="65"/>
      <c r="H619" s="67"/>
      <c r="I619" s="118"/>
      <c r="J619" s="65"/>
      <c r="K619" s="74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 ht="15.75" customHeight="1">
      <c r="A620" s="32"/>
      <c r="B620" s="65"/>
      <c r="C620" s="65"/>
      <c r="D620" s="32"/>
      <c r="E620" s="32"/>
      <c r="F620" s="32"/>
      <c r="G620" s="65"/>
      <c r="H620" s="67"/>
      <c r="I620" s="118"/>
      <c r="J620" s="65"/>
      <c r="K620" s="74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 ht="15.75" customHeight="1">
      <c r="A621" s="32"/>
      <c r="B621" s="65"/>
      <c r="C621" s="65"/>
      <c r="D621" s="32"/>
      <c r="E621" s="32"/>
      <c r="F621" s="32"/>
      <c r="G621" s="65"/>
      <c r="H621" s="67"/>
      <c r="I621" s="118"/>
      <c r="J621" s="65"/>
      <c r="K621" s="74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 ht="15.75" customHeight="1">
      <c r="A622" s="32"/>
      <c r="B622" s="65"/>
      <c r="C622" s="65"/>
      <c r="D622" s="32"/>
      <c r="E622" s="32"/>
      <c r="F622" s="32"/>
      <c r="G622" s="65"/>
      <c r="H622" s="67"/>
      <c r="I622" s="118"/>
      <c r="J622" s="65"/>
      <c r="K622" s="74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 ht="15.75" customHeight="1">
      <c r="A623" s="32"/>
      <c r="B623" s="65"/>
      <c r="C623" s="65"/>
      <c r="D623" s="32"/>
      <c r="E623" s="32"/>
      <c r="F623" s="32"/>
      <c r="G623" s="65"/>
      <c r="H623" s="67"/>
      <c r="I623" s="118"/>
      <c r="J623" s="65"/>
      <c r="K623" s="74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 ht="15.75" customHeight="1">
      <c r="A624" s="32"/>
      <c r="B624" s="65"/>
      <c r="C624" s="65"/>
      <c r="D624" s="32"/>
      <c r="E624" s="32"/>
      <c r="F624" s="32"/>
      <c r="G624" s="65"/>
      <c r="H624" s="67"/>
      <c r="I624" s="118"/>
      <c r="J624" s="65"/>
      <c r="K624" s="74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 ht="15.75" customHeight="1">
      <c r="A625" s="32"/>
      <c r="B625" s="65"/>
      <c r="C625" s="65"/>
      <c r="D625" s="32"/>
      <c r="E625" s="32"/>
      <c r="F625" s="32"/>
      <c r="G625" s="65"/>
      <c r="H625" s="67"/>
      <c r="I625" s="118"/>
      <c r="J625" s="65"/>
      <c r="K625" s="74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 ht="15.75" customHeight="1">
      <c r="A626" s="32"/>
      <c r="B626" s="65"/>
      <c r="C626" s="65"/>
      <c r="D626" s="32"/>
      <c r="E626" s="32"/>
      <c r="F626" s="32"/>
      <c r="G626" s="65"/>
      <c r="H626" s="67"/>
      <c r="I626" s="118"/>
      <c r="J626" s="65"/>
      <c r="K626" s="74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 ht="15.75" customHeight="1">
      <c r="A627" s="32"/>
      <c r="B627" s="65"/>
      <c r="C627" s="65"/>
      <c r="D627" s="32"/>
      <c r="E627" s="32"/>
      <c r="F627" s="32"/>
      <c r="G627" s="65"/>
      <c r="H627" s="67"/>
      <c r="I627" s="118"/>
      <c r="J627" s="65"/>
      <c r="K627" s="74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 ht="15.75" customHeight="1">
      <c r="A628" s="32"/>
      <c r="B628" s="65"/>
      <c r="C628" s="65"/>
      <c r="D628" s="32"/>
      <c r="E628" s="32"/>
      <c r="F628" s="32"/>
      <c r="G628" s="65"/>
      <c r="H628" s="67"/>
      <c r="I628" s="118"/>
      <c r="J628" s="65"/>
      <c r="K628" s="74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 ht="15.75" customHeight="1">
      <c r="A629" s="32"/>
      <c r="B629" s="65"/>
      <c r="C629" s="65"/>
      <c r="D629" s="32"/>
      <c r="E629" s="32"/>
      <c r="F629" s="32"/>
      <c r="G629" s="65"/>
      <c r="H629" s="67"/>
      <c r="I629" s="118"/>
      <c r="J629" s="65"/>
      <c r="K629" s="74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 ht="15.75" customHeight="1">
      <c r="A630" s="32"/>
      <c r="B630" s="65"/>
      <c r="C630" s="65"/>
      <c r="D630" s="32"/>
      <c r="E630" s="32"/>
      <c r="F630" s="32"/>
      <c r="G630" s="65"/>
      <c r="H630" s="67"/>
      <c r="I630" s="118"/>
      <c r="J630" s="65"/>
      <c r="K630" s="74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 ht="15.75" customHeight="1">
      <c r="A631" s="32"/>
      <c r="B631" s="65"/>
      <c r="C631" s="65"/>
      <c r="D631" s="32"/>
      <c r="E631" s="32"/>
      <c r="F631" s="32"/>
      <c r="G631" s="65"/>
      <c r="H631" s="67"/>
      <c r="I631" s="118"/>
      <c r="J631" s="65"/>
      <c r="K631" s="74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 ht="15.75" customHeight="1">
      <c r="A632" s="32"/>
      <c r="B632" s="65"/>
      <c r="C632" s="65"/>
      <c r="D632" s="32"/>
      <c r="E632" s="32"/>
      <c r="F632" s="32"/>
      <c r="G632" s="65"/>
      <c r="H632" s="67"/>
      <c r="I632" s="118"/>
      <c r="J632" s="65"/>
      <c r="K632" s="74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 ht="15.75" customHeight="1">
      <c r="A633" s="32"/>
      <c r="B633" s="65"/>
      <c r="C633" s="65"/>
      <c r="D633" s="32"/>
      <c r="E633" s="32"/>
      <c r="F633" s="32"/>
      <c r="G633" s="65"/>
      <c r="H633" s="67"/>
      <c r="I633" s="118"/>
      <c r="J633" s="65"/>
      <c r="K633" s="74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 ht="15.75" customHeight="1">
      <c r="A634" s="32"/>
      <c r="B634" s="65"/>
      <c r="C634" s="65"/>
      <c r="D634" s="32"/>
      <c r="E634" s="32"/>
      <c r="F634" s="32"/>
      <c r="G634" s="65"/>
      <c r="H634" s="67"/>
      <c r="I634" s="118"/>
      <c r="J634" s="65"/>
      <c r="K634" s="74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 ht="15.75" customHeight="1">
      <c r="A635" s="32"/>
      <c r="B635" s="65"/>
      <c r="C635" s="65"/>
      <c r="D635" s="32"/>
      <c r="E635" s="32"/>
      <c r="F635" s="32"/>
      <c r="G635" s="65"/>
      <c r="H635" s="67"/>
      <c r="I635" s="118"/>
      <c r="J635" s="65"/>
      <c r="K635" s="74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 ht="15.75" customHeight="1">
      <c r="A636" s="32"/>
      <c r="B636" s="65"/>
      <c r="C636" s="65"/>
      <c r="D636" s="32"/>
      <c r="E636" s="32"/>
      <c r="F636" s="32"/>
      <c r="G636" s="65"/>
      <c r="H636" s="67"/>
      <c r="I636" s="118"/>
      <c r="J636" s="65"/>
      <c r="K636" s="74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 ht="15.75" customHeight="1">
      <c r="A637" s="32"/>
      <c r="B637" s="65"/>
      <c r="C637" s="65"/>
      <c r="D637" s="32"/>
      <c r="E637" s="32"/>
      <c r="F637" s="32"/>
      <c r="G637" s="65"/>
      <c r="H637" s="67"/>
      <c r="I637" s="118"/>
      <c r="J637" s="65"/>
      <c r="K637" s="74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 ht="15.75" customHeight="1">
      <c r="A638" s="32"/>
      <c r="B638" s="65"/>
      <c r="C638" s="65"/>
      <c r="D638" s="32"/>
      <c r="E638" s="32"/>
      <c r="F638" s="32"/>
      <c r="G638" s="65"/>
      <c r="H638" s="67"/>
      <c r="I638" s="118"/>
      <c r="J638" s="65"/>
      <c r="K638" s="74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 ht="15.75" customHeight="1">
      <c r="A639" s="32"/>
      <c r="B639" s="65"/>
      <c r="C639" s="65"/>
      <c r="D639" s="32"/>
      <c r="E639" s="32"/>
      <c r="F639" s="32"/>
      <c r="G639" s="65"/>
      <c r="H639" s="67"/>
      <c r="I639" s="118"/>
      <c r="J639" s="65"/>
      <c r="K639" s="74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 ht="15.75" customHeight="1">
      <c r="A640" s="32"/>
      <c r="B640" s="65"/>
      <c r="C640" s="65"/>
      <c r="D640" s="32"/>
      <c r="E640" s="32"/>
      <c r="F640" s="32"/>
      <c r="G640" s="65"/>
      <c r="H640" s="67"/>
      <c r="I640" s="118"/>
      <c r="J640" s="65"/>
      <c r="K640" s="74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 ht="15.75" customHeight="1">
      <c r="A641" s="32"/>
      <c r="B641" s="65"/>
      <c r="C641" s="65"/>
      <c r="D641" s="32"/>
      <c r="E641" s="32"/>
      <c r="F641" s="32"/>
      <c r="G641" s="65"/>
      <c r="H641" s="67"/>
      <c r="I641" s="118"/>
      <c r="J641" s="65"/>
      <c r="K641" s="74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 ht="15.75" customHeight="1">
      <c r="A642" s="32"/>
      <c r="B642" s="65"/>
      <c r="C642" s="65"/>
      <c r="D642" s="32"/>
      <c r="E642" s="32"/>
      <c r="F642" s="32"/>
      <c r="G642" s="65"/>
      <c r="H642" s="67"/>
      <c r="I642" s="118"/>
      <c r="J642" s="65"/>
      <c r="K642" s="74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 ht="15.75" customHeight="1">
      <c r="A643" s="32"/>
      <c r="B643" s="65"/>
      <c r="C643" s="65"/>
      <c r="D643" s="32"/>
      <c r="E643" s="32"/>
      <c r="F643" s="32"/>
      <c r="G643" s="65"/>
      <c r="H643" s="67"/>
      <c r="I643" s="118"/>
      <c r="J643" s="65"/>
      <c r="K643" s="74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 ht="15.75" customHeight="1">
      <c r="A644" s="32"/>
      <c r="B644" s="65"/>
      <c r="C644" s="65"/>
      <c r="D644" s="32"/>
      <c r="E644" s="32"/>
      <c r="F644" s="32"/>
      <c r="G644" s="65"/>
      <c r="H644" s="67"/>
      <c r="I644" s="118"/>
      <c r="J644" s="65"/>
      <c r="K644" s="74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 ht="15.75" customHeight="1">
      <c r="A645" s="32"/>
      <c r="B645" s="65"/>
      <c r="C645" s="65"/>
      <c r="D645" s="32"/>
      <c r="E645" s="32"/>
      <c r="F645" s="32"/>
      <c r="G645" s="65"/>
      <c r="H645" s="67"/>
      <c r="I645" s="118"/>
      <c r="J645" s="65"/>
      <c r="K645" s="74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 ht="15.75" customHeight="1">
      <c r="A646" s="32"/>
      <c r="B646" s="65"/>
      <c r="C646" s="65"/>
      <c r="D646" s="32"/>
      <c r="E646" s="32"/>
      <c r="F646" s="32"/>
      <c r="G646" s="65"/>
      <c r="H646" s="67"/>
      <c r="I646" s="118"/>
      <c r="J646" s="65"/>
      <c r="K646" s="74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 ht="15.75" customHeight="1">
      <c r="A647" s="32"/>
      <c r="B647" s="65"/>
      <c r="C647" s="65"/>
      <c r="D647" s="32"/>
      <c r="E647" s="32"/>
      <c r="F647" s="32"/>
      <c r="G647" s="65"/>
      <c r="H647" s="67"/>
      <c r="I647" s="118"/>
      <c r="J647" s="65"/>
      <c r="K647" s="74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 ht="15.75" customHeight="1">
      <c r="A648" s="32"/>
      <c r="B648" s="65"/>
      <c r="C648" s="65"/>
      <c r="D648" s="32"/>
      <c r="E648" s="32"/>
      <c r="F648" s="32"/>
      <c r="G648" s="65"/>
      <c r="H648" s="67"/>
      <c r="I648" s="118"/>
      <c r="J648" s="65"/>
      <c r="K648" s="74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 ht="15.75" customHeight="1">
      <c r="A649" s="32"/>
      <c r="B649" s="65"/>
      <c r="C649" s="65"/>
      <c r="D649" s="32"/>
      <c r="E649" s="32"/>
      <c r="F649" s="32"/>
      <c r="G649" s="65"/>
      <c r="H649" s="67"/>
      <c r="I649" s="118"/>
      <c r="J649" s="65"/>
      <c r="K649" s="74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 ht="15.75" customHeight="1">
      <c r="A650" s="32"/>
      <c r="B650" s="65"/>
      <c r="C650" s="65"/>
      <c r="D650" s="32"/>
      <c r="E650" s="32"/>
      <c r="F650" s="32"/>
      <c r="G650" s="65"/>
      <c r="H650" s="67"/>
      <c r="I650" s="118"/>
      <c r="J650" s="65"/>
      <c r="K650" s="74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 ht="15.75" customHeight="1">
      <c r="A651" s="32"/>
      <c r="B651" s="65"/>
      <c r="C651" s="65"/>
      <c r="D651" s="32"/>
      <c r="E651" s="32"/>
      <c r="F651" s="32"/>
      <c r="G651" s="65"/>
      <c r="H651" s="67"/>
      <c r="I651" s="118"/>
      <c r="J651" s="65"/>
      <c r="K651" s="74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 ht="15.75" customHeight="1">
      <c r="A652" s="32"/>
      <c r="B652" s="65"/>
      <c r="C652" s="65"/>
      <c r="D652" s="32"/>
      <c r="E652" s="32"/>
      <c r="F652" s="32"/>
      <c r="G652" s="65"/>
      <c r="H652" s="67"/>
      <c r="I652" s="118"/>
      <c r="J652" s="65"/>
      <c r="K652" s="74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 ht="15.75" customHeight="1">
      <c r="A653" s="32"/>
      <c r="B653" s="65"/>
      <c r="C653" s="65"/>
      <c r="D653" s="32"/>
      <c r="E653" s="32"/>
      <c r="F653" s="32"/>
      <c r="G653" s="65"/>
      <c r="H653" s="67"/>
      <c r="I653" s="118"/>
      <c r="J653" s="65"/>
      <c r="K653" s="74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 ht="15.75" customHeight="1">
      <c r="A654" s="32"/>
      <c r="B654" s="65"/>
      <c r="C654" s="65"/>
      <c r="D654" s="32"/>
      <c r="E654" s="32"/>
      <c r="F654" s="32"/>
      <c r="G654" s="65"/>
      <c r="H654" s="67"/>
      <c r="I654" s="118"/>
      <c r="J654" s="65"/>
      <c r="K654" s="74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 ht="15.75" customHeight="1">
      <c r="A655" s="32"/>
      <c r="B655" s="65"/>
      <c r="C655" s="65"/>
      <c r="D655" s="32"/>
      <c r="E655" s="32"/>
      <c r="F655" s="32"/>
      <c r="G655" s="65"/>
      <c r="H655" s="67"/>
      <c r="I655" s="118"/>
      <c r="J655" s="65"/>
      <c r="K655" s="74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 ht="15.75" customHeight="1">
      <c r="A656" s="32"/>
      <c r="B656" s="65"/>
      <c r="C656" s="65"/>
      <c r="D656" s="32"/>
      <c r="E656" s="32"/>
      <c r="F656" s="32"/>
      <c r="G656" s="65"/>
      <c r="H656" s="67"/>
      <c r="I656" s="118"/>
      <c r="J656" s="65"/>
      <c r="K656" s="74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 ht="15.75" customHeight="1">
      <c r="A657" s="32"/>
      <c r="B657" s="65"/>
      <c r="C657" s="65"/>
      <c r="D657" s="32"/>
      <c r="E657" s="32"/>
      <c r="F657" s="32"/>
      <c r="G657" s="65"/>
      <c r="H657" s="67"/>
      <c r="I657" s="118"/>
      <c r="J657" s="65"/>
      <c r="K657" s="74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 ht="15.75" customHeight="1">
      <c r="A658" s="32"/>
      <c r="B658" s="65"/>
      <c r="C658" s="65"/>
      <c r="D658" s="32"/>
      <c r="E658" s="32"/>
      <c r="F658" s="32"/>
      <c r="G658" s="65"/>
      <c r="H658" s="67"/>
      <c r="I658" s="118"/>
      <c r="J658" s="65"/>
      <c r="K658" s="74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 ht="15.75" customHeight="1">
      <c r="A659" s="32"/>
      <c r="B659" s="65"/>
      <c r="C659" s="65"/>
      <c r="D659" s="32"/>
      <c r="E659" s="32"/>
      <c r="F659" s="32"/>
      <c r="G659" s="65"/>
      <c r="H659" s="67"/>
      <c r="I659" s="118"/>
      <c r="J659" s="65"/>
      <c r="K659" s="74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 ht="15.75" customHeight="1">
      <c r="A660" s="32"/>
      <c r="B660" s="65"/>
      <c r="C660" s="65"/>
      <c r="D660" s="32"/>
      <c r="E660" s="32"/>
      <c r="F660" s="32"/>
      <c r="G660" s="65"/>
      <c r="H660" s="67"/>
      <c r="I660" s="118"/>
      <c r="J660" s="65"/>
      <c r="K660" s="74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 ht="15.75" customHeight="1">
      <c r="A661" s="32"/>
      <c r="B661" s="65"/>
      <c r="C661" s="65"/>
      <c r="D661" s="32"/>
      <c r="E661" s="32"/>
      <c r="F661" s="32"/>
      <c r="G661" s="65"/>
      <c r="H661" s="67"/>
      <c r="I661" s="118"/>
      <c r="J661" s="65"/>
      <c r="K661" s="74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 ht="15.75" customHeight="1">
      <c r="A662" s="32"/>
      <c r="B662" s="65"/>
      <c r="C662" s="65"/>
      <c r="D662" s="32"/>
      <c r="E662" s="32"/>
      <c r="F662" s="32"/>
      <c r="G662" s="65"/>
      <c r="H662" s="67"/>
      <c r="I662" s="118"/>
      <c r="J662" s="65"/>
      <c r="K662" s="74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 ht="15.75" customHeight="1">
      <c r="A663" s="32"/>
      <c r="B663" s="65"/>
      <c r="C663" s="65"/>
      <c r="D663" s="32"/>
      <c r="E663" s="32"/>
      <c r="F663" s="32"/>
      <c r="G663" s="65"/>
      <c r="H663" s="67"/>
      <c r="I663" s="118"/>
      <c r="J663" s="65"/>
      <c r="K663" s="74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 ht="15.75" customHeight="1">
      <c r="A664" s="32"/>
      <c r="B664" s="65"/>
      <c r="C664" s="65"/>
      <c r="D664" s="32"/>
      <c r="E664" s="32"/>
      <c r="F664" s="32"/>
      <c r="G664" s="65"/>
      <c r="H664" s="67"/>
      <c r="I664" s="118"/>
      <c r="J664" s="65"/>
      <c r="K664" s="74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 ht="15.75" customHeight="1">
      <c r="A665" s="32"/>
      <c r="B665" s="65"/>
      <c r="C665" s="65"/>
      <c r="D665" s="32"/>
      <c r="E665" s="32"/>
      <c r="F665" s="32"/>
      <c r="G665" s="65"/>
      <c r="H665" s="67"/>
      <c r="I665" s="118"/>
      <c r="J665" s="65"/>
      <c r="K665" s="74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ht="15.75" customHeight="1">
      <c r="A666" s="32"/>
      <c r="B666" s="65"/>
      <c r="C666" s="65"/>
      <c r="D666" s="32"/>
      <c r="E666" s="32"/>
      <c r="F666" s="32"/>
      <c r="G666" s="65"/>
      <c r="H666" s="67"/>
      <c r="I666" s="118"/>
      <c r="J666" s="65"/>
      <c r="K666" s="74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 ht="15.75" customHeight="1">
      <c r="A667" s="32"/>
      <c r="B667" s="65"/>
      <c r="C667" s="65"/>
      <c r="D667" s="32"/>
      <c r="E667" s="32"/>
      <c r="F667" s="32"/>
      <c r="G667" s="65"/>
      <c r="H667" s="67"/>
      <c r="I667" s="118"/>
      <c r="J667" s="65"/>
      <c r="K667" s="74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 ht="15.75" customHeight="1">
      <c r="A668" s="32"/>
      <c r="B668" s="65"/>
      <c r="C668" s="65"/>
      <c r="D668" s="32"/>
      <c r="E668" s="32"/>
      <c r="F668" s="32"/>
      <c r="G668" s="65"/>
      <c r="H668" s="67"/>
      <c r="I668" s="118"/>
      <c r="J668" s="65"/>
      <c r="K668" s="74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 ht="15.75" customHeight="1">
      <c r="A669" s="32"/>
      <c r="B669" s="65"/>
      <c r="C669" s="65"/>
      <c r="D669" s="32"/>
      <c r="E669" s="32"/>
      <c r="F669" s="32"/>
      <c r="G669" s="65"/>
      <c r="H669" s="67"/>
      <c r="I669" s="118"/>
      <c r="J669" s="65"/>
      <c r="K669" s="74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 ht="15.75" customHeight="1">
      <c r="A670" s="32"/>
      <c r="B670" s="65"/>
      <c r="C670" s="65"/>
      <c r="D670" s="32"/>
      <c r="E670" s="32"/>
      <c r="F670" s="32"/>
      <c r="G670" s="65"/>
      <c r="H670" s="67"/>
      <c r="I670" s="118"/>
      <c r="J670" s="65"/>
      <c r="K670" s="74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 ht="15.75" customHeight="1">
      <c r="A671" s="32"/>
      <c r="B671" s="65"/>
      <c r="C671" s="65"/>
      <c r="D671" s="32"/>
      <c r="E671" s="32"/>
      <c r="F671" s="32"/>
      <c r="G671" s="65"/>
      <c r="H671" s="67"/>
      <c r="I671" s="118"/>
      <c r="J671" s="65"/>
      <c r="K671" s="74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 ht="15.75" customHeight="1">
      <c r="A672" s="32"/>
      <c r="B672" s="65"/>
      <c r="C672" s="65"/>
      <c r="D672" s="32"/>
      <c r="E672" s="32"/>
      <c r="F672" s="32"/>
      <c r="G672" s="65"/>
      <c r="H672" s="67"/>
      <c r="I672" s="118"/>
      <c r="J672" s="65"/>
      <c r="K672" s="74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 ht="15.75" customHeight="1">
      <c r="A673" s="32"/>
      <c r="B673" s="65"/>
      <c r="C673" s="65"/>
      <c r="D673" s="32"/>
      <c r="E673" s="32"/>
      <c r="F673" s="32"/>
      <c r="G673" s="65"/>
      <c r="H673" s="67"/>
      <c r="I673" s="118"/>
      <c r="J673" s="65"/>
      <c r="K673" s="74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 ht="15.75" customHeight="1">
      <c r="A674" s="32"/>
      <c r="B674" s="65"/>
      <c r="C674" s="65"/>
      <c r="D674" s="32"/>
      <c r="E674" s="32"/>
      <c r="F674" s="32"/>
      <c r="G674" s="65"/>
      <c r="H674" s="67"/>
      <c r="I674" s="118"/>
      <c r="J674" s="65"/>
      <c r="K674" s="74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 ht="15.75" customHeight="1">
      <c r="A675" s="32"/>
      <c r="B675" s="65"/>
      <c r="C675" s="65"/>
      <c r="D675" s="32"/>
      <c r="E675" s="32"/>
      <c r="F675" s="32"/>
      <c r="G675" s="65"/>
      <c r="H675" s="67"/>
      <c r="I675" s="118"/>
      <c r="J675" s="65"/>
      <c r="K675" s="74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 ht="15.75" customHeight="1">
      <c r="A676" s="32"/>
      <c r="B676" s="65"/>
      <c r="C676" s="65"/>
      <c r="D676" s="32"/>
      <c r="E676" s="32"/>
      <c r="F676" s="32"/>
      <c r="G676" s="65"/>
      <c r="H676" s="67"/>
      <c r="I676" s="118"/>
      <c r="J676" s="65"/>
      <c r="K676" s="74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 ht="15.75" customHeight="1">
      <c r="A677" s="32"/>
      <c r="B677" s="65"/>
      <c r="C677" s="65"/>
      <c r="D677" s="32"/>
      <c r="E677" s="32"/>
      <c r="F677" s="32"/>
      <c r="G677" s="65"/>
      <c r="H677" s="67"/>
      <c r="I677" s="118"/>
      <c r="J677" s="65"/>
      <c r="K677" s="74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 ht="15.75" customHeight="1">
      <c r="A678" s="32"/>
      <c r="B678" s="65"/>
      <c r="C678" s="65"/>
      <c r="D678" s="32"/>
      <c r="E678" s="32"/>
      <c r="F678" s="32"/>
      <c r="G678" s="65"/>
      <c r="H678" s="67"/>
      <c r="I678" s="118"/>
      <c r="J678" s="65"/>
      <c r="K678" s="74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 ht="15.75" customHeight="1">
      <c r="A679" s="32"/>
      <c r="B679" s="65"/>
      <c r="C679" s="65"/>
      <c r="D679" s="32"/>
      <c r="E679" s="32"/>
      <c r="F679" s="32"/>
      <c r="G679" s="65"/>
      <c r="H679" s="67"/>
      <c r="I679" s="118"/>
      <c r="J679" s="65"/>
      <c r="K679" s="74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 ht="15.75" customHeight="1">
      <c r="A680" s="32"/>
      <c r="B680" s="65"/>
      <c r="C680" s="65"/>
      <c r="D680" s="32"/>
      <c r="E680" s="32"/>
      <c r="F680" s="32"/>
      <c r="G680" s="65"/>
      <c r="H680" s="67"/>
      <c r="I680" s="118"/>
      <c r="J680" s="65"/>
      <c r="K680" s="74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 ht="15.75" customHeight="1">
      <c r="A681" s="32"/>
      <c r="B681" s="65"/>
      <c r="C681" s="65"/>
      <c r="D681" s="32"/>
      <c r="E681" s="32"/>
      <c r="F681" s="32"/>
      <c r="G681" s="65"/>
      <c r="H681" s="67"/>
      <c r="I681" s="118"/>
      <c r="J681" s="65"/>
      <c r="K681" s="74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 ht="15.75" customHeight="1">
      <c r="A682" s="32"/>
      <c r="B682" s="65"/>
      <c r="C682" s="65"/>
      <c r="D682" s="32"/>
      <c r="E682" s="32"/>
      <c r="F682" s="32"/>
      <c r="G682" s="65"/>
      <c r="H682" s="67"/>
      <c r="I682" s="118"/>
      <c r="J682" s="65"/>
      <c r="K682" s="74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 ht="15.75" customHeight="1">
      <c r="A683" s="32"/>
      <c r="B683" s="65"/>
      <c r="C683" s="65"/>
      <c r="D683" s="32"/>
      <c r="E683" s="32"/>
      <c r="F683" s="32"/>
      <c r="G683" s="65"/>
      <c r="H683" s="67"/>
      <c r="I683" s="118"/>
      <c r="J683" s="65"/>
      <c r="K683" s="74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 ht="15.75" customHeight="1">
      <c r="A684" s="32"/>
      <c r="B684" s="65"/>
      <c r="C684" s="65"/>
      <c r="D684" s="32"/>
      <c r="E684" s="32"/>
      <c r="F684" s="32"/>
      <c r="G684" s="65"/>
      <c r="H684" s="67"/>
      <c r="I684" s="118"/>
      <c r="J684" s="65"/>
      <c r="K684" s="74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 ht="15.75" customHeight="1">
      <c r="A685" s="32"/>
      <c r="B685" s="65"/>
      <c r="C685" s="65"/>
      <c r="D685" s="32"/>
      <c r="E685" s="32"/>
      <c r="F685" s="32"/>
      <c r="G685" s="65"/>
      <c r="H685" s="67"/>
      <c r="I685" s="118"/>
      <c r="J685" s="65"/>
      <c r="K685" s="74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 ht="15.75" customHeight="1">
      <c r="A686" s="32"/>
      <c r="B686" s="65"/>
      <c r="C686" s="65"/>
      <c r="D686" s="32"/>
      <c r="E686" s="32"/>
      <c r="F686" s="32"/>
      <c r="G686" s="65"/>
      <c r="H686" s="67"/>
      <c r="I686" s="118"/>
      <c r="J686" s="65"/>
      <c r="K686" s="74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 ht="15.75" customHeight="1">
      <c r="A687" s="32"/>
      <c r="B687" s="65"/>
      <c r="C687" s="65"/>
      <c r="D687" s="32"/>
      <c r="E687" s="32"/>
      <c r="F687" s="32"/>
      <c r="G687" s="65"/>
      <c r="H687" s="67"/>
      <c r="I687" s="118"/>
      <c r="J687" s="65"/>
      <c r="K687" s="74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 ht="15.75" customHeight="1">
      <c r="A688" s="32"/>
      <c r="B688" s="65"/>
      <c r="C688" s="65"/>
      <c r="D688" s="32"/>
      <c r="E688" s="32"/>
      <c r="F688" s="32"/>
      <c r="G688" s="65"/>
      <c r="H688" s="67"/>
      <c r="I688" s="118"/>
      <c r="J688" s="65"/>
      <c r="K688" s="74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 ht="15.75" customHeight="1">
      <c r="A689" s="32"/>
      <c r="B689" s="65"/>
      <c r="C689" s="65"/>
      <c r="D689" s="32"/>
      <c r="E689" s="32"/>
      <c r="F689" s="32"/>
      <c r="G689" s="65"/>
      <c r="H689" s="67"/>
      <c r="I689" s="118"/>
      <c r="J689" s="65"/>
      <c r="K689" s="74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 ht="15.75" customHeight="1">
      <c r="A690" s="32"/>
      <c r="B690" s="65"/>
      <c r="C690" s="65"/>
      <c r="D690" s="32"/>
      <c r="E690" s="32"/>
      <c r="F690" s="32"/>
      <c r="G690" s="65"/>
      <c r="H690" s="67"/>
      <c r="I690" s="118"/>
      <c r="J690" s="65"/>
      <c r="K690" s="74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 ht="15.75" customHeight="1">
      <c r="A691" s="32"/>
      <c r="B691" s="65"/>
      <c r="C691" s="65"/>
      <c r="D691" s="32"/>
      <c r="E691" s="32"/>
      <c r="F691" s="32"/>
      <c r="G691" s="65"/>
      <c r="H691" s="67"/>
      <c r="I691" s="118"/>
      <c r="J691" s="65"/>
      <c r="K691" s="74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 ht="15.75" customHeight="1">
      <c r="A692" s="32"/>
      <c r="B692" s="65"/>
      <c r="C692" s="65"/>
      <c r="D692" s="32"/>
      <c r="E692" s="32"/>
      <c r="F692" s="32"/>
      <c r="G692" s="65"/>
      <c r="H692" s="67"/>
      <c r="I692" s="118"/>
      <c r="J692" s="65"/>
      <c r="K692" s="74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 ht="15.75" customHeight="1">
      <c r="A693" s="32"/>
      <c r="B693" s="65"/>
      <c r="C693" s="65"/>
      <c r="D693" s="32"/>
      <c r="E693" s="32"/>
      <c r="F693" s="32"/>
      <c r="G693" s="65"/>
      <c r="H693" s="67"/>
      <c r="I693" s="118"/>
      <c r="J693" s="65"/>
      <c r="K693" s="74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 ht="15.75" customHeight="1">
      <c r="A694" s="32"/>
      <c r="B694" s="65"/>
      <c r="C694" s="65"/>
      <c r="D694" s="32"/>
      <c r="E694" s="32"/>
      <c r="F694" s="32"/>
      <c r="G694" s="65"/>
      <c r="H694" s="67"/>
      <c r="I694" s="118"/>
      <c r="J694" s="65"/>
      <c r="K694" s="74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 ht="15.75" customHeight="1">
      <c r="A695" s="32"/>
      <c r="B695" s="65"/>
      <c r="C695" s="65"/>
      <c r="D695" s="32"/>
      <c r="E695" s="32"/>
      <c r="F695" s="32"/>
      <c r="G695" s="65"/>
      <c r="H695" s="67"/>
      <c r="I695" s="118"/>
      <c r="J695" s="65"/>
      <c r="K695" s="74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 ht="15.75" customHeight="1">
      <c r="A696" s="32"/>
      <c r="B696" s="65"/>
      <c r="C696" s="65"/>
      <c r="D696" s="32"/>
      <c r="E696" s="32"/>
      <c r="F696" s="32"/>
      <c r="G696" s="65"/>
      <c r="H696" s="67"/>
      <c r="I696" s="118"/>
      <c r="J696" s="65"/>
      <c r="K696" s="74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 ht="15.75" customHeight="1">
      <c r="A697" s="32"/>
      <c r="B697" s="65"/>
      <c r="C697" s="65"/>
      <c r="D697" s="32"/>
      <c r="E697" s="32"/>
      <c r="F697" s="32"/>
      <c r="G697" s="65"/>
      <c r="H697" s="67"/>
      <c r="I697" s="118"/>
      <c r="J697" s="65"/>
      <c r="K697" s="74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 ht="15.75" customHeight="1">
      <c r="A698" s="32"/>
      <c r="B698" s="65"/>
      <c r="C698" s="65"/>
      <c r="D698" s="32"/>
      <c r="E698" s="32"/>
      <c r="F698" s="32"/>
      <c r="G698" s="65"/>
      <c r="H698" s="67"/>
      <c r="I698" s="118"/>
      <c r="J698" s="65"/>
      <c r="K698" s="74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 ht="15.75" customHeight="1">
      <c r="A699" s="32"/>
      <c r="B699" s="65"/>
      <c r="C699" s="65"/>
      <c r="D699" s="32"/>
      <c r="E699" s="32"/>
      <c r="F699" s="32"/>
      <c r="G699" s="65"/>
      <c r="H699" s="67"/>
      <c r="I699" s="118"/>
      <c r="J699" s="65"/>
      <c r="K699" s="74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 ht="15.75" customHeight="1">
      <c r="A700" s="32"/>
      <c r="B700" s="65"/>
      <c r="C700" s="65"/>
      <c r="D700" s="32"/>
      <c r="E700" s="32"/>
      <c r="F700" s="32"/>
      <c r="G700" s="65"/>
      <c r="H700" s="67"/>
      <c r="I700" s="118"/>
      <c r="J700" s="65"/>
      <c r="K700" s="74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 ht="15.75" customHeight="1">
      <c r="A701" s="32"/>
      <c r="B701" s="65"/>
      <c r="C701" s="65"/>
      <c r="D701" s="32"/>
      <c r="E701" s="32"/>
      <c r="F701" s="32"/>
      <c r="G701" s="65"/>
      <c r="H701" s="67"/>
      <c r="I701" s="118"/>
      <c r="J701" s="65"/>
      <c r="K701" s="74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 ht="15.75" customHeight="1">
      <c r="A702" s="32"/>
      <c r="B702" s="65"/>
      <c r="C702" s="65"/>
      <c r="D702" s="32"/>
      <c r="E702" s="32"/>
      <c r="F702" s="32"/>
      <c r="G702" s="65"/>
      <c r="H702" s="67"/>
      <c r="I702" s="118"/>
      <c r="J702" s="65"/>
      <c r="K702" s="74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 ht="15.75" customHeight="1">
      <c r="A703" s="32"/>
      <c r="B703" s="65"/>
      <c r="C703" s="65"/>
      <c r="D703" s="32"/>
      <c r="E703" s="32"/>
      <c r="F703" s="32"/>
      <c r="G703" s="65"/>
      <c r="H703" s="67"/>
      <c r="I703" s="118"/>
      <c r="J703" s="65"/>
      <c r="K703" s="74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 ht="15.75" customHeight="1">
      <c r="A704" s="32"/>
      <c r="B704" s="65"/>
      <c r="C704" s="65"/>
      <c r="D704" s="32"/>
      <c r="E704" s="32"/>
      <c r="F704" s="32"/>
      <c r="G704" s="65"/>
      <c r="H704" s="67"/>
      <c r="I704" s="118"/>
      <c r="J704" s="65"/>
      <c r="K704" s="74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 ht="15.75" customHeight="1">
      <c r="A705" s="32"/>
      <c r="B705" s="65"/>
      <c r="C705" s="65"/>
      <c r="D705" s="32"/>
      <c r="E705" s="32"/>
      <c r="F705" s="32"/>
      <c r="G705" s="65"/>
      <c r="H705" s="67"/>
      <c r="I705" s="118"/>
      <c r="J705" s="65"/>
      <c r="K705" s="74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 ht="15.75" customHeight="1">
      <c r="A706" s="32"/>
      <c r="B706" s="65"/>
      <c r="C706" s="65"/>
      <c r="D706" s="32"/>
      <c r="E706" s="32"/>
      <c r="F706" s="32"/>
      <c r="G706" s="65"/>
      <c r="H706" s="67"/>
      <c r="I706" s="118"/>
      <c r="J706" s="65"/>
      <c r="K706" s="74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 ht="15.75" customHeight="1">
      <c r="A707" s="32"/>
      <c r="B707" s="65"/>
      <c r="C707" s="65"/>
      <c r="D707" s="32"/>
      <c r="E707" s="32"/>
      <c r="F707" s="32"/>
      <c r="G707" s="65"/>
      <c r="H707" s="67"/>
      <c r="I707" s="118"/>
      <c r="J707" s="65"/>
      <c r="K707" s="74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 ht="15.75" customHeight="1">
      <c r="A708" s="32"/>
      <c r="B708" s="65"/>
      <c r="C708" s="65"/>
      <c r="D708" s="32"/>
      <c r="E708" s="32"/>
      <c r="F708" s="32"/>
      <c r="G708" s="65"/>
      <c r="H708" s="67"/>
      <c r="I708" s="118"/>
      <c r="J708" s="65"/>
      <c r="K708" s="74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 ht="15.75" customHeight="1">
      <c r="A709" s="32"/>
      <c r="B709" s="65"/>
      <c r="C709" s="65"/>
      <c r="D709" s="32"/>
      <c r="E709" s="32"/>
      <c r="F709" s="32"/>
      <c r="G709" s="65"/>
      <c r="H709" s="67"/>
      <c r="I709" s="118"/>
      <c r="J709" s="65"/>
      <c r="K709" s="74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 ht="15.75" customHeight="1">
      <c r="A710" s="32"/>
      <c r="B710" s="65"/>
      <c r="C710" s="65"/>
      <c r="D710" s="32"/>
      <c r="E710" s="32"/>
      <c r="F710" s="32"/>
      <c r="G710" s="65"/>
      <c r="H710" s="67"/>
      <c r="I710" s="118"/>
      <c r="J710" s="65"/>
      <c r="K710" s="74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 ht="15.75" customHeight="1">
      <c r="A711" s="32"/>
      <c r="B711" s="65"/>
      <c r="C711" s="65"/>
      <c r="D711" s="32"/>
      <c r="E711" s="32"/>
      <c r="F711" s="32"/>
      <c r="G711" s="65"/>
      <c r="H711" s="67"/>
      <c r="I711" s="118"/>
      <c r="J711" s="65"/>
      <c r="K711" s="74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 ht="15.75" customHeight="1">
      <c r="A712" s="32"/>
      <c r="B712" s="65"/>
      <c r="C712" s="65"/>
      <c r="D712" s="32"/>
      <c r="E712" s="32"/>
      <c r="F712" s="32"/>
      <c r="G712" s="65"/>
      <c r="H712" s="67"/>
      <c r="I712" s="118"/>
      <c r="J712" s="65"/>
      <c r="K712" s="74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 ht="15.75" customHeight="1">
      <c r="A713" s="32"/>
      <c r="B713" s="65"/>
      <c r="C713" s="65"/>
      <c r="D713" s="32"/>
      <c r="E713" s="32"/>
      <c r="F713" s="32"/>
      <c r="G713" s="65"/>
      <c r="H713" s="67"/>
      <c r="I713" s="118"/>
      <c r="J713" s="65"/>
      <c r="K713" s="74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 ht="15.75" customHeight="1">
      <c r="A714" s="32"/>
      <c r="B714" s="65"/>
      <c r="C714" s="65"/>
      <c r="D714" s="32"/>
      <c r="E714" s="32"/>
      <c r="F714" s="32"/>
      <c r="G714" s="65"/>
      <c r="H714" s="67"/>
      <c r="I714" s="118"/>
      <c r="J714" s="65"/>
      <c r="K714" s="74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 ht="15.75" customHeight="1">
      <c r="A715" s="32"/>
      <c r="B715" s="65"/>
      <c r="C715" s="65"/>
      <c r="D715" s="32"/>
      <c r="E715" s="32"/>
      <c r="F715" s="32"/>
      <c r="G715" s="65"/>
      <c r="H715" s="67"/>
      <c r="I715" s="118"/>
      <c r="J715" s="65"/>
      <c r="K715" s="74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 ht="15.75" customHeight="1">
      <c r="A716" s="32"/>
      <c r="B716" s="65"/>
      <c r="C716" s="65"/>
      <c r="D716" s="32"/>
      <c r="E716" s="32"/>
      <c r="F716" s="32"/>
      <c r="G716" s="65"/>
      <c r="H716" s="67"/>
      <c r="I716" s="118"/>
      <c r="J716" s="65"/>
      <c r="K716" s="74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 ht="15.75" customHeight="1">
      <c r="A717" s="32"/>
      <c r="B717" s="65"/>
      <c r="C717" s="65"/>
      <c r="D717" s="32"/>
      <c r="E717" s="32"/>
      <c r="F717" s="32"/>
      <c r="G717" s="65"/>
      <c r="H717" s="67"/>
      <c r="I717" s="118"/>
      <c r="J717" s="65"/>
      <c r="K717" s="74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 ht="15.75" customHeight="1">
      <c r="A718" s="32"/>
      <c r="B718" s="65"/>
      <c r="C718" s="65"/>
      <c r="D718" s="32"/>
      <c r="E718" s="32"/>
      <c r="F718" s="32"/>
      <c r="G718" s="65"/>
      <c r="H718" s="67"/>
      <c r="I718" s="118"/>
      <c r="J718" s="65"/>
      <c r="K718" s="74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 ht="15.75" customHeight="1">
      <c r="A719" s="32"/>
      <c r="B719" s="65"/>
      <c r="C719" s="65"/>
      <c r="D719" s="32"/>
      <c r="E719" s="32"/>
      <c r="F719" s="32"/>
      <c r="G719" s="65"/>
      <c r="H719" s="67"/>
      <c r="I719" s="118"/>
      <c r="J719" s="65"/>
      <c r="K719" s="74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 ht="15.75" customHeight="1">
      <c r="A720" s="32"/>
      <c r="B720" s="65"/>
      <c r="C720" s="65"/>
      <c r="D720" s="32"/>
      <c r="E720" s="32"/>
      <c r="F720" s="32"/>
      <c r="G720" s="65"/>
      <c r="H720" s="67"/>
      <c r="I720" s="118"/>
      <c r="J720" s="65"/>
      <c r="K720" s="74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 ht="15.75" customHeight="1">
      <c r="A721" s="32"/>
      <c r="B721" s="65"/>
      <c r="C721" s="65"/>
      <c r="D721" s="32"/>
      <c r="E721" s="32"/>
      <c r="F721" s="32"/>
      <c r="G721" s="65"/>
      <c r="H721" s="67"/>
      <c r="I721" s="118"/>
      <c r="J721" s="65"/>
      <c r="K721" s="74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 ht="15.75" customHeight="1">
      <c r="A722" s="32"/>
      <c r="B722" s="65"/>
      <c r="C722" s="65"/>
      <c r="D722" s="32"/>
      <c r="E722" s="32"/>
      <c r="F722" s="32"/>
      <c r="G722" s="65"/>
      <c r="H722" s="67"/>
      <c r="I722" s="118"/>
      <c r="J722" s="65"/>
      <c r="K722" s="74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 ht="15.75" customHeight="1">
      <c r="A723" s="32"/>
      <c r="B723" s="65"/>
      <c r="C723" s="65"/>
      <c r="D723" s="32"/>
      <c r="E723" s="32"/>
      <c r="F723" s="32"/>
      <c r="G723" s="65"/>
      <c r="H723" s="67"/>
      <c r="I723" s="118"/>
      <c r="J723" s="65"/>
      <c r="K723" s="74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 ht="15.75" customHeight="1">
      <c r="A724" s="32"/>
      <c r="B724" s="65"/>
      <c r="C724" s="65"/>
      <c r="D724" s="32"/>
      <c r="E724" s="32"/>
      <c r="F724" s="32"/>
      <c r="G724" s="65"/>
      <c r="H724" s="67"/>
      <c r="I724" s="118"/>
      <c r="J724" s="65"/>
      <c r="K724" s="74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 ht="15.75" customHeight="1">
      <c r="A725" s="32"/>
      <c r="B725" s="65"/>
      <c r="C725" s="65"/>
      <c r="D725" s="32"/>
      <c r="E725" s="32"/>
      <c r="F725" s="32"/>
      <c r="G725" s="65"/>
      <c r="H725" s="67"/>
      <c r="I725" s="118"/>
      <c r="J725" s="65"/>
      <c r="K725" s="74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 ht="15.75" customHeight="1">
      <c r="A726" s="32"/>
      <c r="B726" s="65"/>
      <c r="C726" s="65"/>
      <c r="D726" s="32"/>
      <c r="E726" s="32"/>
      <c r="F726" s="32"/>
      <c r="G726" s="65"/>
      <c r="H726" s="67"/>
      <c r="I726" s="118"/>
      <c r="J726" s="65"/>
      <c r="K726" s="74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 ht="15.75" customHeight="1">
      <c r="A727" s="32"/>
      <c r="B727" s="65"/>
      <c r="C727" s="65"/>
      <c r="D727" s="32"/>
      <c r="E727" s="32"/>
      <c r="F727" s="32"/>
      <c r="G727" s="65"/>
      <c r="H727" s="67"/>
      <c r="I727" s="118"/>
      <c r="J727" s="65"/>
      <c r="K727" s="74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 ht="15.75" customHeight="1">
      <c r="A728" s="32"/>
      <c r="B728" s="65"/>
      <c r="C728" s="65"/>
      <c r="D728" s="32"/>
      <c r="E728" s="32"/>
      <c r="F728" s="32"/>
      <c r="G728" s="65"/>
      <c r="H728" s="67"/>
      <c r="I728" s="118"/>
      <c r="J728" s="65"/>
      <c r="K728" s="74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 ht="15.75" customHeight="1">
      <c r="A729" s="32"/>
      <c r="B729" s="65"/>
      <c r="C729" s="65"/>
      <c r="D729" s="32"/>
      <c r="E729" s="32"/>
      <c r="F729" s="32"/>
      <c r="G729" s="65"/>
      <c r="H729" s="67"/>
      <c r="I729" s="118"/>
      <c r="J729" s="65"/>
      <c r="K729" s="74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 ht="15.75" customHeight="1">
      <c r="A730" s="32"/>
      <c r="B730" s="65"/>
      <c r="C730" s="65"/>
      <c r="D730" s="32"/>
      <c r="E730" s="32"/>
      <c r="F730" s="32"/>
      <c r="G730" s="65"/>
      <c r="H730" s="67"/>
      <c r="I730" s="118"/>
      <c r="J730" s="65"/>
      <c r="K730" s="74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 ht="15.75" customHeight="1">
      <c r="A731" s="32"/>
      <c r="B731" s="65"/>
      <c r="C731" s="65"/>
      <c r="D731" s="32"/>
      <c r="E731" s="32"/>
      <c r="F731" s="32"/>
      <c r="G731" s="65"/>
      <c r="H731" s="67"/>
      <c r="I731" s="118"/>
      <c r="J731" s="65"/>
      <c r="K731" s="74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 ht="15.75" customHeight="1">
      <c r="A732" s="32"/>
      <c r="B732" s="65"/>
      <c r="C732" s="65"/>
      <c r="D732" s="32"/>
      <c r="E732" s="32"/>
      <c r="F732" s="32"/>
      <c r="G732" s="65"/>
      <c r="H732" s="67"/>
      <c r="I732" s="118"/>
      <c r="J732" s="65"/>
      <c r="K732" s="74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ht="15.75" customHeight="1">
      <c r="A733" s="32"/>
      <c r="B733" s="65"/>
      <c r="C733" s="65"/>
      <c r="D733" s="32"/>
      <c r="E733" s="32"/>
      <c r="F733" s="32"/>
      <c r="G733" s="65"/>
      <c r="H733" s="67"/>
      <c r="I733" s="118"/>
      <c r="J733" s="65"/>
      <c r="K733" s="74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 ht="15.75" customHeight="1">
      <c r="A734" s="32"/>
      <c r="B734" s="65"/>
      <c r="C734" s="65"/>
      <c r="D734" s="32"/>
      <c r="E734" s="32"/>
      <c r="F734" s="32"/>
      <c r="G734" s="65"/>
      <c r="H734" s="67"/>
      <c r="I734" s="118"/>
      <c r="J734" s="65"/>
      <c r="K734" s="74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 ht="15.75" customHeight="1">
      <c r="A735" s="32"/>
      <c r="B735" s="65"/>
      <c r="C735" s="65"/>
      <c r="D735" s="32"/>
      <c r="E735" s="32"/>
      <c r="F735" s="32"/>
      <c r="G735" s="65"/>
      <c r="H735" s="67"/>
      <c r="I735" s="118"/>
      <c r="J735" s="65"/>
      <c r="K735" s="74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 ht="15.75" customHeight="1">
      <c r="A736" s="32"/>
      <c r="B736" s="65"/>
      <c r="C736" s="65"/>
      <c r="D736" s="32"/>
      <c r="E736" s="32"/>
      <c r="F736" s="32"/>
      <c r="G736" s="65"/>
      <c r="H736" s="67"/>
      <c r="I736" s="118"/>
      <c r="J736" s="65"/>
      <c r="K736" s="74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 ht="15.75" customHeight="1">
      <c r="A737" s="32"/>
      <c r="B737" s="65"/>
      <c r="C737" s="65"/>
      <c r="D737" s="32"/>
      <c r="E737" s="32"/>
      <c r="F737" s="32"/>
      <c r="G737" s="65"/>
      <c r="H737" s="67"/>
      <c r="I737" s="118"/>
      <c r="J737" s="65"/>
      <c r="K737" s="74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 ht="15.75" customHeight="1">
      <c r="A738" s="32"/>
      <c r="B738" s="65"/>
      <c r="C738" s="65"/>
      <c r="D738" s="32"/>
      <c r="E738" s="32"/>
      <c r="F738" s="32"/>
      <c r="G738" s="65"/>
      <c r="H738" s="67"/>
      <c r="I738" s="118"/>
      <c r="J738" s="65"/>
      <c r="K738" s="74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 ht="15.75" customHeight="1">
      <c r="A739" s="32"/>
      <c r="B739" s="65"/>
      <c r="C739" s="65"/>
      <c r="D739" s="32"/>
      <c r="E739" s="32"/>
      <c r="F739" s="32"/>
      <c r="G739" s="65"/>
      <c r="H739" s="67"/>
      <c r="I739" s="118"/>
      <c r="J739" s="65"/>
      <c r="K739" s="74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 ht="15.75" customHeight="1">
      <c r="A740" s="32"/>
      <c r="B740" s="65"/>
      <c r="C740" s="65"/>
      <c r="D740" s="32"/>
      <c r="E740" s="32"/>
      <c r="F740" s="32"/>
      <c r="G740" s="65"/>
      <c r="H740" s="67"/>
      <c r="I740" s="118"/>
      <c r="J740" s="65"/>
      <c r="K740" s="74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 ht="15.75" customHeight="1">
      <c r="A741" s="32"/>
      <c r="B741" s="65"/>
      <c r="C741" s="65"/>
      <c r="D741" s="32"/>
      <c r="E741" s="32"/>
      <c r="F741" s="32"/>
      <c r="G741" s="65"/>
      <c r="H741" s="67"/>
      <c r="I741" s="118"/>
      <c r="J741" s="65"/>
      <c r="K741" s="74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 ht="15.75" customHeight="1">
      <c r="A742" s="32"/>
      <c r="B742" s="65"/>
      <c r="C742" s="65"/>
      <c r="D742" s="32"/>
      <c r="E742" s="32"/>
      <c r="F742" s="32"/>
      <c r="G742" s="65"/>
      <c r="H742" s="67"/>
      <c r="I742" s="118"/>
      <c r="J742" s="65"/>
      <c r="K742" s="74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 ht="15.75" customHeight="1">
      <c r="A743" s="32"/>
      <c r="B743" s="65"/>
      <c r="C743" s="65"/>
      <c r="D743" s="32"/>
      <c r="E743" s="32"/>
      <c r="F743" s="32"/>
      <c r="G743" s="65"/>
      <c r="H743" s="67"/>
      <c r="I743" s="118"/>
      <c r="J743" s="65"/>
      <c r="K743" s="74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 ht="15.75" customHeight="1">
      <c r="A744" s="32"/>
      <c r="B744" s="65"/>
      <c r="C744" s="65"/>
      <c r="D744" s="32"/>
      <c r="E744" s="32"/>
      <c r="F744" s="32"/>
      <c r="G744" s="65"/>
      <c r="H744" s="67"/>
      <c r="I744" s="118"/>
      <c r="J744" s="65"/>
      <c r="K744" s="74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 ht="15.75" customHeight="1">
      <c r="A745" s="32"/>
      <c r="B745" s="65"/>
      <c r="C745" s="65"/>
      <c r="D745" s="32"/>
      <c r="E745" s="32"/>
      <c r="F745" s="32"/>
      <c r="G745" s="65"/>
      <c r="H745" s="67"/>
      <c r="I745" s="118"/>
      <c r="J745" s="65"/>
      <c r="K745" s="74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 ht="15.75" customHeight="1">
      <c r="A746" s="32"/>
      <c r="B746" s="65"/>
      <c r="C746" s="65"/>
      <c r="D746" s="32"/>
      <c r="E746" s="32"/>
      <c r="F746" s="32"/>
      <c r="G746" s="65"/>
      <c r="H746" s="67"/>
      <c r="I746" s="118"/>
      <c r="J746" s="65"/>
      <c r="K746" s="74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 ht="15.75" customHeight="1">
      <c r="A747" s="32"/>
      <c r="B747" s="65"/>
      <c r="C747" s="65"/>
      <c r="D747" s="32"/>
      <c r="E747" s="32"/>
      <c r="F747" s="32"/>
      <c r="G747" s="65"/>
      <c r="H747" s="67"/>
      <c r="I747" s="118"/>
      <c r="J747" s="65"/>
      <c r="K747" s="74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 ht="15.75" customHeight="1">
      <c r="A748" s="32"/>
      <c r="B748" s="65"/>
      <c r="C748" s="65"/>
      <c r="D748" s="32"/>
      <c r="E748" s="32"/>
      <c r="F748" s="32"/>
      <c r="G748" s="65"/>
      <c r="H748" s="67"/>
      <c r="I748" s="118"/>
      <c r="J748" s="65"/>
      <c r="K748" s="74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 ht="15.75" customHeight="1">
      <c r="A749" s="32"/>
      <c r="B749" s="65"/>
      <c r="C749" s="65"/>
      <c r="D749" s="32"/>
      <c r="E749" s="32"/>
      <c r="F749" s="32"/>
      <c r="G749" s="65"/>
      <c r="H749" s="67"/>
      <c r="I749" s="118"/>
      <c r="J749" s="65"/>
      <c r="K749" s="74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 ht="15.75" customHeight="1">
      <c r="A750" s="32"/>
      <c r="B750" s="65"/>
      <c r="C750" s="65"/>
      <c r="D750" s="32"/>
      <c r="E750" s="32"/>
      <c r="F750" s="32"/>
      <c r="G750" s="65"/>
      <c r="H750" s="67"/>
      <c r="I750" s="118"/>
      <c r="J750" s="65"/>
      <c r="K750" s="74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 ht="15.75" customHeight="1">
      <c r="A751" s="32"/>
      <c r="B751" s="65"/>
      <c r="C751" s="65"/>
      <c r="D751" s="32"/>
      <c r="E751" s="32"/>
      <c r="F751" s="32"/>
      <c r="G751" s="65"/>
      <c r="H751" s="67"/>
      <c r="I751" s="118"/>
      <c r="J751" s="65"/>
      <c r="K751" s="74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 ht="15.75" customHeight="1">
      <c r="A752" s="32"/>
      <c r="B752" s="65"/>
      <c r="C752" s="65"/>
      <c r="D752" s="32"/>
      <c r="E752" s="32"/>
      <c r="F752" s="32"/>
      <c r="G752" s="65"/>
      <c r="H752" s="67"/>
      <c r="I752" s="118"/>
      <c r="J752" s="65"/>
      <c r="K752" s="74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 ht="15.75" customHeight="1">
      <c r="A753" s="32"/>
      <c r="B753" s="65"/>
      <c r="C753" s="65"/>
      <c r="D753" s="32"/>
      <c r="E753" s="32"/>
      <c r="F753" s="32"/>
      <c r="G753" s="65"/>
      <c r="H753" s="67"/>
      <c r="I753" s="118"/>
      <c r="J753" s="65"/>
      <c r="K753" s="74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 ht="15.75" customHeight="1">
      <c r="A754" s="32"/>
      <c r="B754" s="65"/>
      <c r="C754" s="65"/>
      <c r="D754" s="32"/>
      <c r="E754" s="32"/>
      <c r="F754" s="32"/>
      <c r="G754" s="65"/>
      <c r="H754" s="67"/>
      <c r="I754" s="118"/>
      <c r="J754" s="65"/>
      <c r="K754" s="74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 ht="15.75" customHeight="1">
      <c r="A755" s="32"/>
      <c r="B755" s="65"/>
      <c r="C755" s="65"/>
      <c r="D755" s="32"/>
      <c r="E755" s="32"/>
      <c r="F755" s="32"/>
      <c r="G755" s="65"/>
      <c r="H755" s="67"/>
      <c r="I755" s="118"/>
      <c r="J755" s="65"/>
      <c r="K755" s="74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 ht="15.75" customHeight="1">
      <c r="A756" s="32"/>
      <c r="B756" s="65"/>
      <c r="C756" s="65"/>
      <c r="D756" s="32"/>
      <c r="E756" s="32"/>
      <c r="F756" s="32"/>
      <c r="G756" s="65"/>
      <c r="H756" s="67"/>
      <c r="I756" s="118"/>
      <c r="J756" s="65"/>
      <c r="K756" s="74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 ht="15.75" customHeight="1">
      <c r="A757" s="32"/>
      <c r="B757" s="65"/>
      <c r="C757" s="65"/>
      <c r="D757" s="32"/>
      <c r="E757" s="32"/>
      <c r="F757" s="32"/>
      <c r="G757" s="65"/>
      <c r="H757" s="67"/>
      <c r="I757" s="118"/>
      <c r="J757" s="65"/>
      <c r="K757" s="74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 ht="15.75" customHeight="1">
      <c r="A758" s="32"/>
      <c r="B758" s="65"/>
      <c r="C758" s="65"/>
      <c r="D758" s="32"/>
      <c r="E758" s="32"/>
      <c r="F758" s="32"/>
      <c r="G758" s="65"/>
      <c r="H758" s="67"/>
      <c r="I758" s="118"/>
      <c r="J758" s="65"/>
      <c r="K758" s="74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 ht="15.75" customHeight="1">
      <c r="A759" s="32"/>
      <c r="B759" s="65"/>
      <c r="C759" s="65"/>
      <c r="D759" s="32"/>
      <c r="E759" s="32"/>
      <c r="F759" s="32"/>
      <c r="G759" s="65"/>
      <c r="H759" s="67"/>
      <c r="I759" s="118"/>
      <c r="J759" s="65"/>
      <c r="K759" s="74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 ht="15.75" customHeight="1">
      <c r="A760" s="32"/>
      <c r="B760" s="65"/>
      <c r="C760" s="65"/>
      <c r="D760" s="32"/>
      <c r="E760" s="32"/>
      <c r="F760" s="32"/>
      <c r="G760" s="65"/>
      <c r="H760" s="67"/>
      <c r="I760" s="118"/>
      <c r="J760" s="65"/>
      <c r="K760" s="74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 ht="15.75" customHeight="1">
      <c r="A761" s="32"/>
      <c r="B761" s="65"/>
      <c r="C761" s="65"/>
      <c r="D761" s="32"/>
      <c r="E761" s="32"/>
      <c r="F761" s="32"/>
      <c r="G761" s="65"/>
      <c r="H761" s="67"/>
      <c r="I761" s="118"/>
      <c r="J761" s="65"/>
      <c r="K761" s="74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 ht="15.75" customHeight="1">
      <c r="A762" s="32"/>
      <c r="B762" s="65"/>
      <c r="C762" s="65"/>
      <c r="D762" s="32"/>
      <c r="E762" s="32"/>
      <c r="F762" s="32"/>
      <c r="G762" s="65"/>
      <c r="H762" s="67"/>
      <c r="I762" s="118"/>
      <c r="J762" s="65"/>
      <c r="K762" s="74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 ht="15.75" customHeight="1">
      <c r="A763" s="32"/>
      <c r="B763" s="65"/>
      <c r="C763" s="65"/>
      <c r="D763" s="32"/>
      <c r="E763" s="32"/>
      <c r="F763" s="32"/>
      <c r="G763" s="65"/>
      <c r="H763" s="67"/>
      <c r="I763" s="118"/>
      <c r="J763" s="65"/>
      <c r="K763" s="74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 ht="15.75" customHeight="1">
      <c r="A764" s="32"/>
      <c r="B764" s="65"/>
      <c r="C764" s="65"/>
      <c r="D764" s="32"/>
      <c r="E764" s="32"/>
      <c r="F764" s="32"/>
      <c r="G764" s="65"/>
      <c r="H764" s="67"/>
      <c r="I764" s="118"/>
      <c r="J764" s="65"/>
      <c r="K764" s="74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 ht="15.75" customHeight="1">
      <c r="A765" s="32"/>
      <c r="B765" s="65"/>
      <c r="C765" s="65"/>
      <c r="D765" s="32"/>
      <c r="E765" s="32"/>
      <c r="F765" s="32"/>
      <c r="G765" s="65"/>
      <c r="H765" s="67"/>
      <c r="I765" s="118"/>
      <c r="J765" s="65"/>
      <c r="K765" s="74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 ht="15.75" customHeight="1">
      <c r="A766" s="32"/>
      <c r="B766" s="65"/>
      <c r="C766" s="65"/>
      <c r="D766" s="32"/>
      <c r="E766" s="32"/>
      <c r="F766" s="32"/>
      <c r="G766" s="65"/>
      <c r="H766" s="67"/>
      <c r="I766" s="118"/>
      <c r="J766" s="65"/>
      <c r="K766" s="74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 ht="15.75" customHeight="1">
      <c r="A767" s="32"/>
      <c r="B767" s="65"/>
      <c r="C767" s="65"/>
      <c r="D767" s="32"/>
      <c r="E767" s="32"/>
      <c r="F767" s="32"/>
      <c r="G767" s="65"/>
      <c r="H767" s="67"/>
      <c r="I767" s="118"/>
      <c r="J767" s="65"/>
      <c r="K767" s="74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 ht="15.75" customHeight="1">
      <c r="A768" s="32"/>
      <c r="B768" s="65"/>
      <c r="C768" s="65"/>
      <c r="D768" s="32"/>
      <c r="E768" s="32"/>
      <c r="F768" s="32"/>
      <c r="G768" s="65"/>
      <c r="H768" s="67"/>
      <c r="I768" s="118"/>
      <c r="J768" s="65"/>
      <c r="K768" s="74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 ht="15.75" customHeight="1">
      <c r="A769" s="32"/>
      <c r="B769" s="65"/>
      <c r="C769" s="65"/>
      <c r="D769" s="32"/>
      <c r="E769" s="32"/>
      <c r="F769" s="32"/>
      <c r="G769" s="65"/>
      <c r="H769" s="67"/>
      <c r="I769" s="118"/>
      <c r="J769" s="65"/>
      <c r="K769" s="74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 ht="15.75" customHeight="1">
      <c r="A770" s="32"/>
      <c r="B770" s="65"/>
      <c r="C770" s="65"/>
      <c r="D770" s="32"/>
      <c r="E770" s="32"/>
      <c r="F770" s="32"/>
      <c r="G770" s="65"/>
      <c r="H770" s="67"/>
      <c r="I770" s="118"/>
      <c r="J770" s="65"/>
      <c r="K770" s="74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 ht="15.75" customHeight="1">
      <c r="A771" s="32"/>
      <c r="B771" s="65"/>
      <c r="C771" s="65"/>
      <c r="D771" s="32"/>
      <c r="E771" s="32"/>
      <c r="F771" s="32"/>
      <c r="G771" s="65"/>
      <c r="H771" s="67"/>
      <c r="I771" s="118"/>
      <c r="J771" s="65"/>
      <c r="K771" s="74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 ht="15.75" customHeight="1">
      <c r="A772" s="32"/>
      <c r="B772" s="65"/>
      <c r="C772" s="65"/>
      <c r="D772" s="32"/>
      <c r="E772" s="32"/>
      <c r="F772" s="32"/>
      <c r="G772" s="65"/>
      <c r="H772" s="67"/>
      <c r="I772" s="118"/>
      <c r="J772" s="65"/>
      <c r="K772" s="74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 ht="15.75" customHeight="1">
      <c r="A773" s="32"/>
      <c r="B773" s="65"/>
      <c r="C773" s="65"/>
      <c r="D773" s="32"/>
      <c r="E773" s="32"/>
      <c r="F773" s="32"/>
      <c r="G773" s="65"/>
      <c r="H773" s="67"/>
      <c r="I773" s="118"/>
      <c r="J773" s="65"/>
      <c r="K773" s="74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 ht="15.75" customHeight="1">
      <c r="A774" s="32"/>
      <c r="B774" s="65"/>
      <c r="C774" s="65"/>
      <c r="D774" s="32"/>
      <c r="E774" s="32"/>
      <c r="F774" s="32"/>
      <c r="G774" s="65"/>
      <c r="H774" s="67"/>
      <c r="I774" s="118"/>
      <c r="J774" s="65"/>
      <c r="K774" s="74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 ht="15.75" customHeight="1">
      <c r="A775" s="32"/>
      <c r="B775" s="65"/>
      <c r="C775" s="65"/>
      <c r="D775" s="32"/>
      <c r="E775" s="32"/>
      <c r="F775" s="32"/>
      <c r="G775" s="65"/>
      <c r="H775" s="67"/>
      <c r="I775" s="118"/>
      <c r="J775" s="65"/>
      <c r="K775" s="74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 ht="15.75" customHeight="1">
      <c r="A776" s="32"/>
      <c r="B776" s="65"/>
      <c r="C776" s="65"/>
      <c r="D776" s="32"/>
      <c r="E776" s="32"/>
      <c r="F776" s="32"/>
      <c r="G776" s="65"/>
      <c r="H776" s="67"/>
      <c r="I776" s="118"/>
      <c r="J776" s="65"/>
      <c r="K776" s="74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 ht="15.75" customHeight="1">
      <c r="A777" s="32"/>
      <c r="B777" s="65"/>
      <c r="C777" s="65"/>
      <c r="D777" s="32"/>
      <c r="E777" s="32"/>
      <c r="F777" s="32"/>
      <c r="G777" s="65"/>
      <c r="H777" s="67"/>
      <c r="I777" s="118"/>
      <c r="J777" s="65"/>
      <c r="K777" s="74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 ht="15.75" customHeight="1">
      <c r="A778" s="32"/>
      <c r="B778" s="65"/>
      <c r="C778" s="65"/>
      <c r="D778" s="32"/>
      <c r="E778" s="32"/>
      <c r="F778" s="32"/>
      <c r="G778" s="65"/>
      <c r="H778" s="67"/>
      <c r="I778" s="118"/>
      <c r="J778" s="65"/>
      <c r="K778" s="74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 ht="15.75" customHeight="1">
      <c r="A779" s="32"/>
      <c r="B779" s="65"/>
      <c r="C779" s="65"/>
      <c r="D779" s="32"/>
      <c r="E779" s="32"/>
      <c r="F779" s="32"/>
      <c r="G779" s="65"/>
      <c r="H779" s="67"/>
      <c r="I779" s="118"/>
      <c r="J779" s="65"/>
      <c r="K779" s="74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 ht="15.75" customHeight="1">
      <c r="A780" s="32"/>
      <c r="B780" s="65"/>
      <c r="C780" s="65"/>
      <c r="D780" s="32"/>
      <c r="E780" s="32"/>
      <c r="F780" s="32"/>
      <c r="G780" s="65"/>
      <c r="H780" s="67"/>
      <c r="I780" s="118"/>
      <c r="J780" s="65"/>
      <c r="K780" s="74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 ht="15.75" customHeight="1">
      <c r="A781" s="32"/>
      <c r="B781" s="65"/>
      <c r="C781" s="65"/>
      <c r="D781" s="32"/>
      <c r="E781" s="32"/>
      <c r="F781" s="32"/>
      <c r="G781" s="65"/>
      <c r="H781" s="67"/>
      <c r="I781" s="118"/>
      <c r="J781" s="65"/>
      <c r="K781" s="74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 ht="15.75" customHeight="1">
      <c r="A782" s="32"/>
      <c r="B782" s="65"/>
      <c r="C782" s="65"/>
      <c r="D782" s="32"/>
      <c r="E782" s="32"/>
      <c r="F782" s="32"/>
      <c r="G782" s="65"/>
      <c r="H782" s="67"/>
      <c r="I782" s="118"/>
      <c r="J782" s="65"/>
      <c r="K782" s="74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 ht="15.75" customHeight="1">
      <c r="A783" s="32"/>
      <c r="B783" s="65"/>
      <c r="C783" s="65"/>
      <c r="D783" s="32"/>
      <c r="E783" s="32"/>
      <c r="F783" s="32"/>
      <c r="G783" s="65"/>
      <c r="H783" s="67"/>
      <c r="I783" s="118"/>
      <c r="J783" s="65"/>
      <c r="K783" s="74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 ht="15.75" customHeight="1">
      <c r="A784" s="32"/>
      <c r="B784" s="65"/>
      <c r="C784" s="65"/>
      <c r="D784" s="32"/>
      <c r="E784" s="32"/>
      <c r="F784" s="32"/>
      <c r="G784" s="65"/>
      <c r="H784" s="67"/>
      <c r="I784" s="118"/>
      <c r="J784" s="65"/>
      <c r="K784" s="74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 ht="15.75" customHeight="1">
      <c r="A785" s="32"/>
      <c r="B785" s="65"/>
      <c r="C785" s="65"/>
      <c r="D785" s="32"/>
      <c r="E785" s="32"/>
      <c r="F785" s="32"/>
      <c r="G785" s="65"/>
      <c r="H785" s="67"/>
      <c r="I785" s="118"/>
      <c r="J785" s="65"/>
      <c r="K785" s="74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 ht="15.75" customHeight="1">
      <c r="A786" s="32"/>
      <c r="B786" s="65"/>
      <c r="C786" s="65"/>
      <c r="D786" s="32"/>
      <c r="E786" s="32"/>
      <c r="F786" s="32"/>
      <c r="G786" s="65"/>
      <c r="H786" s="67"/>
      <c r="I786" s="118"/>
      <c r="J786" s="65"/>
      <c r="K786" s="74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 ht="15.75" customHeight="1">
      <c r="A787" s="32"/>
      <c r="B787" s="65"/>
      <c r="C787" s="65"/>
      <c r="D787" s="32"/>
      <c r="E787" s="32"/>
      <c r="F787" s="32"/>
      <c r="G787" s="65"/>
      <c r="H787" s="67"/>
      <c r="I787" s="118"/>
      <c r="J787" s="65"/>
      <c r="K787" s="74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 ht="15.75" customHeight="1">
      <c r="A788" s="32"/>
      <c r="B788" s="65"/>
      <c r="C788" s="65"/>
      <c r="D788" s="32"/>
      <c r="E788" s="32"/>
      <c r="F788" s="32"/>
      <c r="G788" s="65"/>
      <c r="H788" s="67"/>
      <c r="I788" s="118"/>
      <c r="J788" s="65"/>
      <c r="K788" s="74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 ht="15.75" customHeight="1">
      <c r="A789" s="32"/>
      <c r="B789" s="65"/>
      <c r="C789" s="65"/>
      <c r="D789" s="32"/>
      <c r="E789" s="32"/>
      <c r="F789" s="32"/>
      <c r="G789" s="65"/>
      <c r="H789" s="67"/>
      <c r="I789" s="118"/>
      <c r="J789" s="65"/>
      <c r="K789" s="74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 ht="15.75" customHeight="1">
      <c r="A790" s="32"/>
      <c r="B790" s="65"/>
      <c r="C790" s="65"/>
      <c r="D790" s="32"/>
      <c r="E790" s="32"/>
      <c r="F790" s="32"/>
      <c r="G790" s="65"/>
      <c r="H790" s="67"/>
      <c r="I790" s="118"/>
      <c r="J790" s="65"/>
      <c r="K790" s="74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 ht="15.75" customHeight="1">
      <c r="A791" s="32"/>
      <c r="B791" s="65"/>
      <c r="C791" s="65"/>
      <c r="D791" s="32"/>
      <c r="E791" s="32"/>
      <c r="F791" s="32"/>
      <c r="G791" s="65"/>
      <c r="H791" s="67"/>
      <c r="I791" s="118"/>
      <c r="J791" s="65"/>
      <c r="K791" s="74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 ht="15.75" customHeight="1">
      <c r="A792" s="32"/>
      <c r="B792" s="65"/>
      <c r="C792" s="65"/>
      <c r="D792" s="32"/>
      <c r="E792" s="32"/>
      <c r="F792" s="32"/>
      <c r="G792" s="65"/>
      <c r="H792" s="67"/>
      <c r="I792" s="118"/>
      <c r="J792" s="65"/>
      <c r="K792" s="74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 ht="15.75" customHeight="1">
      <c r="A793" s="32"/>
      <c r="B793" s="65"/>
      <c r="C793" s="65"/>
      <c r="D793" s="32"/>
      <c r="E793" s="32"/>
      <c r="F793" s="32"/>
      <c r="G793" s="65"/>
      <c r="H793" s="67"/>
      <c r="I793" s="118"/>
      <c r="J793" s="65"/>
      <c r="K793" s="74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 ht="15.75" customHeight="1">
      <c r="A794" s="32"/>
      <c r="B794" s="65"/>
      <c r="C794" s="65"/>
      <c r="D794" s="32"/>
      <c r="E794" s="32"/>
      <c r="F794" s="32"/>
      <c r="G794" s="65"/>
      <c r="H794" s="67"/>
      <c r="I794" s="118"/>
      <c r="J794" s="65"/>
      <c r="K794" s="74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 ht="15.75" customHeight="1">
      <c r="A795" s="32"/>
      <c r="B795" s="65"/>
      <c r="C795" s="65"/>
      <c r="D795" s="32"/>
      <c r="E795" s="32"/>
      <c r="F795" s="32"/>
      <c r="G795" s="65"/>
      <c r="H795" s="67"/>
      <c r="I795" s="118"/>
      <c r="J795" s="65"/>
      <c r="K795" s="74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 ht="15.75" customHeight="1">
      <c r="A796" s="32"/>
      <c r="B796" s="65"/>
      <c r="C796" s="65"/>
      <c r="D796" s="32"/>
      <c r="E796" s="32"/>
      <c r="F796" s="32"/>
      <c r="G796" s="65"/>
      <c r="H796" s="67"/>
      <c r="I796" s="118"/>
      <c r="J796" s="65"/>
      <c r="K796" s="74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 ht="15.75" customHeight="1">
      <c r="A797" s="32"/>
      <c r="B797" s="65"/>
      <c r="C797" s="65"/>
      <c r="D797" s="32"/>
      <c r="E797" s="32"/>
      <c r="F797" s="32"/>
      <c r="G797" s="65"/>
      <c r="H797" s="67"/>
      <c r="I797" s="118"/>
      <c r="J797" s="65"/>
      <c r="K797" s="74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 ht="15.75" customHeight="1">
      <c r="A798" s="32"/>
      <c r="B798" s="65"/>
      <c r="C798" s="65"/>
      <c r="D798" s="32"/>
      <c r="E798" s="32"/>
      <c r="F798" s="32"/>
      <c r="G798" s="65"/>
      <c r="H798" s="67"/>
      <c r="I798" s="118"/>
      <c r="J798" s="65"/>
      <c r="K798" s="74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 ht="15.75" customHeight="1">
      <c r="A799" s="32"/>
      <c r="B799" s="65"/>
      <c r="C799" s="65"/>
      <c r="D799" s="32"/>
      <c r="E799" s="32"/>
      <c r="F799" s="32"/>
      <c r="G799" s="65"/>
      <c r="H799" s="67"/>
      <c r="I799" s="118"/>
      <c r="J799" s="65"/>
      <c r="K799" s="74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 ht="15.75" customHeight="1">
      <c r="A800" s="32"/>
      <c r="B800" s="65"/>
      <c r="C800" s="65"/>
      <c r="D800" s="32"/>
      <c r="E800" s="32"/>
      <c r="F800" s="32"/>
      <c r="G800" s="65"/>
      <c r="H800" s="67"/>
      <c r="I800" s="118"/>
      <c r="J800" s="65"/>
      <c r="K800" s="74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 ht="15.75" customHeight="1">
      <c r="A801" s="32"/>
      <c r="B801" s="65"/>
      <c r="C801" s="65"/>
      <c r="D801" s="32"/>
      <c r="E801" s="32"/>
      <c r="F801" s="32"/>
      <c r="G801" s="65"/>
      <c r="H801" s="67"/>
      <c r="I801" s="118"/>
      <c r="J801" s="65"/>
      <c r="K801" s="74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 ht="15.75" customHeight="1">
      <c r="A802" s="32"/>
      <c r="B802" s="65"/>
      <c r="C802" s="65"/>
      <c r="D802" s="32"/>
      <c r="E802" s="32"/>
      <c r="F802" s="32"/>
      <c r="G802" s="65"/>
      <c r="H802" s="67"/>
      <c r="I802" s="118"/>
      <c r="J802" s="65"/>
      <c r="K802" s="74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 ht="15.75" customHeight="1">
      <c r="A803" s="32"/>
      <c r="B803" s="65"/>
      <c r="C803" s="65"/>
      <c r="D803" s="32"/>
      <c r="E803" s="32"/>
      <c r="F803" s="32"/>
      <c r="G803" s="65"/>
      <c r="H803" s="67"/>
      <c r="I803" s="118"/>
      <c r="J803" s="65"/>
      <c r="K803" s="74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 ht="15.75" customHeight="1">
      <c r="A804" s="32"/>
      <c r="B804" s="65"/>
      <c r="C804" s="65"/>
      <c r="D804" s="32"/>
      <c r="E804" s="32"/>
      <c r="F804" s="32"/>
      <c r="G804" s="65"/>
      <c r="H804" s="67"/>
      <c r="I804" s="118"/>
      <c r="J804" s="65"/>
      <c r="K804" s="74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 ht="15.75" customHeight="1">
      <c r="A805" s="32"/>
      <c r="B805" s="65"/>
      <c r="C805" s="65"/>
      <c r="D805" s="32"/>
      <c r="E805" s="32"/>
      <c r="F805" s="32"/>
      <c r="G805" s="65"/>
      <c r="H805" s="67"/>
      <c r="I805" s="118"/>
      <c r="J805" s="65"/>
      <c r="K805" s="74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 ht="15.75" customHeight="1">
      <c r="A806" s="32"/>
      <c r="B806" s="65"/>
      <c r="C806" s="65"/>
      <c r="D806" s="32"/>
      <c r="E806" s="32"/>
      <c r="F806" s="32"/>
      <c r="G806" s="65"/>
      <c r="H806" s="67"/>
      <c r="I806" s="118"/>
      <c r="J806" s="65"/>
      <c r="K806" s="74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 ht="15.75" customHeight="1">
      <c r="A807" s="32"/>
      <c r="B807" s="65"/>
      <c r="C807" s="65"/>
      <c r="D807" s="32"/>
      <c r="E807" s="32"/>
      <c r="F807" s="32"/>
      <c r="G807" s="65"/>
      <c r="H807" s="67"/>
      <c r="I807" s="118"/>
      <c r="J807" s="65"/>
      <c r="K807" s="74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 ht="15.75" customHeight="1">
      <c r="A808" s="32"/>
      <c r="B808" s="65"/>
      <c r="C808" s="65"/>
      <c r="D808" s="32"/>
      <c r="E808" s="32"/>
      <c r="F808" s="32"/>
      <c r="G808" s="65"/>
      <c r="H808" s="67"/>
      <c r="I808" s="118"/>
      <c r="J808" s="65"/>
      <c r="K808" s="74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 ht="15.75" customHeight="1">
      <c r="A809" s="32"/>
      <c r="B809" s="65"/>
      <c r="C809" s="65"/>
      <c r="D809" s="32"/>
      <c r="E809" s="32"/>
      <c r="F809" s="32"/>
      <c r="G809" s="65"/>
      <c r="H809" s="67"/>
      <c r="I809" s="118"/>
      <c r="J809" s="65"/>
      <c r="K809" s="74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 ht="15.75" customHeight="1">
      <c r="A810" s="32"/>
      <c r="B810" s="65"/>
      <c r="C810" s="65"/>
      <c r="D810" s="32"/>
      <c r="E810" s="32"/>
      <c r="F810" s="32"/>
      <c r="G810" s="65"/>
      <c r="H810" s="67"/>
      <c r="I810" s="118"/>
      <c r="J810" s="65"/>
      <c r="K810" s="74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 ht="15.75" customHeight="1">
      <c r="A811" s="32"/>
      <c r="B811" s="65"/>
      <c r="C811" s="65"/>
      <c r="D811" s="32"/>
      <c r="E811" s="32"/>
      <c r="F811" s="32"/>
      <c r="G811" s="65"/>
      <c r="H811" s="67"/>
      <c r="I811" s="118"/>
      <c r="J811" s="65"/>
      <c r="K811" s="74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 ht="15.75" customHeight="1">
      <c r="A812" s="32"/>
      <c r="B812" s="65"/>
      <c r="C812" s="65"/>
      <c r="D812" s="32"/>
      <c r="E812" s="32"/>
      <c r="F812" s="32"/>
      <c r="G812" s="65"/>
      <c r="H812" s="67"/>
      <c r="I812" s="118"/>
      <c r="J812" s="65"/>
      <c r="K812" s="74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 ht="15.75" customHeight="1">
      <c r="A813" s="32"/>
      <c r="B813" s="65"/>
      <c r="C813" s="65"/>
      <c r="D813" s="32"/>
      <c r="E813" s="32"/>
      <c r="F813" s="32"/>
      <c r="G813" s="65"/>
      <c r="H813" s="67"/>
      <c r="I813" s="118"/>
      <c r="J813" s="65"/>
      <c r="K813" s="74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 ht="15.75" customHeight="1">
      <c r="A814" s="32"/>
      <c r="B814" s="65"/>
      <c r="C814" s="65"/>
      <c r="D814" s="32"/>
      <c r="E814" s="32"/>
      <c r="F814" s="32"/>
      <c r="G814" s="65"/>
      <c r="H814" s="67"/>
      <c r="I814" s="118"/>
      <c r="J814" s="65"/>
      <c r="K814" s="74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</row>
    <row r="815" ht="15.75" customHeight="1">
      <c r="A815" s="32"/>
      <c r="B815" s="65"/>
      <c r="C815" s="65"/>
      <c r="D815" s="32"/>
      <c r="E815" s="32"/>
      <c r="F815" s="32"/>
      <c r="G815" s="65"/>
      <c r="H815" s="67"/>
      <c r="I815" s="118"/>
      <c r="J815" s="65"/>
      <c r="K815" s="74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</row>
    <row r="816" ht="15.75" customHeight="1">
      <c r="A816" s="32"/>
      <c r="B816" s="65"/>
      <c r="C816" s="65"/>
      <c r="D816" s="32"/>
      <c r="E816" s="32"/>
      <c r="F816" s="32"/>
      <c r="G816" s="65"/>
      <c r="H816" s="67"/>
      <c r="I816" s="118"/>
      <c r="J816" s="65"/>
      <c r="K816" s="74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</row>
    <row r="817" ht="15.75" customHeight="1">
      <c r="A817" s="32"/>
      <c r="B817" s="65"/>
      <c r="C817" s="65"/>
      <c r="D817" s="32"/>
      <c r="E817" s="32"/>
      <c r="F817" s="32"/>
      <c r="G817" s="65"/>
      <c r="H817" s="67"/>
      <c r="I817" s="118"/>
      <c r="J817" s="65"/>
      <c r="K817" s="74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</row>
    <row r="818" ht="15.75" customHeight="1">
      <c r="A818" s="32"/>
      <c r="B818" s="65"/>
      <c r="C818" s="65"/>
      <c r="D818" s="32"/>
      <c r="E818" s="32"/>
      <c r="F818" s="32"/>
      <c r="G818" s="65"/>
      <c r="H818" s="67"/>
      <c r="I818" s="118"/>
      <c r="J818" s="65"/>
      <c r="K818" s="74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 ht="15.75" customHeight="1">
      <c r="A819" s="32"/>
      <c r="B819" s="65"/>
      <c r="C819" s="65"/>
      <c r="D819" s="32"/>
      <c r="E819" s="32"/>
      <c r="F819" s="32"/>
      <c r="G819" s="65"/>
      <c r="H819" s="67"/>
      <c r="I819" s="118"/>
      <c r="J819" s="65"/>
      <c r="K819" s="74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</row>
    <row r="820" ht="15.75" customHeight="1">
      <c r="A820" s="32"/>
      <c r="B820" s="65"/>
      <c r="C820" s="65"/>
      <c r="D820" s="32"/>
      <c r="E820" s="32"/>
      <c r="F820" s="32"/>
      <c r="G820" s="65"/>
      <c r="H820" s="67"/>
      <c r="I820" s="118"/>
      <c r="J820" s="65"/>
      <c r="K820" s="74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</row>
    <row r="821" ht="15.75" customHeight="1">
      <c r="A821" s="32"/>
      <c r="B821" s="65"/>
      <c r="C821" s="65"/>
      <c r="D821" s="32"/>
      <c r="E821" s="32"/>
      <c r="F821" s="32"/>
      <c r="G821" s="65"/>
      <c r="H821" s="67"/>
      <c r="I821" s="118"/>
      <c r="J821" s="65"/>
      <c r="K821" s="74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</row>
    <row r="822" ht="15.75" customHeight="1">
      <c r="A822" s="32"/>
      <c r="B822" s="65"/>
      <c r="C822" s="65"/>
      <c r="D822" s="32"/>
      <c r="E822" s="32"/>
      <c r="F822" s="32"/>
      <c r="G822" s="65"/>
      <c r="H822" s="67"/>
      <c r="I822" s="118"/>
      <c r="J822" s="65"/>
      <c r="K822" s="74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</row>
    <row r="823" ht="15.75" customHeight="1">
      <c r="A823" s="32"/>
      <c r="B823" s="65"/>
      <c r="C823" s="65"/>
      <c r="D823" s="32"/>
      <c r="E823" s="32"/>
      <c r="F823" s="32"/>
      <c r="G823" s="65"/>
      <c r="H823" s="67"/>
      <c r="I823" s="118"/>
      <c r="J823" s="65"/>
      <c r="K823" s="74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</row>
    <row r="824" ht="15.75" customHeight="1">
      <c r="A824" s="32"/>
      <c r="B824" s="65"/>
      <c r="C824" s="65"/>
      <c r="D824" s="32"/>
      <c r="E824" s="32"/>
      <c r="F824" s="32"/>
      <c r="G824" s="65"/>
      <c r="H824" s="67"/>
      <c r="I824" s="118"/>
      <c r="J824" s="65"/>
      <c r="K824" s="74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 ht="15.75" customHeight="1">
      <c r="A825" s="32"/>
      <c r="B825" s="65"/>
      <c r="C825" s="65"/>
      <c r="D825" s="32"/>
      <c r="E825" s="32"/>
      <c r="F825" s="32"/>
      <c r="G825" s="65"/>
      <c r="H825" s="67"/>
      <c r="I825" s="118"/>
      <c r="J825" s="65"/>
      <c r="K825" s="74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</row>
    <row r="826" ht="15.75" customHeight="1">
      <c r="A826" s="32"/>
      <c r="B826" s="65"/>
      <c r="C826" s="65"/>
      <c r="D826" s="32"/>
      <c r="E826" s="32"/>
      <c r="F826" s="32"/>
      <c r="G826" s="65"/>
      <c r="H826" s="67"/>
      <c r="I826" s="118"/>
      <c r="J826" s="65"/>
      <c r="K826" s="74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</row>
    <row r="827" ht="15.75" customHeight="1">
      <c r="A827" s="32"/>
      <c r="B827" s="65"/>
      <c r="C827" s="65"/>
      <c r="D827" s="32"/>
      <c r="E827" s="32"/>
      <c r="F827" s="32"/>
      <c r="G827" s="65"/>
      <c r="H827" s="67"/>
      <c r="I827" s="118"/>
      <c r="J827" s="65"/>
      <c r="K827" s="74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</row>
    <row r="828" ht="15.75" customHeight="1">
      <c r="A828" s="32"/>
      <c r="B828" s="65"/>
      <c r="C828" s="65"/>
      <c r="D828" s="32"/>
      <c r="E828" s="32"/>
      <c r="F828" s="32"/>
      <c r="G828" s="65"/>
      <c r="H828" s="67"/>
      <c r="I828" s="118"/>
      <c r="J828" s="65"/>
      <c r="K828" s="74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 ht="15.75" customHeight="1">
      <c r="A829" s="32"/>
      <c r="B829" s="65"/>
      <c r="C829" s="65"/>
      <c r="D829" s="32"/>
      <c r="E829" s="32"/>
      <c r="F829" s="32"/>
      <c r="G829" s="65"/>
      <c r="H829" s="67"/>
      <c r="I829" s="118"/>
      <c r="J829" s="65"/>
      <c r="K829" s="74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</row>
    <row r="830" ht="15.75" customHeight="1">
      <c r="A830" s="32"/>
      <c r="B830" s="65"/>
      <c r="C830" s="65"/>
      <c r="D830" s="32"/>
      <c r="E830" s="32"/>
      <c r="F830" s="32"/>
      <c r="G830" s="65"/>
      <c r="H830" s="67"/>
      <c r="I830" s="118"/>
      <c r="J830" s="65"/>
      <c r="K830" s="74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</row>
    <row r="831" ht="15.75" customHeight="1">
      <c r="A831" s="32"/>
      <c r="B831" s="65"/>
      <c r="C831" s="65"/>
      <c r="D831" s="32"/>
      <c r="E831" s="32"/>
      <c r="F831" s="32"/>
      <c r="G831" s="65"/>
      <c r="H831" s="67"/>
      <c r="I831" s="118"/>
      <c r="J831" s="65"/>
      <c r="K831" s="74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</row>
    <row r="832" ht="15.75" customHeight="1">
      <c r="A832" s="32"/>
      <c r="B832" s="65"/>
      <c r="C832" s="65"/>
      <c r="D832" s="32"/>
      <c r="E832" s="32"/>
      <c r="F832" s="32"/>
      <c r="G832" s="65"/>
      <c r="H832" s="67"/>
      <c r="I832" s="118"/>
      <c r="J832" s="65"/>
      <c r="K832" s="74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</row>
    <row r="833" ht="15.75" customHeight="1">
      <c r="A833" s="32"/>
      <c r="B833" s="65"/>
      <c r="C833" s="65"/>
      <c r="D833" s="32"/>
      <c r="E833" s="32"/>
      <c r="F833" s="32"/>
      <c r="G833" s="65"/>
      <c r="H833" s="67"/>
      <c r="I833" s="118"/>
      <c r="J833" s="65"/>
      <c r="K833" s="74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</row>
    <row r="834" ht="15.75" customHeight="1">
      <c r="A834" s="32"/>
      <c r="B834" s="65"/>
      <c r="C834" s="65"/>
      <c r="D834" s="32"/>
      <c r="E834" s="32"/>
      <c r="F834" s="32"/>
      <c r="G834" s="65"/>
      <c r="H834" s="67"/>
      <c r="I834" s="118"/>
      <c r="J834" s="65"/>
      <c r="K834" s="74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</row>
    <row r="835" ht="15.75" customHeight="1">
      <c r="A835" s="32"/>
      <c r="B835" s="65"/>
      <c r="C835" s="65"/>
      <c r="D835" s="32"/>
      <c r="E835" s="32"/>
      <c r="F835" s="32"/>
      <c r="G835" s="65"/>
      <c r="H835" s="67"/>
      <c r="I835" s="118"/>
      <c r="J835" s="65"/>
      <c r="K835" s="74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</row>
    <row r="836" ht="15.75" customHeight="1">
      <c r="A836" s="32"/>
      <c r="B836" s="65"/>
      <c r="C836" s="65"/>
      <c r="D836" s="32"/>
      <c r="E836" s="32"/>
      <c r="F836" s="32"/>
      <c r="G836" s="65"/>
      <c r="H836" s="67"/>
      <c r="I836" s="118"/>
      <c r="J836" s="65"/>
      <c r="K836" s="74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</row>
    <row r="837" ht="15.75" customHeight="1">
      <c r="A837" s="32"/>
      <c r="B837" s="65"/>
      <c r="C837" s="65"/>
      <c r="D837" s="32"/>
      <c r="E837" s="32"/>
      <c r="F837" s="32"/>
      <c r="G837" s="65"/>
      <c r="H837" s="67"/>
      <c r="I837" s="118"/>
      <c r="J837" s="65"/>
      <c r="K837" s="74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</row>
    <row r="838" ht="15.75" customHeight="1">
      <c r="A838" s="32"/>
      <c r="B838" s="65"/>
      <c r="C838" s="65"/>
      <c r="D838" s="32"/>
      <c r="E838" s="32"/>
      <c r="F838" s="32"/>
      <c r="G838" s="65"/>
      <c r="H838" s="67"/>
      <c r="I838" s="118"/>
      <c r="J838" s="65"/>
      <c r="K838" s="74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</row>
    <row r="839" ht="15.75" customHeight="1">
      <c r="A839" s="32"/>
      <c r="B839" s="65"/>
      <c r="C839" s="65"/>
      <c r="D839" s="32"/>
      <c r="E839" s="32"/>
      <c r="F839" s="32"/>
      <c r="G839" s="65"/>
      <c r="H839" s="67"/>
      <c r="I839" s="118"/>
      <c r="J839" s="65"/>
      <c r="K839" s="74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</row>
    <row r="840" ht="15.75" customHeight="1">
      <c r="A840" s="32"/>
      <c r="B840" s="65"/>
      <c r="C840" s="65"/>
      <c r="D840" s="32"/>
      <c r="E840" s="32"/>
      <c r="F840" s="32"/>
      <c r="G840" s="65"/>
      <c r="H840" s="67"/>
      <c r="I840" s="118"/>
      <c r="J840" s="65"/>
      <c r="K840" s="74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</row>
    <row r="841" ht="15.75" customHeight="1">
      <c r="A841" s="32"/>
      <c r="B841" s="65"/>
      <c r="C841" s="65"/>
      <c r="D841" s="32"/>
      <c r="E841" s="32"/>
      <c r="F841" s="32"/>
      <c r="G841" s="65"/>
      <c r="H841" s="67"/>
      <c r="I841" s="118"/>
      <c r="J841" s="65"/>
      <c r="K841" s="74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</row>
    <row r="842" ht="15.75" customHeight="1">
      <c r="A842" s="32"/>
      <c r="B842" s="65"/>
      <c r="C842" s="65"/>
      <c r="D842" s="32"/>
      <c r="E842" s="32"/>
      <c r="F842" s="32"/>
      <c r="G842" s="65"/>
      <c r="H842" s="67"/>
      <c r="I842" s="118"/>
      <c r="J842" s="65"/>
      <c r="K842" s="74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</row>
    <row r="843" ht="15.75" customHeight="1">
      <c r="A843" s="32"/>
      <c r="B843" s="65"/>
      <c r="C843" s="65"/>
      <c r="D843" s="32"/>
      <c r="E843" s="32"/>
      <c r="F843" s="32"/>
      <c r="G843" s="65"/>
      <c r="H843" s="67"/>
      <c r="I843" s="118"/>
      <c r="J843" s="65"/>
      <c r="K843" s="74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</row>
    <row r="844" ht="15.75" customHeight="1">
      <c r="A844" s="32"/>
      <c r="B844" s="65"/>
      <c r="C844" s="65"/>
      <c r="D844" s="32"/>
      <c r="E844" s="32"/>
      <c r="F844" s="32"/>
      <c r="G844" s="65"/>
      <c r="H844" s="67"/>
      <c r="I844" s="118"/>
      <c r="J844" s="65"/>
      <c r="K844" s="74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</row>
    <row r="845" ht="15.75" customHeight="1">
      <c r="A845" s="32"/>
      <c r="B845" s="65"/>
      <c r="C845" s="65"/>
      <c r="D845" s="32"/>
      <c r="E845" s="32"/>
      <c r="F845" s="32"/>
      <c r="G845" s="65"/>
      <c r="H845" s="67"/>
      <c r="I845" s="118"/>
      <c r="J845" s="65"/>
      <c r="K845" s="74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</row>
    <row r="846" ht="15.75" customHeight="1">
      <c r="A846" s="32"/>
      <c r="B846" s="65"/>
      <c r="C846" s="65"/>
      <c r="D846" s="32"/>
      <c r="E846" s="32"/>
      <c r="F846" s="32"/>
      <c r="G846" s="65"/>
      <c r="H846" s="67"/>
      <c r="I846" s="118"/>
      <c r="J846" s="65"/>
      <c r="K846" s="74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</row>
    <row r="847" ht="15.75" customHeight="1">
      <c r="A847" s="32"/>
      <c r="B847" s="65"/>
      <c r="C847" s="65"/>
      <c r="D847" s="32"/>
      <c r="E847" s="32"/>
      <c r="F847" s="32"/>
      <c r="G847" s="65"/>
      <c r="H847" s="67"/>
      <c r="I847" s="118"/>
      <c r="J847" s="65"/>
      <c r="K847" s="74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</row>
    <row r="848" ht="15.75" customHeight="1">
      <c r="A848" s="32"/>
      <c r="B848" s="65"/>
      <c r="C848" s="65"/>
      <c r="D848" s="32"/>
      <c r="E848" s="32"/>
      <c r="F848" s="32"/>
      <c r="G848" s="65"/>
      <c r="H848" s="67"/>
      <c r="I848" s="118"/>
      <c r="J848" s="65"/>
      <c r="K848" s="74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</row>
    <row r="849" ht="15.75" customHeight="1">
      <c r="A849" s="32"/>
      <c r="B849" s="65"/>
      <c r="C849" s="65"/>
      <c r="D849" s="32"/>
      <c r="E849" s="32"/>
      <c r="F849" s="32"/>
      <c r="G849" s="65"/>
      <c r="H849" s="67"/>
      <c r="I849" s="118"/>
      <c r="J849" s="65"/>
      <c r="K849" s="74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</row>
    <row r="850" ht="15.75" customHeight="1">
      <c r="A850" s="32"/>
      <c r="B850" s="65"/>
      <c r="C850" s="65"/>
      <c r="D850" s="32"/>
      <c r="E850" s="32"/>
      <c r="F850" s="32"/>
      <c r="G850" s="65"/>
      <c r="H850" s="67"/>
      <c r="I850" s="118"/>
      <c r="J850" s="65"/>
      <c r="K850" s="74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</row>
    <row r="851" ht="15.75" customHeight="1">
      <c r="A851" s="32"/>
      <c r="B851" s="65"/>
      <c r="C851" s="65"/>
      <c r="D851" s="32"/>
      <c r="E851" s="32"/>
      <c r="F851" s="32"/>
      <c r="G851" s="65"/>
      <c r="H851" s="67"/>
      <c r="I851" s="118"/>
      <c r="J851" s="65"/>
      <c r="K851" s="74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</row>
    <row r="852" ht="15.75" customHeight="1">
      <c r="A852" s="32"/>
      <c r="B852" s="65"/>
      <c r="C852" s="65"/>
      <c r="D852" s="32"/>
      <c r="E852" s="32"/>
      <c r="F852" s="32"/>
      <c r="G852" s="65"/>
      <c r="H852" s="67"/>
      <c r="I852" s="118"/>
      <c r="J852" s="65"/>
      <c r="K852" s="74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</row>
    <row r="853" ht="15.75" customHeight="1">
      <c r="A853" s="32"/>
      <c r="B853" s="65"/>
      <c r="C853" s="65"/>
      <c r="D853" s="32"/>
      <c r="E853" s="32"/>
      <c r="F853" s="32"/>
      <c r="G853" s="65"/>
      <c r="H853" s="67"/>
      <c r="I853" s="118"/>
      <c r="J853" s="65"/>
      <c r="K853" s="74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 ht="15.75" customHeight="1">
      <c r="A854" s="32"/>
      <c r="B854" s="65"/>
      <c r="C854" s="65"/>
      <c r="D854" s="32"/>
      <c r="E854" s="32"/>
      <c r="F854" s="32"/>
      <c r="G854" s="65"/>
      <c r="H854" s="67"/>
      <c r="I854" s="118"/>
      <c r="J854" s="65"/>
      <c r="K854" s="74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 ht="15.75" customHeight="1">
      <c r="A855" s="32"/>
      <c r="B855" s="65"/>
      <c r="C855" s="65"/>
      <c r="D855" s="32"/>
      <c r="E855" s="32"/>
      <c r="F855" s="32"/>
      <c r="G855" s="65"/>
      <c r="H855" s="67"/>
      <c r="I855" s="118"/>
      <c r="J855" s="65"/>
      <c r="K855" s="74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</row>
    <row r="856" ht="15.75" customHeight="1">
      <c r="A856" s="32"/>
      <c r="B856" s="65"/>
      <c r="C856" s="65"/>
      <c r="D856" s="32"/>
      <c r="E856" s="32"/>
      <c r="F856" s="32"/>
      <c r="G856" s="65"/>
      <c r="H856" s="67"/>
      <c r="I856" s="118"/>
      <c r="J856" s="65"/>
      <c r="K856" s="74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</row>
    <row r="857" ht="15.75" customHeight="1">
      <c r="A857" s="32"/>
      <c r="B857" s="65"/>
      <c r="C857" s="65"/>
      <c r="D857" s="32"/>
      <c r="E857" s="32"/>
      <c r="F857" s="32"/>
      <c r="G857" s="65"/>
      <c r="H857" s="67"/>
      <c r="I857" s="118"/>
      <c r="J857" s="65"/>
      <c r="K857" s="74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</row>
    <row r="858" ht="15.75" customHeight="1">
      <c r="A858" s="32"/>
      <c r="B858" s="65"/>
      <c r="C858" s="65"/>
      <c r="D858" s="32"/>
      <c r="E858" s="32"/>
      <c r="F858" s="32"/>
      <c r="G858" s="65"/>
      <c r="H858" s="67"/>
      <c r="I858" s="118"/>
      <c r="J858" s="65"/>
      <c r="K858" s="74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 ht="15.75" customHeight="1">
      <c r="A859" s="32"/>
      <c r="B859" s="65"/>
      <c r="C859" s="65"/>
      <c r="D859" s="32"/>
      <c r="E859" s="32"/>
      <c r="F859" s="32"/>
      <c r="G859" s="65"/>
      <c r="H859" s="67"/>
      <c r="I859" s="118"/>
      <c r="J859" s="65"/>
      <c r="K859" s="74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</row>
    <row r="860" ht="15.75" customHeight="1">
      <c r="A860" s="32"/>
      <c r="B860" s="65"/>
      <c r="C860" s="65"/>
      <c r="D860" s="32"/>
      <c r="E860" s="32"/>
      <c r="F860" s="32"/>
      <c r="G860" s="65"/>
      <c r="H860" s="67"/>
      <c r="I860" s="118"/>
      <c r="J860" s="65"/>
      <c r="K860" s="74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</row>
    <row r="861" ht="15.75" customHeight="1">
      <c r="A861" s="32"/>
      <c r="B861" s="65"/>
      <c r="C861" s="65"/>
      <c r="D861" s="32"/>
      <c r="E861" s="32"/>
      <c r="F861" s="32"/>
      <c r="G861" s="65"/>
      <c r="H861" s="67"/>
      <c r="I861" s="118"/>
      <c r="J861" s="65"/>
      <c r="K861" s="74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</row>
    <row r="862" ht="15.75" customHeight="1">
      <c r="A862" s="32"/>
      <c r="B862" s="65"/>
      <c r="C862" s="65"/>
      <c r="D862" s="32"/>
      <c r="E862" s="32"/>
      <c r="F862" s="32"/>
      <c r="G862" s="65"/>
      <c r="H862" s="67"/>
      <c r="I862" s="118"/>
      <c r="J862" s="65"/>
      <c r="K862" s="74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</row>
    <row r="863" ht="15.75" customHeight="1">
      <c r="A863" s="32"/>
      <c r="B863" s="65"/>
      <c r="C863" s="65"/>
      <c r="D863" s="32"/>
      <c r="E863" s="32"/>
      <c r="F863" s="32"/>
      <c r="G863" s="65"/>
      <c r="H863" s="67"/>
      <c r="I863" s="118"/>
      <c r="J863" s="65"/>
      <c r="K863" s="74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</row>
    <row r="864" ht="15.75" customHeight="1">
      <c r="A864" s="32"/>
      <c r="B864" s="65"/>
      <c r="C864" s="65"/>
      <c r="D864" s="32"/>
      <c r="E864" s="32"/>
      <c r="F864" s="32"/>
      <c r="G864" s="65"/>
      <c r="H864" s="67"/>
      <c r="I864" s="118"/>
      <c r="J864" s="65"/>
      <c r="K864" s="74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 ht="15.75" customHeight="1">
      <c r="A865" s="32"/>
      <c r="B865" s="65"/>
      <c r="C865" s="65"/>
      <c r="D865" s="32"/>
      <c r="E865" s="32"/>
      <c r="F865" s="32"/>
      <c r="G865" s="65"/>
      <c r="H865" s="67"/>
      <c r="I865" s="118"/>
      <c r="J865" s="65"/>
      <c r="K865" s="74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</row>
    <row r="866" ht="15.75" customHeight="1">
      <c r="A866" s="32"/>
      <c r="B866" s="65"/>
      <c r="C866" s="65"/>
      <c r="D866" s="32"/>
      <c r="E866" s="32"/>
      <c r="F866" s="32"/>
      <c r="G866" s="65"/>
      <c r="H866" s="67"/>
      <c r="I866" s="118"/>
      <c r="J866" s="65"/>
      <c r="K866" s="74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</row>
    <row r="867" ht="15.75" customHeight="1">
      <c r="A867" s="32"/>
      <c r="B867" s="65"/>
      <c r="C867" s="65"/>
      <c r="D867" s="32"/>
      <c r="E867" s="32"/>
      <c r="F867" s="32"/>
      <c r="G867" s="65"/>
      <c r="H867" s="67"/>
      <c r="I867" s="118"/>
      <c r="J867" s="65"/>
      <c r="K867" s="74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 ht="15.75" customHeight="1">
      <c r="A868" s="32"/>
      <c r="B868" s="65"/>
      <c r="C868" s="65"/>
      <c r="D868" s="32"/>
      <c r="E868" s="32"/>
      <c r="F868" s="32"/>
      <c r="G868" s="65"/>
      <c r="H868" s="67"/>
      <c r="I868" s="118"/>
      <c r="J868" s="65"/>
      <c r="K868" s="74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</row>
    <row r="869" ht="15.75" customHeight="1">
      <c r="A869" s="32"/>
      <c r="B869" s="65"/>
      <c r="C869" s="65"/>
      <c r="D869" s="32"/>
      <c r="E869" s="32"/>
      <c r="F869" s="32"/>
      <c r="G869" s="65"/>
      <c r="H869" s="67"/>
      <c r="I869" s="118"/>
      <c r="J869" s="65"/>
      <c r="K869" s="74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</row>
    <row r="870" ht="15.75" customHeight="1">
      <c r="A870" s="32"/>
      <c r="B870" s="65"/>
      <c r="C870" s="65"/>
      <c r="D870" s="32"/>
      <c r="E870" s="32"/>
      <c r="F870" s="32"/>
      <c r="G870" s="65"/>
      <c r="H870" s="67"/>
      <c r="I870" s="118"/>
      <c r="J870" s="65"/>
      <c r="K870" s="74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</row>
    <row r="871" ht="15.75" customHeight="1">
      <c r="A871" s="32"/>
      <c r="B871" s="65"/>
      <c r="C871" s="65"/>
      <c r="D871" s="32"/>
      <c r="E871" s="32"/>
      <c r="F871" s="32"/>
      <c r="G871" s="65"/>
      <c r="H871" s="67"/>
      <c r="I871" s="118"/>
      <c r="J871" s="65"/>
      <c r="K871" s="74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</row>
    <row r="872" ht="15.75" customHeight="1">
      <c r="A872" s="32"/>
      <c r="B872" s="65"/>
      <c r="C872" s="65"/>
      <c r="D872" s="32"/>
      <c r="E872" s="32"/>
      <c r="F872" s="32"/>
      <c r="G872" s="65"/>
      <c r="H872" s="67"/>
      <c r="I872" s="118"/>
      <c r="J872" s="65"/>
      <c r="K872" s="74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</row>
    <row r="873" ht="15.75" customHeight="1">
      <c r="A873" s="32"/>
      <c r="B873" s="65"/>
      <c r="C873" s="65"/>
      <c r="D873" s="32"/>
      <c r="E873" s="32"/>
      <c r="F873" s="32"/>
      <c r="G873" s="65"/>
      <c r="H873" s="67"/>
      <c r="I873" s="118"/>
      <c r="J873" s="65"/>
      <c r="K873" s="74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</row>
    <row r="874" ht="15.75" customHeight="1">
      <c r="A874" s="32"/>
      <c r="B874" s="65"/>
      <c r="C874" s="65"/>
      <c r="D874" s="32"/>
      <c r="E874" s="32"/>
      <c r="F874" s="32"/>
      <c r="G874" s="65"/>
      <c r="H874" s="67"/>
      <c r="I874" s="118"/>
      <c r="J874" s="65"/>
      <c r="K874" s="74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</row>
    <row r="875" ht="15.75" customHeight="1">
      <c r="A875" s="32"/>
      <c r="B875" s="65"/>
      <c r="C875" s="65"/>
      <c r="D875" s="32"/>
      <c r="E875" s="32"/>
      <c r="F875" s="32"/>
      <c r="G875" s="65"/>
      <c r="H875" s="67"/>
      <c r="I875" s="118"/>
      <c r="J875" s="65"/>
      <c r="K875" s="74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</row>
    <row r="876" ht="15.75" customHeight="1">
      <c r="A876" s="32"/>
      <c r="B876" s="65"/>
      <c r="C876" s="65"/>
      <c r="D876" s="32"/>
      <c r="E876" s="32"/>
      <c r="F876" s="32"/>
      <c r="G876" s="65"/>
      <c r="H876" s="67"/>
      <c r="I876" s="118"/>
      <c r="J876" s="65"/>
      <c r="K876" s="74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 ht="15.75" customHeight="1">
      <c r="A877" s="32"/>
      <c r="B877" s="65"/>
      <c r="C877" s="65"/>
      <c r="D877" s="32"/>
      <c r="E877" s="32"/>
      <c r="F877" s="32"/>
      <c r="G877" s="65"/>
      <c r="H877" s="67"/>
      <c r="I877" s="118"/>
      <c r="J877" s="65"/>
      <c r="K877" s="74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</row>
    <row r="878" ht="15.75" customHeight="1">
      <c r="A878" s="32"/>
      <c r="B878" s="65"/>
      <c r="C878" s="65"/>
      <c r="D878" s="32"/>
      <c r="E878" s="32"/>
      <c r="F878" s="32"/>
      <c r="G878" s="65"/>
      <c r="H878" s="67"/>
      <c r="I878" s="118"/>
      <c r="J878" s="65"/>
      <c r="K878" s="74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</row>
    <row r="879" ht="15.75" customHeight="1">
      <c r="A879" s="32"/>
      <c r="B879" s="65"/>
      <c r="C879" s="65"/>
      <c r="D879" s="32"/>
      <c r="E879" s="32"/>
      <c r="F879" s="32"/>
      <c r="G879" s="65"/>
      <c r="H879" s="67"/>
      <c r="I879" s="118"/>
      <c r="J879" s="65"/>
      <c r="K879" s="74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</row>
    <row r="880" ht="15.75" customHeight="1">
      <c r="A880" s="32"/>
      <c r="B880" s="65"/>
      <c r="C880" s="65"/>
      <c r="D880" s="32"/>
      <c r="E880" s="32"/>
      <c r="F880" s="32"/>
      <c r="G880" s="65"/>
      <c r="H880" s="67"/>
      <c r="I880" s="118"/>
      <c r="J880" s="65"/>
      <c r="K880" s="74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</row>
    <row r="881" ht="15.75" customHeight="1">
      <c r="A881" s="32"/>
      <c r="B881" s="65"/>
      <c r="C881" s="65"/>
      <c r="D881" s="32"/>
      <c r="E881" s="32"/>
      <c r="F881" s="32"/>
      <c r="G881" s="65"/>
      <c r="H881" s="67"/>
      <c r="I881" s="118"/>
      <c r="J881" s="65"/>
      <c r="K881" s="74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</row>
    <row r="882" ht="15.75" customHeight="1">
      <c r="A882" s="32"/>
      <c r="B882" s="65"/>
      <c r="C882" s="65"/>
      <c r="D882" s="32"/>
      <c r="E882" s="32"/>
      <c r="F882" s="32"/>
      <c r="G882" s="65"/>
      <c r="H882" s="67"/>
      <c r="I882" s="118"/>
      <c r="J882" s="65"/>
      <c r="K882" s="74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</row>
    <row r="883" ht="15.75" customHeight="1">
      <c r="A883" s="32"/>
      <c r="B883" s="65"/>
      <c r="C883" s="65"/>
      <c r="D883" s="32"/>
      <c r="E883" s="32"/>
      <c r="F883" s="32"/>
      <c r="G883" s="65"/>
      <c r="H883" s="67"/>
      <c r="I883" s="118"/>
      <c r="J883" s="65"/>
      <c r="K883" s="74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</row>
    <row r="884" ht="15.75" customHeight="1">
      <c r="A884" s="32"/>
      <c r="B884" s="65"/>
      <c r="C884" s="65"/>
      <c r="D884" s="32"/>
      <c r="E884" s="32"/>
      <c r="F884" s="32"/>
      <c r="G884" s="65"/>
      <c r="H884" s="67"/>
      <c r="I884" s="118"/>
      <c r="J884" s="65"/>
      <c r="K884" s="74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</row>
    <row r="885" ht="15.75" customHeight="1">
      <c r="A885" s="32"/>
      <c r="B885" s="65"/>
      <c r="C885" s="65"/>
      <c r="D885" s="32"/>
      <c r="E885" s="32"/>
      <c r="F885" s="32"/>
      <c r="G885" s="65"/>
      <c r="H885" s="67"/>
      <c r="I885" s="118"/>
      <c r="J885" s="65"/>
      <c r="K885" s="74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</row>
    <row r="886" ht="15.75" customHeight="1">
      <c r="A886" s="32"/>
      <c r="B886" s="65"/>
      <c r="C886" s="65"/>
      <c r="D886" s="32"/>
      <c r="E886" s="32"/>
      <c r="F886" s="32"/>
      <c r="G886" s="65"/>
      <c r="H886" s="67"/>
      <c r="I886" s="118"/>
      <c r="J886" s="65"/>
      <c r="K886" s="74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</row>
    <row r="887" ht="15.75" customHeight="1">
      <c r="A887" s="32"/>
      <c r="B887" s="65"/>
      <c r="C887" s="65"/>
      <c r="D887" s="32"/>
      <c r="E887" s="32"/>
      <c r="F887" s="32"/>
      <c r="G887" s="65"/>
      <c r="H887" s="67"/>
      <c r="I887" s="118"/>
      <c r="J887" s="65"/>
      <c r="K887" s="74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</row>
    <row r="888" ht="15.75" customHeight="1">
      <c r="A888" s="32"/>
      <c r="B888" s="65"/>
      <c r="C888" s="65"/>
      <c r="D888" s="32"/>
      <c r="E888" s="32"/>
      <c r="F888" s="32"/>
      <c r="G888" s="65"/>
      <c r="H888" s="67"/>
      <c r="I888" s="118"/>
      <c r="J888" s="65"/>
      <c r="K888" s="74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</row>
    <row r="889" ht="15.75" customHeight="1">
      <c r="A889" s="32"/>
      <c r="B889" s="65"/>
      <c r="C889" s="65"/>
      <c r="D889" s="32"/>
      <c r="E889" s="32"/>
      <c r="F889" s="32"/>
      <c r="G889" s="65"/>
      <c r="H889" s="67"/>
      <c r="I889" s="118"/>
      <c r="J889" s="65"/>
      <c r="K889" s="74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</row>
    <row r="890" ht="15.75" customHeight="1">
      <c r="A890" s="32"/>
      <c r="B890" s="65"/>
      <c r="C890" s="65"/>
      <c r="D890" s="32"/>
      <c r="E890" s="32"/>
      <c r="F890" s="32"/>
      <c r="G890" s="65"/>
      <c r="H890" s="67"/>
      <c r="I890" s="118"/>
      <c r="J890" s="65"/>
      <c r="K890" s="74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</row>
    <row r="891" ht="15.75" customHeight="1">
      <c r="A891" s="32"/>
      <c r="B891" s="65"/>
      <c r="C891" s="65"/>
      <c r="D891" s="32"/>
      <c r="E891" s="32"/>
      <c r="F891" s="32"/>
      <c r="G891" s="65"/>
      <c r="H891" s="67"/>
      <c r="I891" s="118"/>
      <c r="J891" s="65"/>
      <c r="K891" s="74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</row>
    <row r="892" ht="15.75" customHeight="1">
      <c r="A892" s="32"/>
      <c r="B892" s="65"/>
      <c r="C892" s="65"/>
      <c r="D892" s="32"/>
      <c r="E892" s="32"/>
      <c r="F892" s="32"/>
      <c r="G892" s="65"/>
      <c r="H892" s="67"/>
      <c r="I892" s="118"/>
      <c r="J892" s="65"/>
      <c r="K892" s="74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 ht="15.75" customHeight="1">
      <c r="A893" s="32"/>
      <c r="B893" s="65"/>
      <c r="C893" s="65"/>
      <c r="D893" s="32"/>
      <c r="E893" s="32"/>
      <c r="F893" s="32"/>
      <c r="G893" s="65"/>
      <c r="H893" s="67"/>
      <c r="I893" s="118"/>
      <c r="J893" s="65"/>
      <c r="K893" s="74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</row>
    <row r="894" ht="15.75" customHeight="1">
      <c r="A894" s="32"/>
      <c r="B894" s="65"/>
      <c r="C894" s="65"/>
      <c r="D894" s="32"/>
      <c r="E894" s="32"/>
      <c r="F894" s="32"/>
      <c r="G894" s="65"/>
      <c r="H894" s="67"/>
      <c r="I894" s="118"/>
      <c r="J894" s="65"/>
      <c r="K894" s="74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</row>
    <row r="895" ht="15.75" customHeight="1">
      <c r="A895" s="32"/>
      <c r="B895" s="65"/>
      <c r="C895" s="65"/>
      <c r="D895" s="32"/>
      <c r="E895" s="32"/>
      <c r="F895" s="32"/>
      <c r="G895" s="65"/>
      <c r="H895" s="67"/>
      <c r="I895" s="118"/>
      <c r="J895" s="65"/>
      <c r="K895" s="74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</row>
    <row r="896" ht="15.75" customHeight="1">
      <c r="A896" s="32"/>
      <c r="B896" s="65"/>
      <c r="C896" s="65"/>
      <c r="D896" s="32"/>
      <c r="E896" s="32"/>
      <c r="F896" s="32"/>
      <c r="G896" s="65"/>
      <c r="H896" s="67"/>
      <c r="I896" s="118"/>
      <c r="J896" s="65"/>
      <c r="K896" s="74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</row>
    <row r="897" ht="15.75" customHeight="1">
      <c r="A897" s="32"/>
      <c r="B897" s="65"/>
      <c r="C897" s="65"/>
      <c r="D897" s="32"/>
      <c r="E897" s="32"/>
      <c r="F897" s="32"/>
      <c r="G897" s="65"/>
      <c r="H897" s="67"/>
      <c r="I897" s="118"/>
      <c r="J897" s="65"/>
      <c r="K897" s="74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</row>
    <row r="898" ht="15.75" customHeight="1">
      <c r="A898" s="32"/>
      <c r="B898" s="65"/>
      <c r="C898" s="65"/>
      <c r="D898" s="32"/>
      <c r="E898" s="32"/>
      <c r="F898" s="32"/>
      <c r="G898" s="65"/>
      <c r="H898" s="67"/>
      <c r="I898" s="118"/>
      <c r="J898" s="65"/>
      <c r="K898" s="74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</row>
    <row r="899" ht="15.75" customHeight="1">
      <c r="A899" s="32"/>
      <c r="B899" s="65"/>
      <c r="C899" s="65"/>
      <c r="D899" s="32"/>
      <c r="E899" s="32"/>
      <c r="F899" s="32"/>
      <c r="G899" s="65"/>
      <c r="H899" s="67"/>
      <c r="I899" s="118"/>
      <c r="J899" s="65"/>
      <c r="K899" s="74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</row>
    <row r="900" ht="15.75" customHeight="1">
      <c r="A900" s="32"/>
      <c r="B900" s="65"/>
      <c r="C900" s="65"/>
      <c r="D900" s="32"/>
      <c r="E900" s="32"/>
      <c r="F900" s="32"/>
      <c r="G900" s="65"/>
      <c r="H900" s="67"/>
      <c r="I900" s="118"/>
      <c r="J900" s="65"/>
      <c r="K900" s="74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</row>
    <row r="901" ht="15.75" customHeight="1">
      <c r="A901" s="32"/>
      <c r="B901" s="65"/>
      <c r="C901" s="65"/>
      <c r="D901" s="32"/>
      <c r="E901" s="32"/>
      <c r="F901" s="32"/>
      <c r="G901" s="65"/>
      <c r="H901" s="67"/>
      <c r="I901" s="118"/>
      <c r="J901" s="65"/>
      <c r="K901" s="74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 ht="15.75" customHeight="1">
      <c r="A902" s="32"/>
      <c r="B902" s="65"/>
      <c r="C902" s="65"/>
      <c r="D902" s="32"/>
      <c r="E902" s="32"/>
      <c r="F902" s="32"/>
      <c r="G902" s="65"/>
      <c r="H902" s="67"/>
      <c r="I902" s="118"/>
      <c r="J902" s="65"/>
      <c r="K902" s="74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</row>
    <row r="903" ht="15.75" customHeight="1">
      <c r="A903" s="32"/>
      <c r="B903" s="65"/>
      <c r="C903" s="65"/>
      <c r="D903" s="32"/>
      <c r="E903" s="32"/>
      <c r="F903" s="32"/>
      <c r="G903" s="65"/>
      <c r="H903" s="67"/>
      <c r="I903" s="118"/>
      <c r="J903" s="65"/>
      <c r="K903" s="74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</row>
    <row r="904" ht="15.75" customHeight="1">
      <c r="A904" s="32"/>
      <c r="B904" s="65"/>
      <c r="C904" s="65"/>
      <c r="D904" s="32"/>
      <c r="E904" s="32"/>
      <c r="F904" s="32"/>
      <c r="G904" s="65"/>
      <c r="H904" s="67"/>
      <c r="I904" s="118"/>
      <c r="J904" s="65"/>
      <c r="K904" s="74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</row>
    <row r="905" ht="15.75" customHeight="1">
      <c r="A905" s="32"/>
      <c r="B905" s="65"/>
      <c r="C905" s="65"/>
      <c r="D905" s="32"/>
      <c r="E905" s="32"/>
      <c r="F905" s="32"/>
      <c r="G905" s="65"/>
      <c r="H905" s="67"/>
      <c r="I905" s="118"/>
      <c r="J905" s="65"/>
      <c r="K905" s="74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</row>
    <row r="906" ht="15.75" customHeight="1">
      <c r="A906" s="32"/>
      <c r="B906" s="65"/>
      <c r="C906" s="65"/>
      <c r="D906" s="32"/>
      <c r="E906" s="32"/>
      <c r="F906" s="32"/>
      <c r="G906" s="65"/>
      <c r="H906" s="67"/>
      <c r="I906" s="118"/>
      <c r="J906" s="65"/>
      <c r="K906" s="74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</row>
    <row r="907" ht="15.75" customHeight="1">
      <c r="A907" s="32"/>
      <c r="B907" s="65"/>
      <c r="C907" s="65"/>
      <c r="D907" s="32"/>
      <c r="E907" s="32"/>
      <c r="F907" s="32"/>
      <c r="G907" s="65"/>
      <c r="H907" s="67"/>
      <c r="I907" s="118"/>
      <c r="J907" s="65"/>
      <c r="K907" s="74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</row>
    <row r="908" ht="15.75" customHeight="1">
      <c r="A908" s="32"/>
      <c r="B908" s="65"/>
      <c r="C908" s="65"/>
      <c r="D908" s="32"/>
      <c r="E908" s="32"/>
      <c r="F908" s="32"/>
      <c r="G908" s="65"/>
      <c r="H908" s="67"/>
      <c r="I908" s="118"/>
      <c r="J908" s="65"/>
      <c r="K908" s="74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</row>
    <row r="909" ht="15.75" customHeight="1">
      <c r="A909" s="32"/>
      <c r="B909" s="65"/>
      <c r="C909" s="65"/>
      <c r="D909" s="32"/>
      <c r="E909" s="32"/>
      <c r="F909" s="32"/>
      <c r="G909" s="65"/>
      <c r="H909" s="67"/>
      <c r="I909" s="118"/>
      <c r="J909" s="65"/>
      <c r="K909" s="74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</row>
    <row r="910" ht="15.75" customHeight="1">
      <c r="A910" s="32"/>
      <c r="B910" s="65"/>
      <c r="C910" s="65"/>
      <c r="D910" s="32"/>
      <c r="E910" s="32"/>
      <c r="F910" s="32"/>
      <c r="G910" s="65"/>
      <c r="H910" s="67"/>
      <c r="I910" s="118"/>
      <c r="J910" s="65"/>
      <c r="K910" s="74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</row>
    <row r="911" ht="15.75" customHeight="1">
      <c r="A911" s="32"/>
      <c r="B911" s="65"/>
      <c r="C911" s="65"/>
      <c r="D911" s="32"/>
      <c r="E911" s="32"/>
      <c r="F911" s="32"/>
      <c r="G911" s="65"/>
      <c r="H911" s="67"/>
      <c r="I911" s="118"/>
      <c r="J911" s="65"/>
      <c r="K911" s="74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</row>
    <row r="912" ht="15.75" customHeight="1">
      <c r="A912" s="32"/>
      <c r="B912" s="65"/>
      <c r="C912" s="65"/>
      <c r="D912" s="32"/>
      <c r="E912" s="32"/>
      <c r="F912" s="32"/>
      <c r="G912" s="65"/>
      <c r="H912" s="67"/>
      <c r="I912" s="118"/>
      <c r="J912" s="65"/>
      <c r="K912" s="74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</row>
    <row r="913" ht="15.75" customHeight="1">
      <c r="A913" s="32"/>
      <c r="B913" s="65"/>
      <c r="C913" s="65"/>
      <c r="D913" s="32"/>
      <c r="E913" s="32"/>
      <c r="F913" s="32"/>
      <c r="G913" s="65"/>
      <c r="H913" s="67"/>
      <c r="I913" s="118"/>
      <c r="J913" s="65"/>
      <c r="K913" s="74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</row>
    <row r="914" ht="15.75" customHeight="1">
      <c r="A914" s="32"/>
      <c r="B914" s="65"/>
      <c r="C914" s="65"/>
      <c r="D914" s="32"/>
      <c r="E914" s="32"/>
      <c r="F914" s="32"/>
      <c r="G914" s="65"/>
      <c r="H914" s="67"/>
      <c r="I914" s="118"/>
      <c r="J914" s="65"/>
      <c r="K914" s="74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</row>
    <row r="915" ht="15.75" customHeight="1">
      <c r="A915" s="32"/>
      <c r="B915" s="65"/>
      <c r="C915" s="65"/>
      <c r="D915" s="32"/>
      <c r="E915" s="32"/>
      <c r="F915" s="32"/>
      <c r="G915" s="65"/>
      <c r="H915" s="67"/>
      <c r="I915" s="118"/>
      <c r="J915" s="65"/>
      <c r="K915" s="74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</row>
    <row r="916" ht="15.75" customHeight="1">
      <c r="A916" s="32"/>
      <c r="B916" s="65"/>
      <c r="C916" s="65"/>
      <c r="D916" s="32"/>
      <c r="E916" s="32"/>
      <c r="F916" s="32"/>
      <c r="G916" s="65"/>
      <c r="H916" s="67"/>
      <c r="I916" s="118"/>
      <c r="J916" s="65"/>
      <c r="K916" s="74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</row>
    <row r="917" ht="15.75" customHeight="1">
      <c r="A917" s="32"/>
      <c r="B917" s="65"/>
      <c r="C917" s="65"/>
      <c r="D917" s="32"/>
      <c r="E917" s="32"/>
      <c r="F917" s="32"/>
      <c r="G917" s="65"/>
      <c r="H917" s="67"/>
      <c r="I917" s="118"/>
      <c r="J917" s="65"/>
      <c r="K917" s="74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</row>
    <row r="918" ht="15.75" customHeight="1">
      <c r="A918" s="32"/>
      <c r="B918" s="65"/>
      <c r="C918" s="65"/>
      <c r="D918" s="32"/>
      <c r="E918" s="32"/>
      <c r="F918" s="32"/>
      <c r="G918" s="65"/>
      <c r="H918" s="67"/>
      <c r="I918" s="118"/>
      <c r="J918" s="65"/>
      <c r="K918" s="74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 ht="15.75" customHeight="1">
      <c r="A919" s="32"/>
      <c r="B919" s="65"/>
      <c r="C919" s="65"/>
      <c r="D919" s="32"/>
      <c r="E919" s="32"/>
      <c r="F919" s="32"/>
      <c r="G919" s="65"/>
      <c r="H919" s="67"/>
      <c r="I919" s="118"/>
      <c r="J919" s="65"/>
      <c r="K919" s="74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</row>
    <row r="920" ht="15.75" customHeight="1">
      <c r="A920" s="32"/>
      <c r="B920" s="65"/>
      <c r="C920" s="65"/>
      <c r="D920" s="32"/>
      <c r="E920" s="32"/>
      <c r="F920" s="32"/>
      <c r="G920" s="65"/>
      <c r="H920" s="67"/>
      <c r="I920" s="118"/>
      <c r="J920" s="65"/>
      <c r="K920" s="74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</row>
    <row r="921" ht="15.75" customHeight="1">
      <c r="A921" s="32"/>
      <c r="B921" s="65"/>
      <c r="C921" s="65"/>
      <c r="D921" s="32"/>
      <c r="E921" s="32"/>
      <c r="F921" s="32"/>
      <c r="G921" s="65"/>
      <c r="H921" s="67"/>
      <c r="I921" s="118"/>
      <c r="J921" s="65"/>
      <c r="K921" s="74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</row>
    <row r="922" ht="15.75" customHeight="1">
      <c r="A922" s="32"/>
      <c r="B922" s="65"/>
      <c r="C922" s="65"/>
      <c r="D922" s="32"/>
      <c r="E922" s="32"/>
      <c r="F922" s="32"/>
      <c r="G922" s="65"/>
      <c r="H922" s="67"/>
      <c r="I922" s="118"/>
      <c r="J922" s="65"/>
      <c r="K922" s="74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</row>
    <row r="923" ht="15.75" customHeight="1">
      <c r="A923" s="32"/>
      <c r="B923" s="65"/>
      <c r="C923" s="65"/>
      <c r="D923" s="32"/>
      <c r="E923" s="32"/>
      <c r="F923" s="32"/>
      <c r="G923" s="65"/>
      <c r="H923" s="67"/>
      <c r="I923" s="118"/>
      <c r="J923" s="65"/>
      <c r="K923" s="74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</row>
    <row r="924" ht="15.75" customHeight="1">
      <c r="A924" s="32"/>
      <c r="B924" s="65"/>
      <c r="C924" s="65"/>
      <c r="D924" s="32"/>
      <c r="E924" s="32"/>
      <c r="F924" s="32"/>
      <c r="G924" s="65"/>
      <c r="H924" s="67"/>
      <c r="I924" s="118"/>
      <c r="J924" s="65"/>
      <c r="K924" s="74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 ht="15.75" customHeight="1">
      <c r="A925" s="32"/>
      <c r="B925" s="65"/>
      <c r="C925" s="65"/>
      <c r="D925" s="32"/>
      <c r="E925" s="32"/>
      <c r="F925" s="32"/>
      <c r="G925" s="65"/>
      <c r="H925" s="67"/>
      <c r="I925" s="118"/>
      <c r="J925" s="65"/>
      <c r="K925" s="74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</row>
    <row r="926" ht="15.75" customHeight="1">
      <c r="A926" s="32"/>
      <c r="B926" s="65"/>
      <c r="C926" s="65"/>
      <c r="D926" s="32"/>
      <c r="E926" s="32"/>
      <c r="F926" s="32"/>
      <c r="G926" s="65"/>
      <c r="H926" s="67"/>
      <c r="I926" s="118"/>
      <c r="J926" s="65"/>
      <c r="K926" s="74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</row>
    <row r="927" ht="15.75" customHeight="1">
      <c r="A927" s="32"/>
      <c r="B927" s="65"/>
      <c r="C927" s="65"/>
      <c r="D927" s="32"/>
      <c r="E927" s="32"/>
      <c r="F927" s="32"/>
      <c r="G927" s="65"/>
      <c r="H927" s="67"/>
      <c r="I927" s="118"/>
      <c r="J927" s="65"/>
      <c r="K927" s="74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</row>
    <row r="928" ht="15.75" customHeight="1">
      <c r="A928" s="32"/>
      <c r="B928" s="65"/>
      <c r="C928" s="65"/>
      <c r="D928" s="32"/>
      <c r="E928" s="32"/>
      <c r="F928" s="32"/>
      <c r="G928" s="65"/>
      <c r="H928" s="67"/>
      <c r="I928" s="118"/>
      <c r="J928" s="65"/>
      <c r="K928" s="74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</row>
    <row r="929" ht="15.75" customHeight="1">
      <c r="A929" s="32"/>
      <c r="B929" s="65"/>
      <c r="C929" s="65"/>
      <c r="D929" s="32"/>
      <c r="E929" s="32"/>
      <c r="F929" s="32"/>
      <c r="G929" s="65"/>
      <c r="H929" s="67"/>
      <c r="I929" s="118"/>
      <c r="J929" s="65"/>
      <c r="K929" s="74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</row>
    <row r="930" ht="15.75" customHeight="1">
      <c r="A930" s="32"/>
      <c r="B930" s="65"/>
      <c r="C930" s="65"/>
      <c r="D930" s="32"/>
      <c r="E930" s="32"/>
      <c r="F930" s="32"/>
      <c r="G930" s="65"/>
      <c r="H930" s="67"/>
      <c r="I930" s="118"/>
      <c r="J930" s="65"/>
      <c r="K930" s="74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 ht="15.75" customHeight="1">
      <c r="A931" s="32"/>
      <c r="B931" s="65"/>
      <c r="C931" s="65"/>
      <c r="D931" s="32"/>
      <c r="E931" s="32"/>
      <c r="F931" s="32"/>
      <c r="G931" s="65"/>
      <c r="H931" s="67"/>
      <c r="I931" s="118"/>
      <c r="J931" s="65"/>
      <c r="K931" s="74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</row>
    <row r="932" ht="15.75" customHeight="1">
      <c r="A932" s="32"/>
      <c r="B932" s="65"/>
      <c r="C932" s="65"/>
      <c r="D932" s="32"/>
      <c r="E932" s="32"/>
      <c r="F932" s="32"/>
      <c r="G932" s="65"/>
      <c r="H932" s="67"/>
      <c r="I932" s="118"/>
      <c r="J932" s="65"/>
      <c r="K932" s="74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</row>
    <row r="933" ht="15.75" customHeight="1">
      <c r="A933" s="32"/>
      <c r="B933" s="65"/>
      <c r="C933" s="65"/>
      <c r="D933" s="32"/>
      <c r="E933" s="32"/>
      <c r="F933" s="32"/>
      <c r="G933" s="65"/>
      <c r="H933" s="67"/>
      <c r="I933" s="118"/>
      <c r="J933" s="65"/>
      <c r="K933" s="74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</row>
    <row r="934" ht="15.75" customHeight="1">
      <c r="A934" s="32"/>
      <c r="B934" s="65"/>
      <c r="C934" s="65"/>
      <c r="D934" s="32"/>
      <c r="E934" s="32"/>
      <c r="F934" s="32"/>
      <c r="G934" s="65"/>
      <c r="H934" s="67"/>
      <c r="I934" s="118"/>
      <c r="J934" s="65"/>
      <c r="K934" s="74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</row>
    <row r="935" ht="15.75" customHeight="1">
      <c r="A935" s="32"/>
      <c r="B935" s="65"/>
      <c r="C935" s="65"/>
      <c r="D935" s="32"/>
      <c r="E935" s="32"/>
      <c r="F935" s="32"/>
      <c r="G935" s="65"/>
      <c r="H935" s="67"/>
      <c r="I935" s="118"/>
      <c r="J935" s="65"/>
      <c r="K935" s="74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</row>
    <row r="936" ht="15.75" customHeight="1">
      <c r="A936" s="32"/>
      <c r="B936" s="65"/>
      <c r="C936" s="65"/>
      <c r="D936" s="32"/>
      <c r="E936" s="32"/>
      <c r="F936" s="32"/>
      <c r="G936" s="65"/>
      <c r="H936" s="67"/>
      <c r="I936" s="118"/>
      <c r="J936" s="65"/>
      <c r="K936" s="74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 ht="15.75" customHeight="1">
      <c r="A937" s="32"/>
      <c r="B937" s="65"/>
      <c r="C937" s="65"/>
      <c r="D937" s="32"/>
      <c r="E937" s="32"/>
      <c r="F937" s="32"/>
      <c r="G937" s="65"/>
      <c r="H937" s="67"/>
      <c r="I937" s="118"/>
      <c r="J937" s="65"/>
      <c r="K937" s="74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</row>
    <row r="938" ht="15.75" customHeight="1">
      <c r="A938" s="32"/>
      <c r="B938" s="65"/>
      <c r="C938" s="65"/>
      <c r="D938" s="32"/>
      <c r="E938" s="32"/>
      <c r="F938" s="32"/>
      <c r="G938" s="65"/>
      <c r="H938" s="67"/>
      <c r="I938" s="118"/>
      <c r="J938" s="65"/>
      <c r="K938" s="74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</row>
    <row r="939" ht="15.75" customHeight="1">
      <c r="A939" s="32"/>
      <c r="B939" s="65"/>
      <c r="C939" s="65"/>
      <c r="D939" s="32"/>
      <c r="E939" s="32"/>
      <c r="F939" s="32"/>
      <c r="G939" s="65"/>
      <c r="H939" s="67"/>
      <c r="I939" s="118"/>
      <c r="J939" s="65"/>
      <c r="K939" s="74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</row>
    <row r="940" ht="15.75" customHeight="1">
      <c r="A940" s="32"/>
      <c r="B940" s="65"/>
      <c r="C940" s="65"/>
      <c r="D940" s="32"/>
      <c r="E940" s="32"/>
      <c r="F940" s="32"/>
      <c r="G940" s="65"/>
      <c r="H940" s="67"/>
      <c r="I940" s="118"/>
      <c r="J940" s="65"/>
      <c r="K940" s="74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</row>
    <row r="941" ht="15.75" customHeight="1">
      <c r="A941" s="32"/>
      <c r="B941" s="65"/>
      <c r="C941" s="65"/>
      <c r="D941" s="32"/>
      <c r="E941" s="32"/>
      <c r="F941" s="32"/>
      <c r="G941" s="65"/>
      <c r="H941" s="67"/>
      <c r="I941" s="118"/>
      <c r="J941" s="65"/>
      <c r="K941" s="74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</row>
    <row r="942" ht="15.75" customHeight="1">
      <c r="A942" s="32"/>
      <c r="B942" s="65"/>
      <c r="C942" s="65"/>
      <c r="D942" s="32"/>
      <c r="E942" s="32"/>
      <c r="F942" s="32"/>
      <c r="G942" s="65"/>
      <c r="H942" s="67"/>
      <c r="I942" s="118"/>
      <c r="J942" s="65"/>
      <c r="K942" s="74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</row>
    <row r="943" ht="15.75" customHeight="1">
      <c r="A943" s="32"/>
      <c r="B943" s="65"/>
      <c r="C943" s="65"/>
      <c r="D943" s="32"/>
      <c r="E943" s="32"/>
      <c r="F943" s="32"/>
      <c r="G943" s="65"/>
      <c r="H943" s="67"/>
      <c r="I943" s="118"/>
      <c r="J943" s="65"/>
      <c r="K943" s="74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</row>
    <row r="944" ht="15.75" customHeight="1">
      <c r="A944" s="32"/>
      <c r="B944" s="65"/>
      <c r="C944" s="65"/>
      <c r="D944" s="32"/>
      <c r="E944" s="32"/>
      <c r="F944" s="32"/>
      <c r="G944" s="65"/>
      <c r="H944" s="67"/>
      <c r="I944" s="118"/>
      <c r="J944" s="65"/>
      <c r="K944" s="74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</row>
    <row r="945" ht="15.75" customHeight="1">
      <c r="A945" s="32"/>
      <c r="B945" s="65"/>
      <c r="C945" s="65"/>
      <c r="D945" s="32"/>
      <c r="E945" s="32"/>
      <c r="F945" s="32"/>
      <c r="G945" s="65"/>
      <c r="H945" s="67"/>
      <c r="I945" s="118"/>
      <c r="J945" s="65"/>
      <c r="K945" s="74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</row>
    <row r="946" ht="15.75" customHeight="1">
      <c r="A946" s="32"/>
      <c r="B946" s="65"/>
      <c r="C946" s="65"/>
      <c r="D946" s="32"/>
      <c r="E946" s="32"/>
      <c r="F946" s="32"/>
      <c r="G946" s="65"/>
      <c r="H946" s="67"/>
      <c r="I946" s="118"/>
      <c r="J946" s="65"/>
      <c r="K946" s="74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</row>
    <row r="947" ht="15.75" customHeight="1">
      <c r="A947" s="32"/>
      <c r="B947" s="65"/>
      <c r="C947" s="65"/>
      <c r="D947" s="32"/>
      <c r="E947" s="32"/>
      <c r="F947" s="32"/>
      <c r="G947" s="65"/>
      <c r="H947" s="67"/>
      <c r="I947" s="118"/>
      <c r="J947" s="65"/>
      <c r="K947" s="74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</row>
    <row r="948" ht="15.75" customHeight="1">
      <c r="A948" s="32"/>
      <c r="B948" s="65"/>
      <c r="C948" s="65"/>
      <c r="D948" s="32"/>
      <c r="E948" s="32"/>
      <c r="F948" s="32"/>
      <c r="G948" s="65"/>
      <c r="H948" s="67"/>
      <c r="I948" s="118"/>
      <c r="J948" s="65"/>
      <c r="K948" s="74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</row>
    <row r="949" ht="15.75" customHeight="1">
      <c r="A949" s="32"/>
      <c r="B949" s="65"/>
      <c r="C949" s="65"/>
      <c r="D949" s="32"/>
      <c r="E949" s="32"/>
      <c r="F949" s="32"/>
      <c r="G949" s="65"/>
      <c r="H949" s="67"/>
      <c r="I949" s="118"/>
      <c r="J949" s="65"/>
      <c r="K949" s="74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</row>
    <row r="950" ht="15.75" customHeight="1">
      <c r="A950" s="32"/>
      <c r="B950" s="65"/>
      <c r="C950" s="65"/>
      <c r="D950" s="32"/>
      <c r="E950" s="32"/>
      <c r="F950" s="32"/>
      <c r="G950" s="65"/>
      <c r="H950" s="67"/>
      <c r="I950" s="118"/>
      <c r="J950" s="65"/>
      <c r="K950" s="74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</row>
    <row r="951" ht="15.75" customHeight="1">
      <c r="A951" s="32"/>
      <c r="B951" s="65"/>
      <c r="C951" s="65"/>
      <c r="D951" s="32"/>
      <c r="E951" s="32"/>
      <c r="F951" s="32"/>
      <c r="G951" s="65"/>
      <c r="H951" s="67"/>
      <c r="I951" s="118"/>
      <c r="J951" s="65"/>
      <c r="K951" s="74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</row>
    <row r="952" ht="15.75" customHeight="1">
      <c r="A952" s="32"/>
      <c r="B952" s="65"/>
      <c r="C952" s="65"/>
      <c r="D952" s="32"/>
      <c r="E952" s="32"/>
      <c r="F952" s="32"/>
      <c r="G952" s="65"/>
      <c r="H952" s="67"/>
      <c r="I952" s="118"/>
      <c r="J952" s="65"/>
      <c r="K952" s="74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</row>
    <row r="953" ht="15.75" customHeight="1">
      <c r="A953" s="32"/>
      <c r="B953" s="65"/>
      <c r="C953" s="65"/>
      <c r="D953" s="32"/>
      <c r="E953" s="32"/>
      <c r="F953" s="32"/>
      <c r="G953" s="65"/>
      <c r="H953" s="67"/>
      <c r="I953" s="118"/>
      <c r="J953" s="65"/>
      <c r="K953" s="74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</row>
    <row r="954" ht="15.75" customHeight="1">
      <c r="A954" s="32"/>
      <c r="B954" s="65"/>
      <c r="C954" s="65"/>
      <c r="D954" s="32"/>
      <c r="E954" s="32"/>
      <c r="F954" s="32"/>
      <c r="G954" s="65"/>
      <c r="H954" s="67"/>
      <c r="I954" s="118"/>
      <c r="J954" s="65"/>
      <c r="K954" s="74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</row>
    <row r="955" ht="15.75" customHeight="1">
      <c r="A955" s="32"/>
      <c r="B955" s="65"/>
      <c r="C955" s="65"/>
      <c r="D955" s="32"/>
      <c r="E955" s="32"/>
      <c r="F955" s="32"/>
      <c r="G955" s="65"/>
      <c r="H955" s="67"/>
      <c r="I955" s="118"/>
      <c r="J955" s="65"/>
      <c r="K955" s="74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</row>
    <row r="956" ht="15.75" customHeight="1">
      <c r="A956" s="32"/>
      <c r="B956" s="65"/>
      <c r="C956" s="65"/>
      <c r="D956" s="32"/>
      <c r="E956" s="32"/>
      <c r="F956" s="32"/>
      <c r="G956" s="65"/>
      <c r="H956" s="67"/>
      <c r="I956" s="118"/>
      <c r="J956" s="65"/>
      <c r="K956" s="74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</row>
    <row r="957" ht="15.75" customHeight="1">
      <c r="A957" s="32"/>
      <c r="B957" s="65"/>
      <c r="C957" s="65"/>
      <c r="D957" s="32"/>
      <c r="E957" s="32"/>
      <c r="F957" s="32"/>
      <c r="G957" s="65"/>
      <c r="H957" s="67"/>
      <c r="I957" s="118"/>
      <c r="J957" s="65"/>
      <c r="K957" s="74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</row>
    <row r="958" ht="15.75" customHeight="1">
      <c r="A958" s="32"/>
      <c r="B958" s="65"/>
      <c r="C958" s="65"/>
      <c r="D958" s="32"/>
      <c r="E958" s="32"/>
      <c r="F958" s="32"/>
      <c r="G958" s="65"/>
      <c r="H958" s="67"/>
      <c r="I958" s="118"/>
      <c r="J958" s="65"/>
      <c r="K958" s="74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</row>
    <row r="959" ht="15.75" customHeight="1">
      <c r="A959" s="32"/>
      <c r="B959" s="65"/>
      <c r="C959" s="65"/>
      <c r="D959" s="32"/>
      <c r="E959" s="32"/>
      <c r="F959" s="32"/>
      <c r="G959" s="65"/>
      <c r="H959" s="67"/>
      <c r="I959" s="118"/>
      <c r="J959" s="65"/>
      <c r="K959" s="74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</row>
    <row r="960" ht="15.75" customHeight="1">
      <c r="A960" s="32"/>
      <c r="B960" s="65"/>
      <c r="C960" s="65"/>
      <c r="D960" s="32"/>
      <c r="E960" s="32"/>
      <c r="F960" s="32"/>
      <c r="G960" s="65"/>
      <c r="H960" s="67"/>
      <c r="I960" s="118"/>
      <c r="J960" s="65"/>
      <c r="K960" s="74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</row>
    <row r="961" ht="15.75" customHeight="1">
      <c r="A961" s="32"/>
      <c r="B961" s="65"/>
      <c r="C961" s="65"/>
      <c r="D961" s="32"/>
      <c r="E961" s="32"/>
      <c r="F961" s="32"/>
      <c r="G961" s="65"/>
      <c r="H961" s="67"/>
      <c r="I961" s="118"/>
      <c r="J961" s="65"/>
      <c r="K961" s="74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</row>
    <row r="962" ht="15.75" customHeight="1">
      <c r="A962" s="32"/>
      <c r="B962" s="65"/>
      <c r="C962" s="65"/>
      <c r="D962" s="32"/>
      <c r="E962" s="32"/>
      <c r="F962" s="32"/>
      <c r="G962" s="65"/>
      <c r="H962" s="67"/>
      <c r="I962" s="118"/>
      <c r="J962" s="65"/>
      <c r="K962" s="74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</row>
    <row r="963" ht="15.75" customHeight="1">
      <c r="A963" s="32"/>
      <c r="B963" s="65"/>
      <c r="C963" s="65"/>
      <c r="D963" s="32"/>
      <c r="E963" s="32"/>
      <c r="F963" s="32"/>
      <c r="G963" s="65"/>
      <c r="H963" s="67"/>
      <c r="I963" s="118"/>
      <c r="J963" s="65"/>
      <c r="K963" s="74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</row>
    <row r="964" ht="15.75" customHeight="1">
      <c r="A964" s="32"/>
      <c r="B964" s="65"/>
      <c r="C964" s="65"/>
      <c r="D964" s="32"/>
      <c r="E964" s="32"/>
      <c r="F964" s="32"/>
      <c r="G964" s="65"/>
      <c r="H964" s="67"/>
      <c r="I964" s="118"/>
      <c r="J964" s="65"/>
      <c r="K964" s="74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</row>
    <row r="965" ht="15.75" customHeight="1">
      <c r="A965" s="32"/>
      <c r="B965" s="65"/>
      <c r="C965" s="65"/>
      <c r="D965" s="32"/>
      <c r="E965" s="32"/>
      <c r="F965" s="32"/>
      <c r="G965" s="65"/>
      <c r="H965" s="67"/>
      <c r="I965" s="118"/>
      <c r="J965" s="65"/>
      <c r="K965" s="74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</row>
    <row r="966" ht="15.75" customHeight="1">
      <c r="A966" s="32"/>
      <c r="B966" s="65"/>
      <c r="C966" s="65"/>
      <c r="D966" s="32"/>
      <c r="E966" s="32"/>
      <c r="F966" s="32"/>
      <c r="G966" s="65"/>
      <c r="H966" s="67"/>
      <c r="I966" s="118"/>
      <c r="J966" s="65"/>
      <c r="K966" s="74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</row>
    <row r="967" ht="15.75" customHeight="1">
      <c r="A967" s="32"/>
      <c r="B967" s="65"/>
      <c r="C967" s="65"/>
      <c r="D967" s="32"/>
      <c r="E967" s="32"/>
      <c r="F967" s="32"/>
      <c r="G967" s="65"/>
      <c r="H967" s="67"/>
      <c r="I967" s="118"/>
      <c r="J967" s="65"/>
      <c r="K967" s="74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</row>
    <row r="968" ht="15.75" customHeight="1">
      <c r="A968" s="32"/>
      <c r="B968" s="65"/>
      <c r="C968" s="65"/>
      <c r="D968" s="32"/>
      <c r="E968" s="32"/>
      <c r="F968" s="32"/>
      <c r="G968" s="65"/>
      <c r="H968" s="67"/>
      <c r="I968" s="118"/>
      <c r="J968" s="65"/>
      <c r="K968" s="74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</row>
    <row r="969" ht="15.75" customHeight="1">
      <c r="A969" s="32"/>
      <c r="B969" s="65"/>
      <c r="C969" s="65"/>
      <c r="D969" s="32"/>
      <c r="E969" s="32"/>
      <c r="F969" s="32"/>
      <c r="G969" s="65"/>
      <c r="H969" s="67"/>
      <c r="I969" s="118"/>
      <c r="J969" s="65"/>
      <c r="K969" s="74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</row>
    <row r="970" ht="15.75" customHeight="1">
      <c r="A970" s="32"/>
      <c r="B970" s="65"/>
      <c r="C970" s="65"/>
      <c r="D970" s="32"/>
      <c r="E970" s="32"/>
      <c r="F970" s="32"/>
      <c r="G970" s="65"/>
      <c r="H970" s="67"/>
      <c r="I970" s="118"/>
      <c r="J970" s="65"/>
      <c r="K970" s="74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</row>
    <row r="971" ht="15.75" customHeight="1">
      <c r="A971" s="32"/>
      <c r="B971" s="65"/>
      <c r="C971" s="65"/>
      <c r="D971" s="32"/>
      <c r="E971" s="32"/>
      <c r="F971" s="32"/>
      <c r="G971" s="65"/>
      <c r="H971" s="67"/>
      <c r="I971" s="118"/>
      <c r="J971" s="65"/>
      <c r="K971" s="74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</row>
    <row r="972" ht="15.75" customHeight="1">
      <c r="A972" s="32"/>
      <c r="B972" s="65"/>
      <c r="C972" s="65"/>
      <c r="D972" s="32"/>
      <c r="E972" s="32"/>
      <c r="F972" s="32"/>
      <c r="G972" s="65"/>
      <c r="H972" s="67"/>
      <c r="I972" s="118"/>
      <c r="J972" s="65"/>
      <c r="K972" s="74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</row>
    <row r="973" ht="15.75" customHeight="1">
      <c r="A973" s="32"/>
      <c r="B973" s="65"/>
      <c r="C973" s="65"/>
      <c r="D973" s="32"/>
      <c r="E973" s="32"/>
      <c r="F973" s="32"/>
      <c r="G973" s="65"/>
      <c r="H973" s="67"/>
      <c r="I973" s="118"/>
      <c r="J973" s="65"/>
      <c r="K973" s="74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</row>
    <row r="974" ht="15.75" customHeight="1">
      <c r="A974" s="32"/>
      <c r="B974" s="65"/>
      <c r="C974" s="65"/>
      <c r="D974" s="32"/>
      <c r="E974" s="32"/>
      <c r="F974" s="32"/>
      <c r="G974" s="65"/>
      <c r="H974" s="67"/>
      <c r="I974" s="118"/>
      <c r="J974" s="65"/>
      <c r="K974" s="74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</row>
    <row r="975" ht="15.75" customHeight="1">
      <c r="A975" s="32"/>
      <c r="B975" s="65"/>
      <c r="C975" s="65"/>
      <c r="D975" s="32"/>
      <c r="E975" s="32"/>
      <c r="F975" s="32"/>
      <c r="G975" s="65"/>
      <c r="H975" s="67"/>
      <c r="I975" s="118"/>
      <c r="J975" s="65"/>
      <c r="K975" s="74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</row>
    <row r="976" ht="15.75" customHeight="1">
      <c r="A976" s="32"/>
      <c r="B976" s="65"/>
      <c r="C976" s="65"/>
      <c r="D976" s="32"/>
      <c r="E976" s="32"/>
      <c r="F976" s="32"/>
      <c r="G976" s="65"/>
      <c r="H976" s="67"/>
      <c r="I976" s="118"/>
      <c r="J976" s="65"/>
      <c r="K976" s="74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</row>
    <row r="977" ht="15.75" customHeight="1">
      <c r="A977" s="32"/>
      <c r="B977" s="65"/>
      <c r="C977" s="65"/>
      <c r="D977" s="32"/>
      <c r="E977" s="32"/>
      <c r="F977" s="32"/>
      <c r="G977" s="65"/>
      <c r="H977" s="67"/>
      <c r="I977" s="118"/>
      <c r="J977" s="65"/>
      <c r="K977" s="74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</row>
    <row r="978" ht="15.75" customHeight="1">
      <c r="A978" s="32"/>
      <c r="B978" s="65"/>
      <c r="C978" s="65"/>
      <c r="D978" s="32"/>
      <c r="E978" s="32"/>
      <c r="F978" s="32"/>
      <c r="G978" s="65"/>
      <c r="H978" s="67"/>
      <c r="I978" s="118"/>
      <c r="J978" s="65"/>
      <c r="K978" s="74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</row>
    <row r="979" ht="15.75" customHeight="1">
      <c r="A979" s="32"/>
      <c r="B979" s="65"/>
      <c r="C979" s="65"/>
      <c r="D979" s="32"/>
      <c r="E979" s="32"/>
      <c r="F979" s="32"/>
      <c r="G979" s="65"/>
      <c r="H979" s="67"/>
      <c r="I979" s="118"/>
      <c r="J979" s="65"/>
      <c r="K979" s="74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</row>
    <row r="980" ht="15.75" customHeight="1">
      <c r="A980" s="32"/>
      <c r="B980" s="65"/>
      <c r="C980" s="65"/>
      <c r="D980" s="32"/>
      <c r="E980" s="32"/>
      <c r="F980" s="32"/>
      <c r="G980" s="65"/>
      <c r="H980" s="67"/>
      <c r="I980" s="118"/>
      <c r="J980" s="65"/>
      <c r="K980" s="74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</row>
    <row r="981" ht="15.75" customHeight="1">
      <c r="A981" s="32"/>
      <c r="B981" s="65"/>
      <c r="C981" s="65"/>
      <c r="D981" s="32"/>
      <c r="E981" s="32"/>
      <c r="F981" s="32"/>
      <c r="G981" s="65"/>
      <c r="H981" s="67"/>
      <c r="I981" s="118"/>
      <c r="J981" s="65"/>
      <c r="K981" s="74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</row>
    <row r="982" ht="15.75" customHeight="1">
      <c r="A982" s="32"/>
      <c r="B982" s="65"/>
      <c r="C982" s="65"/>
      <c r="D982" s="32"/>
      <c r="E982" s="32"/>
      <c r="F982" s="32"/>
      <c r="G982" s="65"/>
      <c r="H982" s="67"/>
      <c r="I982" s="118"/>
      <c r="J982" s="65"/>
      <c r="K982" s="74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</row>
    <row r="983" ht="15.75" customHeight="1">
      <c r="A983" s="32"/>
      <c r="B983" s="65"/>
      <c r="C983" s="65"/>
      <c r="D983" s="32"/>
      <c r="E983" s="32"/>
      <c r="F983" s="32"/>
      <c r="G983" s="65"/>
      <c r="H983" s="67"/>
      <c r="I983" s="118"/>
      <c r="J983" s="65"/>
      <c r="K983" s="74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</row>
    <row r="984" ht="15.75" customHeight="1">
      <c r="A984" s="32"/>
      <c r="B984" s="65"/>
      <c r="C984" s="65"/>
      <c r="D984" s="32"/>
      <c r="E984" s="32"/>
      <c r="F984" s="32"/>
      <c r="G984" s="65"/>
      <c r="H984" s="67"/>
      <c r="I984" s="118"/>
      <c r="J984" s="65"/>
      <c r="K984" s="74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 ht="15.75" customHeight="1">
      <c r="A985" s="32"/>
      <c r="B985" s="65"/>
      <c r="C985" s="65"/>
      <c r="D985" s="32"/>
      <c r="E985" s="32"/>
      <c r="F985" s="32"/>
      <c r="G985" s="65"/>
      <c r="H985" s="67"/>
      <c r="I985" s="118"/>
      <c r="J985" s="65"/>
      <c r="K985" s="74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</row>
    <row r="986" ht="15.75" customHeight="1">
      <c r="A986" s="32"/>
      <c r="B986" s="65"/>
      <c r="C986" s="65"/>
      <c r="D986" s="32"/>
      <c r="E986" s="32"/>
      <c r="F986" s="32"/>
      <c r="G986" s="65"/>
      <c r="H986" s="67"/>
      <c r="I986" s="118"/>
      <c r="J986" s="65"/>
      <c r="K986" s="74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</row>
    <row r="987" ht="15.75" customHeight="1">
      <c r="A987" s="32"/>
      <c r="B987" s="65"/>
      <c r="C987" s="65"/>
      <c r="D987" s="32"/>
      <c r="E987" s="32"/>
      <c r="F987" s="32"/>
      <c r="G987" s="65"/>
      <c r="H987" s="67"/>
      <c r="I987" s="118"/>
      <c r="J987" s="65"/>
      <c r="K987" s="74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</row>
    <row r="988" ht="15.75" customHeight="1">
      <c r="A988" s="32"/>
      <c r="B988" s="65"/>
      <c r="C988" s="65"/>
      <c r="D988" s="32"/>
      <c r="E988" s="32"/>
      <c r="F988" s="32"/>
      <c r="G988" s="65"/>
      <c r="H988" s="67"/>
      <c r="I988" s="118"/>
      <c r="J988" s="65"/>
      <c r="K988" s="74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</row>
    <row r="989" ht="15.75" customHeight="1">
      <c r="A989" s="32"/>
      <c r="B989" s="65"/>
      <c r="C989" s="65"/>
      <c r="D989" s="32"/>
      <c r="E989" s="32"/>
      <c r="F989" s="32"/>
      <c r="G989" s="65"/>
      <c r="H989" s="67"/>
      <c r="I989" s="118"/>
      <c r="J989" s="65"/>
      <c r="K989" s="74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</row>
    <row r="990" ht="15.75" customHeight="1">
      <c r="A990" s="32"/>
      <c r="B990" s="65"/>
      <c r="C990" s="65"/>
      <c r="D990" s="32"/>
      <c r="E990" s="32"/>
      <c r="F990" s="32"/>
      <c r="G990" s="65"/>
      <c r="H990" s="67"/>
      <c r="I990" s="118"/>
      <c r="J990" s="65"/>
      <c r="K990" s="74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</row>
    <row r="991" ht="15.75" customHeight="1">
      <c r="A991" s="32"/>
      <c r="B991" s="65"/>
      <c r="C991" s="65"/>
      <c r="D991" s="32"/>
      <c r="E991" s="32"/>
      <c r="F991" s="32"/>
      <c r="G991" s="65"/>
      <c r="H991" s="67"/>
      <c r="I991" s="118"/>
      <c r="J991" s="65"/>
      <c r="K991" s="74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</row>
    <row r="992" ht="15.75" customHeight="1">
      <c r="A992" s="32"/>
      <c r="B992" s="65"/>
      <c r="C992" s="65"/>
      <c r="D992" s="32"/>
      <c r="E992" s="32"/>
      <c r="F992" s="32"/>
      <c r="G992" s="65"/>
      <c r="H992" s="67"/>
      <c r="I992" s="118"/>
      <c r="J992" s="65"/>
      <c r="K992" s="74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</row>
  </sheetData>
  <mergeCells count="4">
    <mergeCell ref="B21:F21"/>
    <mergeCell ref="D22:F22"/>
    <mergeCell ref="D23:F23"/>
    <mergeCell ref="D24:F24"/>
  </mergeCells>
  <hyperlinks>
    <hyperlink r:id="rId1" ref="K4"/>
    <hyperlink r:id="rId2" ref="K5"/>
    <hyperlink r:id="rId3" ref="K7"/>
    <hyperlink r:id="rId4" ref="K8"/>
    <hyperlink r:id="rId5" ref="K9"/>
    <hyperlink r:id="rId6" ref="K10"/>
    <hyperlink r:id="rId7" ref="K11"/>
    <hyperlink r:id="rId8" ref="K13"/>
    <hyperlink r:id="rId9" ref="K14"/>
    <hyperlink r:id="rId10" ref="K15"/>
    <hyperlink r:id="rId11" ref="K16"/>
    <hyperlink r:id="rId12" ref="K17"/>
  </hyperlinks>
  <printOptions/>
  <pageMargins bottom="1.0" footer="0.0" header="0.0" left="0.75" right="0.75" top="1.0"/>
  <pageSetup orientation="landscape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13.38"/>
    <col customWidth="1" min="3" max="3" width="9.88"/>
    <col customWidth="1" hidden="1" min="4" max="4" width="30.38"/>
    <col customWidth="1" hidden="1" min="5" max="5" width="25.5"/>
    <col customWidth="1" min="6" max="6" width="28.25"/>
    <col customWidth="1" min="7" max="7" width="7.88"/>
    <col customWidth="1" min="8" max="8" width="20.0"/>
    <col customWidth="1" min="9" max="9" width="11.88"/>
    <col customWidth="1" min="10" max="10" width="46.5"/>
    <col customWidth="1" min="11" max="11" width="64.38"/>
    <col customWidth="1" min="12" max="12" width="26.75"/>
    <col customWidth="1" min="13" max="30" width="7.63"/>
  </cols>
  <sheetData>
    <row r="1" ht="31.5" customHeight="1">
      <c r="A1" s="187"/>
      <c r="B1" s="188"/>
      <c r="C1" s="188"/>
      <c r="D1" s="189"/>
      <c r="E1" s="187"/>
      <c r="F1" s="187"/>
      <c r="G1" s="187"/>
      <c r="H1" s="190"/>
      <c r="I1" s="191"/>
      <c r="J1" s="158"/>
      <c r="K1" s="158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</row>
    <row r="2">
      <c r="A2" s="4"/>
      <c r="B2" s="75" t="s">
        <v>266</v>
      </c>
      <c r="C2" s="75"/>
      <c r="D2" s="4"/>
      <c r="E2" s="4"/>
      <c r="F2" s="4"/>
      <c r="G2" s="4"/>
      <c r="H2" s="72"/>
      <c r="I2" s="73"/>
      <c r="J2" s="74"/>
      <c r="K2" s="7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6"/>
      <c r="B3" s="77" t="s">
        <v>20</v>
      </c>
      <c r="C3" s="79" t="s">
        <v>22</v>
      </c>
      <c r="D3" s="77" t="s">
        <v>24</v>
      </c>
      <c r="E3" s="77" t="s">
        <v>26</v>
      </c>
      <c r="F3" s="79" t="s">
        <v>28</v>
      </c>
      <c r="G3" s="77"/>
      <c r="H3" s="80" t="s">
        <v>33</v>
      </c>
      <c r="I3" s="80" t="s">
        <v>36</v>
      </c>
      <c r="J3" s="192" t="s">
        <v>38</v>
      </c>
      <c r="K3" s="81" t="s">
        <v>41</v>
      </c>
      <c r="L3" s="77" t="s">
        <v>16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>
      <c r="A4" s="4"/>
      <c r="B4" s="193">
        <v>1.0</v>
      </c>
      <c r="C4" s="193" t="str">
        <f t="shared" ref="C4:C8" si="1">IF(ISNUMBER(B4), "P05" &amp; TEXT(B4, "00"), "")</f>
        <v>P0501</v>
      </c>
      <c r="D4" s="95" t="s">
        <v>267</v>
      </c>
      <c r="E4" s="95" t="s">
        <v>268</v>
      </c>
      <c r="F4" s="84" t="str">
        <f t="shared" ref="F4:F6" si="2">CONCATENATE(E4," - ",D4)</f>
        <v>Pennywort &amp; Coconut  w Mungbean - Rau Má Cốt Dừa Đậu Xanh</v>
      </c>
      <c r="G4" s="84"/>
      <c r="H4" s="87">
        <v>9.9</v>
      </c>
      <c r="I4" s="88">
        <f t="shared" ref="I4:I6" si="3">LET(v,H4*1.15,
i,INT(v),
d,v-i,
IF(d&lt;=0.2,
i-0.1,
IF(d&lt;=0.7,
i+0.5,
i+0.9)))
</f>
        <v>11.5</v>
      </c>
      <c r="J4" s="89" t="s">
        <v>269</v>
      </c>
      <c r="K4" s="90" t="s">
        <v>270</v>
      </c>
      <c r="L4" s="8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/>
      <c r="B5" s="82">
        <v>2.0</v>
      </c>
      <c r="C5" s="193" t="str">
        <f t="shared" si="1"/>
        <v>P0502</v>
      </c>
      <c r="D5" s="95" t="s">
        <v>271</v>
      </c>
      <c r="E5" s="95" t="s">
        <v>272</v>
      </c>
      <c r="F5" s="84" t="str">
        <f t="shared" si="2"/>
        <v>Pennywort &amp; Coconut / Pennywort &amp; Mungbean - Rau Má Nước Dừa/ Rau má đậu xanh</v>
      </c>
      <c r="G5" s="84"/>
      <c r="H5" s="87">
        <v>9.9</v>
      </c>
      <c r="I5" s="88">
        <f t="shared" si="3"/>
        <v>11.5</v>
      </c>
      <c r="J5" s="89" t="s">
        <v>273</v>
      </c>
      <c r="K5" s="90" t="s">
        <v>274</v>
      </c>
      <c r="L5" s="8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"/>
      <c r="B6" s="82">
        <v>3.0</v>
      </c>
      <c r="C6" s="193" t="str">
        <f t="shared" si="1"/>
        <v>P0503</v>
      </c>
      <c r="D6" s="83" t="s">
        <v>275</v>
      </c>
      <c r="E6" s="83" t="s">
        <v>276</v>
      </c>
      <c r="F6" s="84" t="str">
        <f t="shared" si="2"/>
        <v>Pennywort Juice - Rau Má</v>
      </c>
      <c r="G6" s="84"/>
      <c r="H6" s="88">
        <v>8.5</v>
      </c>
      <c r="I6" s="88">
        <f t="shared" si="3"/>
        <v>9.9</v>
      </c>
      <c r="J6" s="89" t="s">
        <v>276</v>
      </c>
      <c r="K6" s="90" t="s">
        <v>277</v>
      </c>
      <c r="L6" s="8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4"/>
      <c r="B7" s="25"/>
      <c r="C7" s="25" t="str">
        <f t="shared" si="1"/>
        <v/>
      </c>
      <c r="D7" s="4"/>
      <c r="E7" s="4"/>
      <c r="F7" s="4"/>
      <c r="G7" s="4"/>
      <c r="H7" s="72"/>
      <c r="I7" s="73"/>
      <c r="J7" s="74"/>
      <c r="K7" s="7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5.75" customHeight="1">
      <c r="A8" s="4"/>
      <c r="B8" s="25"/>
      <c r="C8" s="25" t="str">
        <f t="shared" si="1"/>
        <v/>
      </c>
      <c r="D8" s="4"/>
      <c r="E8" s="4"/>
      <c r="F8" s="4"/>
      <c r="G8" s="4"/>
      <c r="H8" s="72"/>
      <c r="I8" s="73"/>
      <c r="J8" s="74"/>
      <c r="K8" s="7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5.75" customHeight="1">
      <c r="A9" s="4"/>
      <c r="B9" s="25"/>
      <c r="G9" s="4"/>
      <c r="H9" s="72"/>
      <c r="I9" s="73"/>
      <c r="J9" s="74"/>
      <c r="K9" s="7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5.75" customHeight="1">
      <c r="A10" s="4"/>
      <c r="G10" s="4"/>
      <c r="H10" s="72"/>
      <c r="I10" s="73"/>
      <c r="J10" s="74"/>
      <c r="K10" s="7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15.75" customHeight="1">
      <c r="A11" s="4"/>
      <c r="G11" s="4"/>
      <c r="H11" s="72"/>
      <c r="I11" s="73"/>
      <c r="J11" s="74"/>
      <c r="K11" s="7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5.75" customHeight="1">
      <c r="A12" s="4"/>
      <c r="G12" s="4"/>
      <c r="H12" s="72"/>
      <c r="I12" s="73"/>
      <c r="J12" s="74"/>
      <c r="K12" s="7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5.75" customHeight="1">
      <c r="A13" s="4"/>
      <c r="G13" s="4"/>
      <c r="H13" s="72"/>
      <c r="I13" s="73"/>
      <c r="J13" s="74"/>
      <c r="K13" s="7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5.75" customHeight="1">
      <c r="A14" s="4"/>
      <c r="G14" s="4"/>
      <c r="H14" s="72"/>
      <c r="I14" s="73"/>
      <c r="J14" s="74"/>
      <c r="K14" s="7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5.75" customHeight="1">
      <c r="A15" s="4"/>
      <c r="B15" s="25"/>
      <c r="C15" s="25"/>
      <c r="D15" s="4"/>
      <c r="E15" s="4"/>
      <c r="F15" s="4"/>
      <c r="G15" s="4"/>
      <c r="H15" s="72"/>
      <c r="I15" s="73"/>
      <c r="J15" s="74"/>
      <c r="K15" s="7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.75" customHeight="1">
      <c r="A16" s="4"/>
      <c r="B16" s="25"/>
      <c r="C16" s="25"/>
      <c r="D16" s="4"/>
      <c r="E16" s="4"/>
      <c r="F16" s="4"/>
      <c r="G16" s="4"/>
      <c r="H16" s="72"/>
      <c r="I16" s="73"/>
      <c r="J16" s="74"/>
      <c r="K16" s="7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75" customHeight="1">
      <c r="A17" s="4"/>
      <c r="B17" s="25"/>
      <c r="C17" s="25"/>
      <c r="D17" s="4"/>
      <c r="E17" s="4"/>
      <c r="F17" s="4"/>
      <c r="G17" s="4"/>
      <c r="H17" s="72"/>
      <c r="I17" s="73"/>
      <c r="J17" s="74"/>
      <c r="K17" s="7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4"/>
      <c r="B18" s="25"/>
      <c r="C18" s="25"/>
      <c r="D18" s="4"/>
      <c r="E18" s="4"/>
      <c r="F18" s="4"/>
      <c r="G18" s="4"/>
      <c r="H18" s="72"/>
      <c r="I18" s="73"/>
      <c r="J18" s="74"/>
      <c r="K18" s="7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4"/>
      <c r="B19" s="25"/>
      <c r="C19" s="25"/>
      <c r="D19" s="4"/>
      <c r="E19" s="4"/>
      <c r="F19" s="4"/>
      <c r="G19" s="4"/>
      <c r="H19" s="72"/>
      <c r="I19" s="73"/>
      <c r="J19" s="74"/>
      <c r="K19" s="7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4"/>
      <c r="B20" s="25"/>
      <c r="C20" s="25"/>
      <c r="D20" s="4"/>
      <c r="E20" s="4"/>
      <c r="F20" s="4"/>
      <c r="G20" s="4"/>
      <c r="H20" s="72"/>
      <c r="I20" s="73"/>
      <c r="J20" s="74"/>
      <c r="K20" s="7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4"/>
      <c r="B21" s="25"/>
      <c r="C21" s="25"/>
      <c r="D21" s="4"/>
      <c r="E21" s="4"/>
      <c r="F21" s="4"/>
      <c r="G21" s="4"/>
      <c r="H21" s="72"/>
      <c r="I21" s="73"/>
      <c r="J21" s="74"/>
      <c r="K21" s="7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4"/>
      <c r="B22" s="25"/>
      <c r="C22" s="25"/>
      <c r="D22" s="4"/>
      <c r="E22" s="4"/>
      <c r="F22" s="4"/>
      <c r="G22" s="4"/>
      <c r="H22" s="72"/>
      <c r="I22" s="73"/>
      <c r="J22" s="74"/>
      <c r="K22" s="7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25"/>
      <c r="C23" s="25"/>
      <c r="D23" s="4"/>
      <c r="E23" s="4"/>
      <c r="F23" s="4"/>
      <c r="G23" s="4"/>
      <c r="H23" s="72"/>
      <c r="I23" s="73"/>
      <c r="J23" s="74"/>
      <c r="K23" s="7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25"/>
      <c r="C24" s="25"/>
      <c r="D24" s="4"/>
      <c r="E24" s="4"/>
      <c r="F24" s="4"/>
      <c r="G24" s="4"/>
      <c r="H24" s="72"/>
      <c r="I24" s="73"/>
      <c r="J24" s="74"/>
      <c r="K24" s="7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25"/>
      <c r="C25" s="25"/>
      <c r="D25" s="4"/>
      <c r="E25" s="4"/>
      <c r="F25" s="4"/>
      <c r="G25" s="4"/>
      <c r="H25" s="72"/>
      <c r="I25" s="73"/>
      <c r="J25" s="74"/>
      <c r="K25" s="7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25"/>
      <c r="C26" s="25"/>
      <c r="D26" s="4"/>
      <c r="E26" s="4"/>
      <c r="F26" s="4"/>
      <c r="G26" s="4"/>
      <c r="H26" s="72"/>
      <c r="I26" s="73"/>
      <c r="J26" s="74"/>
      <c r="K26" s="7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25"/>
      <c r="C27" s="25"/>
      <c r="D27" s="4"/>
      <c r="E27" s="4"/>
      <c r="F27" s="4"/>
      <c r="G27" s="4"/>
      <c r="H27" s="72"/>
      <c r="I27" s="73"/>
      <c r="J27" s="74"/>
      <c r="K27" s="7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25"/>
      <c r="C28" s="25"/>
      <c r="D28" s="4"/>
      <c r="E28" s="4"/>
      <c r="F28" s="4"/>
      <c r="G28" s="4"/>
      <c r="H28" s="72"/>
      <c r="I28" s="73"/>
      <c r="J28" s="74"/>
      <c r="K28" s="7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25"/>
      <c r="C29" s="25"/>
      <c r="D29" s="4"/>
      <c r="E29" s="4"/>
      <c r="F29" s="4"/>
      <c r="G29" s="4"/>
      <c r="H29" s="72"/>
      <c r="I29" s="73"/>
      <c r="J29" s="74"/>
      <c r="K29" s="7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25"/>
      <c r="C30" s="25"/>
      <c r="D30" s="4"/>
      <c r="E30" s="4"/>
      <c r="F30" s="4"/>
      <c r="G30" s="4"/>
      <c r="H30" s="72"/>
      <c r="I30" s="73"/>
      <c r="J30" s="74"/>
      <c r="K30" s="7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25"/>
      <c r="C31" s="25"/>
      <c r="D31" s="4"/>
      <c r="E31" s="4"/>
      <c r="F31" s="4"/>
      <c r="G31" s="4"/>
      <c r="H31" s="72"/>
      <c r="I31" s="73"/>
      <c r="J31" s="74"/>
      <c r="K31" s="7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25"/>
      <c r="C32" s="25"/>
      <c r="D32" s="4"/>
      <c r="E32" s="4"/>
      <c r="F32" s="4"/>
      <c r="G32" s="4"/>
      <c r="H32" s="72"/>
      <c r="I32" s="73"/>
      <c r="J32" s="74"/>
      <c r="K32" s="7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25"/>
      <c r="C33" s="25"/>
      <c r="D33" s="4"/>
      <c r="E33" s="4"/>
      <c r="F33" s="4"/>
      <c r="G33" s="4"/>
      <c r="H33" s="72"/>
      <c r="I33" s="73"/>
      <c r="J33" s="74"/>
      <c r="K33" s="7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25"/>
      <c r="C34" s="25"/>
      <c r="D34" s="4"/>
      <c r="E34" s="4"/>
      <c r="F34" s="4"/>
      <c r="G34" s="4"/>
      <c r="H34" s="72"/>
      <c r="I34" s="73"/>
      <c r="J34" s="74"/>
      <c r="K34" s="7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25"/>
      <c r="C35" s="25"/>
      <c r="D35" s="4"/>
      <c r="E35" s="4"/>
      <c r="F35" s="4"/>
      <c r="G35" s="4"/>
      <c r="H35" s="72"/>
      <c r="I35" s="73"/>
      <c r="J35" s="74"/>
      <c r="K35" s="7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25"/>
      <c r="C36" s="25"/>
      <c r="D36" s="4"/>
      <c r="E36" s="4"/>
      <c r="F36" s="4"/>
      <c r="G36" s="4"/>
      <c r="H36" s="72"/>
      <c r="I36" s="73"/>
      <c r="J36" s="74"/>
      <c r="K36" s="7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25"/>
      <c r="C37" s="25"/>
      <c r="D37" s="4"/>
      <c r="E37" s="4"/>
      <c r="F37" s="4"/>
      <c r="G37" s="4"/>
      <c r="H37" s="72"/>
      <c r="I37" s="73"/>
      <c r="J37" s="74"/>
      <c r="K37" s="7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25"/>
      <c r="C38" s="25"/>
      <c r="D38" s="4"/>
      <c r="E38" s="4"/>
      <c r="F38" s="4"/>
      <c r="G38" s="4"/>
      <c r="H38" s="72"/>
      <c r="I38" s="73"/>
      <c r="J38" s="74"/>
      <c r="K38" s="7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25"/>
      <c r="C39" s="25"/>
      <c r="D39" s="4"/>
      <c r="E39" s="4"/>
      <c r="F39" s="4"/>
      <c r="G39" s="4"/>
      <c r="H39" s="72"/>
      <c r="I39" s="73"/>
      <c r="J39" s="74"/>
      <c r="K39" s="7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25"/>
      <c r="C40" s="25"/>
      <c r="D40" s="4"/>
      <c r="E40" s="4"/>
      <c r="F40" s="4"/>
      <c r="G40" s="4"/>
      <c r="H40" s="72"/>
      <c r="I40" s="73"/>
      <c r="J40" s="74"/>
      <c r="K40" s="7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25"/>
      <c r="C41" s="25"/>
      <c r="D41" s="4"/>
      <c r="E41" s="4"/>
      <c r="F41" s="4"/>
      <c r="G41" s="4"/>
      <c r="H41" s="72"/>
      <c r="I41" s="73"/>
      <c r="J41" s="74"/>
      <c r="K41" s="7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25"/>
      <c r="C42" s="25"/>
      <c r="D42" s="4"/>
      <c r="E42" s="4"/>
      <c r="F42" s="4"/>
      <c r="G42" s="4"/>
      <c r="H42" s="72"/>
      <c r="I42" s="73"/>
      <c r="J42" s="74"/>
      <c r="K42" s="7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25"/>
      <c r="C43" s="25"/>
      <c r="D43" s="4"/>
      <c r="E43" s="4"/>
      <c r="F43" s="4"/>
      <c r="G43" s="4"/>
      <c r="H43" s="72"/>
      <c r="I43" s="73"/>
      <c r="J43" s="74"/>
      <c r="K43" s="7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25"/>
      <c r="C44" s="25"/>
      <c r="D44" s="4"/>
      <c r="E44" s="4"/>
      <c r="F44" s="4"/>
      <c r="G44" s="4"/>
      <c r="H44" s="72"/>
      <c r="I44" s="73"/>
      <c r="J44" s="74"/>
      <c r="K44" s="7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25"/>
      <c r="C45" s="25"/>
      <c r="D45" s="4"/>
      <c r="E45" s="4"/>
      <c r="F45" s="4"/>
      <c r="G45" s="4"/>
      <c r="H45" s="72"/>
      <c r="I45" s="73"/>
      <c r="J45" s="74"/>
      <c r="K45" s="7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25"/>
      <c r="C46" s="25"/>
      <c r="D46" s="4"/>
      <c r="E46" s="4"/>
      <c r="F46" s="4"/>
      <c r="G46" s="4"/>
      <c r="H46" s="72"/>
      <c r="I46" s="73"/>
      <c r="J46" s="74"/>
      <c r="K46" s="7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25"/>
      <c r="C47" s="25"/>
      <c r="D47" s="4"/>
      <c r="E47" s="4"/>
      <c r="F47" s="4"/>
      <c r="G47" s="4"/>
      <c r="H47" s="72"/>
      <c r="I47" s="73"/>
      <c r="J47" s="74"/>
      <c r="K47" s="7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25"/>
      <c r="C48" s="25"/>
      <c r="D48" s="4"/>
      <c r="E48" s="4"/>
      <c r="F48" s="4"/>
      <c r="G48" s="4"/>
      <c r="H48" s="72"/>
      <c r="I48" s="73"/>
      <c r="J48" s="74"/>
      <c r="K48" s="7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25"/>
      <c r="C49" s="25"/>
      <c r="D49" s="4"/>
      <c r="E49" s="4"/>
      <c r="F49" s="4"/>
      <c r="G49" s="4"/>
      <c r="H49" s="72"/>
      <c r="I49" s="73"/>
      <c r="J49" s="74"/>
      <c r="K49" s="7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25"/>
      <c r="C50" s="25"/>
      <c r="D50" s="4"/>
      <c r="E50" s="4"/>
      <c r="F50" s="4"/>
      <c r="G50" s="4"/>
      <c r="H50" s="72"/>
      <c r="I50" s="73"/>
      <c r="J50" s="74"/>
      <c r="K50" s="7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25"/>
      <c r="C51" s="25"/>
      <c r="D51" s="4"/>
      <c r="E51" s="4"/>
      <c r="F51" s="4"/>
      <c r="G51" s="4"/>
      <c r="H51" s="72"/>
      <c r="I51" s="73"/>
      <c r="J51" s="74"/>
      <c r="K51" s="7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25"/>
      <c r="C52" s="25"/>
      <c r="D52" s="4"/>
      <c r="E52" s="4"/>
      <c r="F52" s="4"/>
      <c r="G52" s="4"/>
      <c r="H52" s="72"/>
      <c r="I52" s="73"/>
      <c r="J52" s="74"/>
      <c r="K52" s="7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25"/>
      <c r="C53" s="25"/>
      <c r="D53" s="4"/>
      <c r="E53" s="4"/>
      <c r="F53" s="4"/>
      <c r="G53" s="4"/>
      <c r="H53" s="72"/>
      <c r="I53" s="73"/>
      <c r="J53" s="74"/>
      <c r="K53" s="7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25"/>
      <c r="C54" s="25"/>
      <c r="D54" s="4"/>
      <c r="E54" s="4"/>
      <c r="F54" s="4"/>
      <c r="G54" s="4"/>
      <c r="H54" s="72"/>
      <c r="I54" s="73"/>
      <c r="J54" s="74"/>
      <c r="K54" s="7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25"/>
      <c r="C55" s="25"/>
      <c r="D55" s="4"/>
      <c r="E55" s="4"/>
      <c r="F55" s="4"/>
      <c r="G55" s="4"/>
      <c r="H55" s="72"/>
      <c r="I55" s="73"/>
      <c r="J55" s="74"/>
      <c r="K55" s="7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25"/>
      <c r="C56" s="25"/>
      <c r="D56" s="4"/>
      <c r="E56" s="4"/>
      <c r="F56" s="4"/>
      <c r="G56" s="4"/>
      <c r="H56" s="72"/>
      <c r="I56" s="73"/>
      <c r="J56" s="74"/>
      <c r="K56" s="7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25"/>
      <c r="C57" s="25"/>
      <c r="D57" s="4"/>
      <c r="E57" s="4"/>
      <c r="F57" s="4"/>
      <c r="G57" s="4"/>
      <c r="H57" s="72"/>
      <c r="I57" s="73"/>
      <c r="J57" s="74"/>
      <c r="K57" s="7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25"/>
      <c r="C58" s="25"/>
      <c r="D58" s="4"/>
      <c r="E58" s="4"/>
      <c r="F58" s="4"/>
      <c r="G58" s="4"/>
      <c r="H58" s="72"/>
      <c r="I58" s="73"/>
      <c r="J58" s="74"/>
      <c r="K58" s="7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25"/>
      <c r="C59" s="25"/>
      <c r="D59" s="4"/>
      <c r="E59" s="4"/>
      <c r="F59" s="4"/>
      <c r="G59" s="4"/>
      <c r="H59" s="72"/>
      <c r="I59" s="73"/>
      <c r="J59" s="74"/>
      <c r="K59" s="7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25"/>
      <c r="C60" s="25"/>
      <c r="D60" s="4"/>
      <c r="E60" s="4"/>
      <c r="F60" s="4"/>
      <c r="G60" s="4"/>
      <c r="H60" s="72"/>
      <c r="I60" s="73"/>
      <c r="J60" s="74"/>
      <c r="K60" s="7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25"/>
      <c r="C61" s="25"/>
      <c r="D61" s="4"/>
      <c r="E61" s="4"/>
      <c r="F61" s="4"/>
      <c r="G61" s="4"/>
      <c r="H61" s="72"/>
      <c r="I61" s="73"/>
      <c r="J61" s="74"/>
      <c r="K61" s="7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25"/>
      <c r="C62" s="25"/>
      <c r="D62" s="4"/>
      <c r="E62" s="4"/>
      <c r="F62" s="4"/>
      <c r="G62" s="4"/>
      <c r="H62" s="72"/>
      <c r="I62" s="73"/>
      <c r="J62" s="74"/>
      <c r="K62" s="7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25"/>
      <c r="C63" s="25"/>
      <c r="D63" s="4"/>
      <c r="E63" s="4"/>
      <c r="F63" s="4"/>
      <c r="G63" s="4"/>
      <c r="H63" s="72"/>
      <c r="I63" s="73"/>
      <c r="J63" s="74"/>
      <c r="K63" s="7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25"/>
      <c r="C64" s="25"/>
      <c r="D64" s="4"/>
      <c r="E64" s="4"/>
      <c r="F64" s="4"/>
      <c r="G64" s="4"/>
      <c r="H64" s="72"/>
      <c r="I64" s="73"/>
      <c r="J64" s="74"/>
      <c r="K64" s="7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25"/>
      <c r="C65" s="25"/>
      <c r="D65" s="4"/>
      <c r="E65" s="4"/>
      <c r="F65" s="4"/>
      <c r="G65" s="4"/>
      <c r="H65" s="72"/>
      <c r="I65" s="73"/>
      <c r="J65" s="74"/>
      <c r="K65" s="7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25"/>
      <c r="C66" s="25"/>
      <c r="D66" s="4"/>
      <c r="E66" s="4"/>
      <c r="F66" s="4"/>
      <c r="G66" s="4"/>
      <c r="H66" s="72"/>
      <c r="I66" s="73"/>
      <c r="J66" s="74"/>
      <c r="K66" s="7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25"/>
      <c r="C67" s="25"/>
      <c r="D67" s="4"/>
      <c r="E67" s="4"/>
      <c r="F67" s="4"/>
      <c r="G67" s="4"/>
      <c r="H67" s="72"/>
      <c r="I67" s="73"/>
      <c r="J67" s="74"/>
      <c r="K67" s="7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25"/>
      <c r="C68" s="25"/>
      <c r="D68" s="4"/>
      <c r="E68" s="4"/>
      <c r="F68" s="4"/>
      <c r="G68" s="4"/>
      <c r="H68" s="72"/>
      <c r="I68" s="73"/>
      <c r="J68" s="74"/>
      <c r="K68" s="7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25"/>
      <c r="C69" s="25"/>
      <c r="D69" s="4"/>
      <c r="E69" s="4"/>
      <c r="F69" s="4"/>
      <c r="G69" s="4"/>
      <c r="H69" s="72"/>
      <c r="I69" s="73"/>
      <c r="J69" s="74"/>
      <c r="K69" s="7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25"/>
      <c r="C70" s="25"/>
      <c r="D70" s="4"/>
      <c r="E70" s="4"/>
      <c r="F70" s="4"/>
      <c r="G70" s="4"/>
      <c r="H70" s="72"/>
      <c r="I70" s="73"/>
      <c r="J70" s="74"/>
      <c r="K70" s="7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25"/>
      <c r="C71" s="25"/>
      <c r="D71" s="4"/>
      <c r="E71" s="4"/>
      <c r="F71" s="4"/>
      <c r="G71" s="4"/>
      <c r="H71" s="72"/>
      <c r="I71" s="73"/>
      <c r="J71" s="74"/>
      <c r="K71" s="7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25"/>
      <c r="C72" s="25"/>
      <c r="D72" s="4"/>
      <c r="E72" s="4"/>
      <c r="F72" s="4"/>
      <c r="G72" s="4"/>
      <c r="H72" s="72"/>
      <c r="I72" s="73"/>
      <c r="J72" s="74"/>
      <c r="K72" s="7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25"/>
      <c r="C73" s="25"/>
      <c r="D73" s="4"/>
      <c r="E73" s="4"/>
      <c r="F73" s="4"/>
      <c r="G73" s="4"/>
      <c r="H73" s="72"/>
      <c r="I73" s="73"/>
      <c r="J73" s="74"/>
      <c r="K73" s="7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25"/>
      <c r="C74" s="25"/>
      <c r="D74" s="4"/>
      <c r="E74" s="4"/>
      <c r="F74" s="4"/>
      <c r="G74" s="4"/>
      <c r="H74" s="72"/>
      <c r="I74" s="73"/>
      <c r="J74" s="74"/>
      <c r="K74" s="7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25"/>
      <c r="C75" s="25"/>
      <c r="D75" s="4"/>
      <c r="E75" s="4"/>
      <c r="F75" s="4"/>
      <c r="G75" s="4"/>
      <c r="H75" s="72"/>
      <c r="I75" s="73"/>
      <c r="J75" s="74"/>
      <c r="K75" s="7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25"/>
      <c r="C76" s="25"/>
      <c r="D76" s="4"/>
      <c r="E76" s="4"/>
      <c r="F76" s="4"/>
      <c r="G76" s="4"/>
      <c r="H76" s="72"/>
      <c r="I76" s="73"/>
      <c r="J76" s="74"/>
      <c r="K76" s="7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25"/>
      <c r="C77" s="25"/>
      <c r="D77" s="4"/>
      <c r="E77" s="4"/>
      <c r="F77" s="4"/>
      <c r="G77" s="4"/>
      <c r="H77" s="72"/>
      <c r="I77" s="73"/>
      <c r="J77" s="74"/>
      <c r="K77" s="7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25"/>
      <c r="C78" s="25"/>
      <c r="D78" s="4"/>
      <c r="E78" s="4"/>
      <c r="F78" s="4"/>
      <c r="G78" s="4"/>
      <c r="H78" s="72"/>
      <c r="I78" s="73"/>
      <c r="J78" s="74"/>
      <c r="K78" s="7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25"/>
      <c r="C79" s="25"/>
      <c r="D79" s="4"/>
      <c r="E79" s="4"/>
      <c r="F79" s="4"/>
      <c r="G79" s="4"/>
      <c r="H79" s="72"/>
      <c r="I79" s="73"/>
      <c r="J79" s="74"/>
      <c r="K79" s="7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25"/>
      <c r="C80" s="25"/>
      <c r="D80" s="4"/>
      <c r="E80" s="4"/>
      <c r="F80" s="4"/>
      <c r="G80" s="4"/>
      <c r="H80" s="72"/>
      <c r="I80" s="73"/>
      <c r="J80" s="74"/>
      <c r="K80" s="7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25"/>
      <c r="C81" s="25"/>
      <c r="D81" s="4"/>
      <c r="E81" s="4"/>
      <c r="F81" s="4"/>
      <c r="G81" s="4"/>
      <c r="H81" s="72"/>
      <c r="I81" s="73"/>
      <c r="J81" s="74"/>
      <c r="K81" s="7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25"/>
      <c r="C82" s="25"/>
      <c r="D82" s="4"/>
      <c r="E82" s="4"/>
      <c r="F82" s="4"/>
      <c r="G82" s="4"/>
      <c r="H82" s="72"/>
      <c r="I82" s="73"/>
      <c r="J82" s="74"/>
      <c r="K82" s="7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25"/>
      <c r="C83" s="25"/>
      <c r="D83" s="4"/>
      <c r="E83" s="4"/>
      <c r="F83" s="4"/>
      <c r="G83" s="4"/>
      <c r="H83" s="72"/>
      <c r="I83" s="73"/>
      <c r="J83" s="74"/>
      <c r="K83" s="7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25"/>
      <c r="C84" s="25"/>
      <c r="D84" s="4"/>
      <c r="E84" s="4"/>
      <c r="F84" s="4"/>
      <c r="G84" s="4"/>
      <c r="H84" s="72"/>
      <c r="I84" s="73"/>
      <c r="J84" s="74"/>
      <c r="K84" s="7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25"/>
      <c r="C85" s="25"/>
      <c r="D85" s="4"/>
      <c r="E85" s="4"/>
      <c r="F85" s="4"/>
      <c r="G85" s="4"/>
      <c r="H85" s="72"/>
      <c r="I85" s="73"/>
      <c r="J85" s="74"/>
      <c r="K85" s="7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25"/>
      <c r="C86" s="25"/>
      <c r="D86" s="4"/>
      <c r="E86" s="4"/>
      <c r="F86" s="4"/>
      <c r="G86" s="4"/>
      <c r="H86" s="72"/>
      <c r="I86" s="73"/>
      <c r="J86" s="74"/>
      <c r="K86" s="7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25"/>
      <c r="C87" s="25"/>
      <c r="D87" s="4"/>
      <c r="E87" s="4"/>
      <c r="F87" s="4"/>
      <c r="G87" s="4"/>
      <c r="H87" s="72"/>
      <c r="I87" s="73"/>
      <c r="J87" s="74"/>
      <c r="K87" s="7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25"/>
      <c r="C88" s="25"/>
      <c r="D88" s="4"/>
      <c r="E88" s="4"/>
      <c r="F88" s="4"/>
      <c r="G88" s="4"/>
      <c r="H88" s="72"/>
      <c r="I88" s="73"/>
      <c r="J88" s="74"/>
      <c r="K88" s="7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25"/>
      <c r="C89" s="25"/>
      <c r="D89" s="4"/>
      <c r="E89" s="4"/>
      <c r="F89" s="4"/>
      <c r="G89" s="4"/>
      <c r="H89" s="72"/>
      <c r="I89" s="73"/>
      <c r="J89" s="74"/>
      <c r="K89" s="7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25"/>
      <c r="C90" s="25"/>
      <c r="D90" s="4"/>
      <c r="E90" s="4"/>
      <c r="F90" s="4"/>
      <c r="G90" s="4"/>
      <c r="H90" s="72"/>
      <c r="I90" s="73"/>
      <c r="J90" s="74"/>
      <c r="K90" s="7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25"/>
      <c r="C91" s="25"/>
      <c r="D91" s="4"/>
      <c r="E91" s="4"/>
      <c r="F91" s="4"/>
      <c r="G91" s="4"/>
      <c r="H91" s="72"/>
      <c r="I91" s="73"/>
      <c r="J91" s="74"/>
      <c r="K91" s="7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25"/>
      <c r="C92" s="25"/>
      <c r="D92" s="4"/>
      <c r="E92" s="4"/>
      <c r="F92" s="4"/>
      <c r="G92" s="4"/>
      <c r="H92" s="72"/>
      <c r="I92" s="73"/>
      <c r="J92" s="74"/>
      <c r="K92" s="7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25"/>
      <c r="C93" s="25"/>
      <c r="D93" s="4"/>
      <c r="E93" s="4"/>
      <c r="F93" s="4"/>
      <c r="G93" s="4"/>
      <c r="H93" s="72"/>
      <c r="I93" s="73"/>
      <c r="J93" s="74"/>
      <c r="K93" s="7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25"/>
      <c r="C94" s="25"/>
      <c r="D94" s="4"/>
      <c r="E94" s="4"/>
      <c r="F94" s="4"/>
      <c r="G94" s="4"/>
      <c r="H94" s="72"/>
      <c r="I94" s="73"/>
      <c r="J94" s="74"/>
      <c r="K94" s="7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25"/>
      <c r="C95" s="25"/>
      <c r="D95" s="4"/>
      <c r="E95" s="4"/>
      <c r="F95" s="4"/>
      <c r="G95" s="4"/>
      <c r="H95" s="72"/>
      <c r="I95" s="73"/>
      <c r="J95" s="74"/>
      <c r="K95" s="7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25"/>
      <c r="C96" s="25"/>
      <c r="D96" s="4"/>
      <c r="E96" s="4"/>
      <c r="F96" s="4"/>
      <c r="G96" s="4"/>
      <c r="H96" s="72"/>
      <c r="I96" s="73"/>
      <c r="J96" s="74"/>
      <c r="K96" s="7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25"/>
      <c r="C97" s="25"/>
      <c r="D97" s="4"/>
      <c r="E97" s="4"/>
      <c r="F97" s="4"/>
      <c r="G97" s="4"/>
      <c r="H97" s="72"/>
      <c r="I97" s="73"/>
      <c r="J97" s="74"/>
      <c r="K97" s="7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25"/>
      <c r="C98" s="25"/>
      <c r="D98" s="4"/>
      <c r="E98" s="4"/>
      <c r="F98" s="4"/>
      <c r="G98" s="4"/>
      <c r="H98" s="72"/>
      <c r="I98" s="73"/>
      <c r="J98" s="74"/>
      <c r="K98" s="7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25"/>
      <c r="C99" s="25"/>
      <c r="D99" s="4"/>
      <c r="E99" s="4"/>
      <c r="F99" s="4"/>
      <c r="G99" s="4"/>
      <c r="H99" s="72"/>
      <c r="I99" s="73"/>
      <c r="J99" s="74"/>
      <c r="K99" s="7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25"/>
      <c r="C100" s="25"/>
      <c r="D100" s="4"/>
      <c r="E100" s="4"/>
      <c r="F100" s="4"/>
      <c r="G100" s="4"/>
      <c r="H100" s="72"/>
      <c r="I100" s="73"/>
      <c r="J100" s="74"/>
      <c r="K100" s="7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25"/>
      <c r="C101" s="25"/>
      <c r="D101" s="4"/>
      <c r="E101" s="4"/>
      <c r="F101" s="4"/>
      <c r="G101" s="4"/>
      <c r="H101" s="72"/>
      <c r="I101" s="73"/>
      <c r="J101" s="74"/>
      <c r="K101" s="7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25"/>
      <c r="C102" s="25"/>
      <c r="D102" s="4"/>
      <c r="E102" s="4"/>
      <c r="F102" s="4"/>
      <c r="G102" s="4"/>
      <c r="H102" s="72"/>
      <c r="I102" s="73"/>
      <c r="J102" s="74"/>
      <c r="K102" s="7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25"/>
      <c r="C103" s="25"/>
      <c r="D103" s="4"/>
      <c r="E103" s="4"/>
      <c r="F103" s="4"/>
      <c r="G103" s="4"/>
      <c r="H103" s="72"/>
      <c r="I103" s="73"/>
      <c r="J103" s="74"/>
      <c r="K103" s="7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25"/>
      <c r="C104" s="25"/>
      <c r="D104" s="4"/>
      <c r="E104" s="4"/>
      <c r="F104" s="4"/>
      <c r="G104" s="4"/>
      <c r="H104" s="72"/>
      <c r="I104" s="73"/>
      <c r="J104" s="74"/>
      <c r="K104" s="7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25"/>
      <c r="C105" s="25"/>
      <c r="D105" s="4"/>
      <c r="E105" s="4"/>
      <c r="F105" s="4"/>
      <c r="G105" s="4"/>
      <c r="H105" s="72"/>
      <c r="I105" s="73"/>
      <c r="J105" s="74"/>
      <c r="K105" s="7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25"/>
      <c r="C106" s="25"/>
      <c r="D106" s="4"/>
      <c r="E106" s="4"/>
      <c r="F106" s="4"/>
      <c r="G106" s="4"/>
      <c r="H106" s="72"/>
      <c r="I106" s="73"/>
      <c r="J106" s="74"/>
      <c r="K106" s="7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25"/>
      <c r="C107" s="25"/>
      <c r="D107" s="4"/>
      <c r="E107" s="4"/>
      <c r="F107" s="4"/>
      <c r="G107" s="4"/>
      <c r="H107" s="72"/>
      <c r="I107" s="73"/>
      <c r="J107" s="74"/>
      <c r="K107" s="7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25"/>
      <c r="C108" s="25"/>
      <c r="D108" s="4"/>
      <c r="E108" s="4"/>
      <c r="F108" s="4"/>
      <c r="G108" s="4"/>
      <c r="H108" s="72"/>
      <c r="I108" s="73"/>
      <c r="J108" s="74"/>
      <c r="K108" s="7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25"/>
      <c r="C109" s="25"/>
      <c r="D109" s="4"/>
      <c r="E109" s="4"/>
      <c r="F109" s="4"/>
      <c r="G109" s="4"/>
      <c r="H109" s="72"/>
      <c r="I109" s="73"/>
      <c r="J109" s="74"/>
      <c r="K109" s="7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25"/>
      <c r="C110" s="25"/>
      <c r="D110" s="4"/>
      <c r="E110" s="4"/>
      <c r="F110" s="4"/>
      <c r="G110" s="4"/>
      <c r="H110" s="72"/>
      <c r="I110" s="73"/>
      <c r="J110" s="74"/>
      <c r="K110" s="7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25"/>
      <c r="C111" s="25"/>
      <c r="D111" s="4"/>
      <c r="E111" s="4"/>
      <c r="F111" s="4"/>
      <c r="G111" s="4"/>
      <c r="H111" s="72"/>
      <c r="I111" s="73"/>
      <c r="J111" s="74"/>
      <c r="K111" s="7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25"/>
      <c r="C112" s="25"/>
      <c r="D112" s="4"/>
      <c r="E112" s="4"/>
      <c r="F112" s="4"/>
      <c r="G112" s="4"/>
      <c r="H112" s="72"/>
      <c r="I112" s="73"/>
      <c r="J112" s="74"/>
      <c r="K112" s="7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25"/>
      <c r="C113" s="25"/>
      <c r="D113" s="4"/>
      <c r="E113" s="4"/>
      <c r="F113" s="4"/>
      <c r="G113" s="4"/>
      <c r="H113" s="72"/>
      <c r="I113" s="73"/>
      <c r="J113" s="74"/>
      <c r="K113" s="7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25"/>
      <c r="C114" s="25"/>
      <c r="D114" s="4"/>
      <c r="E114" s="4"/>
      <c r="F114" s="4"/>
      <c r="G114" s="4"/>
      <c r="H114" s="72"/>
      <c r="I114" s="73"/>
      <c r="J114" s="74"/>
      <c r="K114" s="7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25"/>
      <c r="C115" s="25"/>
      <c r="D115" s="4"/>
      <c r="E115" s="4"/>
      <c r="F115" s="4"/>
      <c r="G115" s="4"/>
      <c r="H115" s="72"/>
      <c r="I115" s="73"/>
      <c r="J115" s="74"/>
      <c r="K115" s="7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25"/>
      <c r="C116" s="25"/>
      <c r="D116" s="4"/>
      <c r="E116" s="4"/>
      <c r="F116" s="4"/>
      <c r="G116" s="4"/>
      <c r="H116" s="72"/>
      <c r="I116" s="73"/>
      <c r="J116" s="74"/>
      <c r="K116" s="7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25"/>
      <c r="C117" s="25"/>
      <c r="D117" s="4"/>
      <c r="E117" s="4"/>
      <c r="F117" s="4"/>
      <c r="G117" s="4"/>
      <c r="H117" s="72"/>
      <c r="I117" s="73"/>
      <c r="J117" s="74"/>
      <c r="K117" s="7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25"/>
      <c r="C118" s="25"/>
      <c r="D118" s="4"/>
      <c r="E118" s="4"/>
      <c r="F118" s="4"/>
      <c r="G118" s="4"/>
      <c r="H118" s="72"/>
      <c r="I118" s="73"/>
      <c r="J118" s="74"/>
      <c r="K118" s="7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25"/>
      <c r="C119" s="25"/>
      <c r="D119" s="4"/>
      <c r="E119" s="4"/>
      <c r="F119" s="4"/>
      <c r="G119" s="4"/>
      <c r="H119" s="72"/>
      <c r="I119" s="73"/>
      <c r="J119" s="74"/>
      <c r="K119" s="7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25"/>
      <c r="C120" s="25"/>
      <c r="D120" s="4"/>
      <c r="E120" s="4"/>
      <c r="F120" s="4"/>
      <c r="G120" s="4"/>
      <c r="H120" s="72"/>
      <c r="I120" s="73"/>
      <c r="J120" s="74"/>
      <c r="K120" s="7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25"/>
      <c r="C121" s="25"/>
      <c r="D121" s="4"/>
      <c r="E121" s="4"/>
      <c r="F121" s="4"/>
      <c r="G121" s="4"/>
      <c r="H121" s="72"/>
      <c r="I121" s="73"/>
      <c r="J121" s="74"/>
      <c r="K121" s="7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25"/>
      <c r="C122" s="25"/>
      <c r="D122" s="4"/>
      <c r="E122" s="4"/>
      <c r="F122" s="4"/>
      <c r="G122" s="4"/>
      <c r="H122" s="72"/>
      <c r="I122" s="73"/>
      <c r="J122" s="74"/>
      <c r="K122" s="7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25"/>
      <c r="C123" s="25"/>
      <c r="D123" s="4"/>
      <c r="E123" s="4"/>
      <c r="F123" s="4"/>
      <c r="G123" s="4"/>
      <c r="H123" s="72"/>
      <c r="I123" s="73"/>
      <c r="J123" s="74"/>
      <c r="K123" s="7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25"/>
      <c r="C124" s="25"/>
      <c r="D124" s="4"/>
      <c r="E124" s="4"/>
      <c r="F124" s="4"/>
      <c r="G124" s="4"/>
      <c r="H124" s="72"/>
      <c r="I124" s="73"/>
      <c r="J124" s="74"/>
      <c r="K124" s="7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25"/>
      <c r="C125" s="25"/>
      <c r="D125" s="4"/>
      <c r="E125" s="4"/>
      <c r="F125" s="4"/>
      <c r="G125" s="4"/>
      <c r="H125" s="72"/>
      <c r="I125" s="73"/>
      <c r="J125" s="74"/>
      <c r="K125" s="7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25"/>
      <c r="C126" s="25"/>
      <c r="D126" s="4"/>
      <c r="E126" s="4"/>
      <c r="F126" s="4"/>
      <c r="G126" s="4"/>
      <c r="H126" s="72"/>
      <c r="I126" s="73"/>
      <c r="J126" s="74"/>
      <c r="K126" s="7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25"/>
      <c r="C127" s="25"/>
      <c r="D127" s="4"/>
      <c r="E127" s="4"/>
      <c r="F127" s="4"/>
      <c r="G127" s="4"/>
      <c r="H127" s="72"/>
      <c r="I127" s="73"/>
      <c r="J127" s="74"/>
      <c r="K127" s="7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25"/>
      <c r="C128" s="25"/>
      <c r="D128" s="4"/>
      <c r="E128" s="4"/>
      <c r="F128" s="4"/>
      <c r="G128" s="4"/>
      <c r="H128" s="72"/>
      <c r="I128" s="73"/>
      <c r="J128" s="74"/>
      <c r="K128" s="7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25"/>
      <c r="C129" s="25"/>
      <c r="D129" s="4"/>
      <c r="E129" s="4"/>
      <c r="F129" s="4"/>
      <c r="G129" s="4"/>
      <c r="H129" s="72"/>
      <c r="I129" s="73"/>
      <c r="J129" s="74"/>
      <c r="K129" s="7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25"/>
      <c r="C130" s="25"/>
      <c r="D130" s="4"/>
      <c r="E130" s="4"/>
      <c r="F130" s="4"/>
      <c r="G130" s="4"/>
      <c r="H130" s="72"/>
      <c r="I130" s="73"/>
      <c r="J130" s="74"/>
      <c r="K130" s="7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25"/>
      <c r="C131" s="25"/>
      <c r="D131" s="4"/>
      <c r="E131" s="4"/>
      <c r="F131" s="4"/>
      <c r="G131" s="4"/>
      <c r="H131" s="72"/>
      <c r="I131" s="73"/>
      <c r="J131" s="74"/>
      <c r="K131" s="7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25"/>
      <c r="C132" s="25"/>
      <c r="D132" s="4"/>
      <c r="E132" s="4"/>
      <c r="F132" s="4"/>
      <c r="G132" s="4"/>
      <c r="H132" s="72"/>
      <c r="I132" s="73"/>
      <c r="J132" s="74"/>
      <c r="K132" s="7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25"/>
      <c r="C133" s="25"/>
      <c r="D133" s="4"/>
      <c r="E133" s="4"/>
      <c r="F133" s="4"/>
      <c r="G133" s="4"/>
      <c r="H133" s="72"/>
      <c r="I133" s="73"/>
      <c r="J133" s="74"/>
      <c r="K133" s="7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25"/>
      <c r="C134" s="25"/>
      <c r="D134" s="4"/>
      <c r="E134" s="4"/>
      <c r="F134" s="4"/>
      <c r="G134" s="4"/>
      <c r="H134" s="72"/>
      <c r="I134" s="73"/>
      <c r="J134" s="74"/>
      <c r="K134" s="7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25"/>
      <c r="C135" s="25"/>
      <c r="D135" s="4"/>
      <c r="E135" s="4"/>
      <c r="F135" s="4"/>
      <c r="G135" s="4"/>
      <c r="H135" s="72"/>
      <c r="I135" s="73"/>
      <c r="J135" s="74"/>
      <c r="K135" s="7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25"/>
      <c r="C136" s="25"/>
      <c r="D136" s="4"/>
      <c r="E136" s="4"/>
      <c r="F136" s="4"/>
      <c r="G136" s="4"/>
      <c r="H136" s="72"/>
      <c r="I136" s="73"/>
      <c r="J136" s="74"/>
      <c r="K136" s="7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25"/>
      <c r="C137" s="25"/>
      <c r="D137" s="4"/>
      <c r="E137" s="4"/>
      <c r="F137" s="4"/>
      <c r="G137" s="4"/>
      <c r="H137" s="72"/>
      <c r="I137" s="73"/>
      <c r="J137" s="74"/>
      <c r="K137" s="7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25"/>
      <c r="C138" s="25"/>
      <c r="D138" s="4"/>
      <c r="E138" s="4"/>
      <c r="F138" s="4"/>
      <c r="G138" s="4"/>
      <c r="H138" s="72"/>
      <c r="I138" s="73"/>
      <c r="J138" s="74"/>
      <c r="K138" s="7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25"/>
      <c r="C139" s="25"/>
      <c r="D139" s="4"/>
      <c r="E139" s="4"/>
      <c r="F139" s="4"/>
      <c r="G139" s="4"/>
      <c r="H139" s="72"/>
      <c r="I139" s="73"/>
      <c r="J139" s="74"/>
      <c r="K139" s="7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25"/>
      <c r="C140" s="25"/>
      <c r="D140" s="4"/>
      <c r="E140" s="4"/>
      <c r="F140" s="4"/>
      <c r="G140" s="4"/>
      <c r="H140" s="72"/>
      <c r="I140" s="73"/>
      <c r="J140" s="74"/>
      <c r="K140" s="7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25"/>
      <c r="C141" s="25"/>
      <c r="D141" s="4"/>
      <c r="E141" s="4"/>
      <c r="F141" s="4"/>
      <c r="G141" s="4"/>
      <c r="H141" s="72"/>
      <c r="I141" s="73"/>
      <c r="J141" s="74"/>
      <c r="K141" s="7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25"/>
      <c r="C142" s="25"/>
      <c r="D142" s="4"/>
      <c r="E142" s="4"/>
      <c r="F142" s="4"/>
      <c r="G142" s="4"/>
      <c r="H142" s="72"/>
      <c r="I142" s="73"/>
      <c r="J142" s="74"/>
      <c r="K142" s="7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25"/>
      <c r="C143" s="25"/>
      <c r="D143" s="4"/>
      <c r="E143" s="4"/>
      <c r="F143" s="4"/>
      <c r="G143" s="4"/>
      <c r="H143" s="72"/>
      <c r="I143" s="73"/>
      <c r="J143" s="74"/>
      <c r="K143" s="7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25"/>
      <c r="C144" s="25"/>
      <c r="D144" s="4"/>
      <c r="E144" s="4"/>
      <c r="F144" s="4"/>
      <c r="G144" s="4"/>
      <c r="H144" s="72"/>
      <c r="I144" s="73"/>
      <c r="J144" s="74"/>
      <c r="K144" s="7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25"/>
      <c r="C145" s="25"/>
      <c r="D145" s="4"/>
      <c r="E145" s="4"/>
      <c r="F145" s="4"/>
      <c r="G145" s="4"/>
      <c r="H145" s="72"/>
      <c r="I145" s="73"/>
      <c r="J145" s="74"/>
      <c r="K145" s="7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25"/>
      <c r="C146" s="25"/>
      <c r="D146" s="4"/>
      <c r="E146" s="4"/>
      <c r="F146" s="4"/>
      <c r="G146" s="4"/>
      <c r="H146" s="72"/>
      <c r="I146" s="73"/>
      <c r="J146" s="74"/>
      <c r="K146" s="7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25"/>
      <c r="C147" s="25"/>
      <c r="D147" s="4"/>
      <c r="E147" s="4"/>
      <c r="F147" s="4"/>
      <c r="G147" s="4"/>
      <c r="H147" s="72"/>
      <c r="I147" s="73"/>
      <c r="J147" s="74"/>
      <c r="K147" s="7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25"/>
      <c r="C148" s="25"/>
      <c r="D148" s="4"/>
      <c r="E148" s="4"/>
      <c r="F148" s="4"/>
      <c r="G148" s="4"/>
      <c r="H148" s="72"/>
      <c r="I148" s="73"/>
      <c r="J148" s="74"/>
      <c r="K148" s="7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25"/>
      <c r="C149" s="25"/>
      <c r="D149" s="4"/>
      <c r="E149" s="4"/>
      <c r="F149" s="4"/>
      <c r="G149" s="4"/>
      <c r="H149" s="72"/>
      <c r="I149" s="73"/>
      <c r="J149" s="74"/>
      <c r="K149" s="7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25"/>
      <c r="C150" s="25"/>
      <c r="D150" s="4"/>
      <c r="E150" s="4"/>
      <c r="F150" s="4"/>
      <c r="G150" s="4"/>
      <c r="H150" s="72"/>
      <c r="I150" s="73"/>
      <c r="J150" s="74"/>
      <c r="K150" s="7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25"/>
      <c r="C151" s="25"/>
      <c r="D151" s="4"/>
      <c r="E151" s="4"/>
      <c r="F151" s="4"/>
      <c r="G151" s="4"/>
      <c r="H151" s="72"/>
      <c r="I151" s="73"/>
      <c r="J151" s="74"/>
      <c r="K151" s="7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25"/>
      <c r="C152" s="25"/>
      <c r="D152" s="4"/>
      <c r="E152" s="4"/>
      <c r="F152" s="4"/>
      <c r="G152" s="4"/>
      <c r="H152" s="72"/>
      <c r="I152" s="73"/>
      <c r="J152" s="74"/>
      <c r="K152" s="7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25"/>
      <c r="C153" s="25"/>
      <c r="D153" s="4"/>
      <c r="E153" s="4"/>
      <c r="F153" s="4"/>
      <c r="G153" s="4"/>
      <c r="H153" s="72"/>
      <c r="I153" s="73"/>
      <c r="J153" s="74"/>
      <c r="K153" s="7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25"/>
      <c r="C154" s="25"/>
      <c r="D154" s="4"/>
      <c r="E154" s="4"/>
      <c r="F154" s="4"/>
      <c r="G154" s="4"/>
      <c r="H154" s="72"/>
      <c r="I154" s="73"/>
      <c r="J154" s="74"/>
      <c r="K154" s="7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25"/>
      <c r="C155" s="25"/>
      <c r="D155" s="4"/>
      <c r="E155" s="4"/>
      <c r="F155" s="4"/>
      <c r="G155" s="4"/>
      <c r="H155" s="72"/>
      <c r="I155" s="73"/>
      <c r="J155" s="74"/>
      <c r="K155" s="7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25"/>
      <c r="C156" s="25"/>
      <c r="D156" s="4"/>
      <c r="E156" s="4"/>
      <c r="F156" s="4"/>
      <c r="G156" s="4"/>
      <c r="H156" s="72"/>
      <c r="I156" s="73"/>
      <c r="J156" s="74"/>
      <c r="K156" s="7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25"/>
      <c r="C157" s="25"/>
      <c r="D157" s="4"/>
      <c r="E157" s="4"/>
      <c r="F157" s="4"/>
      <c r="G157" s="4"/>
      <c r="H157" s="72"/>
      <c r="I157" s="73"/>
      <c r="J157" s="74"/>
      <c r="K157" s="7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25"/>
      <c r="C158" s="25"/>
      <c r="D158" s="4"/>
      <c r="E158" s="4"/>
      <c r="F158" s="4"/>
      <c r="G158" s="4"/>
      <c r="H158" s="72"/>
      <c r="I158" s="73"/>
      <c r="J158" s="74"/>
      <c r="K158" s="7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25"/>
      <c r="C159" s="25"/>
      <c r="D159" s="4"/>
      <c r="E159" s="4"/>
      <c r="F159" s="4"/>
      <c r="G159" s="4"/>
      <c r="H159" s="72"/>
      <c r="I159" s="73"/>
      <c r="J159" s="74"/>
      <c r="K159" s="7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25"/>
      <c r="C160" s="25"/>
      <c r="D160" s="4"/>
      <c r="E160" s="4"/>
      <c r="F160" s="4"/>
      <c r="G160" s="4"/>
      <c r="H160" s="72"/>
      <c r="I160" s="73"/>
      <c r="J160" s="74"/>
      <c r="K160" s="7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25"/>
      <c r="C161" s="25"/>
      <c r="D161" s="4"/>
      <c r="E161" s="4"/>
      <c r="F161" s="4"/>
      <c r="G161" s="4"/>
      <c r="H161" s="72"/>
      <c r="I161" s="73"/>
      <c r="J161" s="74"/>
      <c r="K161" s="7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25"/>
      <c r="C162" s="25"/>
      <c r="D162" s="4"/>
      <c r="E162" s="4"/>
      <c r="F162" s="4"/>
      <c r="G162" s="4"/>
      <c r="H162" s="72"/>
      <c r="I162" s="73"/>
      <c r="J162" s="74"/>
      <c r="K162" s="7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25"/>
      <c r="C163" s="25"/>
      <c r="D163" s="4"/>
      <c r="E163" s="4"/>
      <c r="F163" s="4"/>
      <c r="G163" s="4"/>
      <c r="H163" s="72"/>
      <c r="I163" s="73"/>
      <c r="J163" s="74"/>
      <c r="K163" s="7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25"/>
      <c r="C164" s="25"/>
      <c r="D164" s="4"/>
      <c r="E164" s="4"/>
      <c r="F164" s="4"/>
      <c r="G164" s="4"/>
      <c r="H164" s="72"/>
      <c r="I164" s="73"/>
      <c r="J164" s="74"/>
      <c r="K164" s="7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25"/>
      <c r="C165" s="25"/>
      <c r="D165" s="4"/>
      <c r="E165" s="4"/>
      <c r="F165" s="4"/>
      <c r="G165" s="4"/>
      <c r="H165" s="72"/>
      <c r="I165" s="73"/>
      <c r="J165" s="74"/>
      <c r="K165" s="7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25"/>
      <c r="C166" s="25"/>
      <c r="D166" s="4"/>
      <c r="E166" s="4"/>
      <c r="F166" s="4"/>
      <c r="G166" s="4"/>
      <c r="H166" s="72"/>
      <c r="I166" s="73"/>
      <c r="J166" s="74"/>
      <c r="K166" s="7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25"/>
      <c r="C167" s="25"/>
      <c r="D167" s="4"/>
      <c r="E167" s="4"/>
      <c r="F167" s="4"/>
      <c r="G167" s="4"/>
      <c r="H167" s="72"/>
      <c r="I167" s="73"/>
      <c r="J167" s="74"/>
      <c r="K167" s="7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25"/>
      <c r="C168" s="25"/>
      <c r="D168" s="4"/>
      <c r="E168" s="4"/>
      <c r="F168" s="4"/>
      <c r="G168" s="4"/>
      <c r="H168" s="72"/>
      <c r="I168" s="73"/>
      <c r="J168" s="74"/>
      <c r="K168" s="7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25"/>
      <c r="C169" s="25"/>
      <c r="D169" s="4"/>
      <c r="E169" s="4"/>
      <c r="F169" s="4"/>
      <c r="G169" s="4"/>
      <c r="H169" s="72"/>
      <c r="I169" s="73"/>
      <c r="J169" s="74"/>
      <c r="K169" s="7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25"/>
      <c r="C170" s="25"/>
      <c r="D170" s="4"/>
      <c r="E170" s="4"/>
      <c r="F170" s="4"/>
      <c r="G170" s="4"/>
      <c r="H170" s="72"/>
      <c r="I170" s="73"/>
      <c r="J170" s="74"/>
      <c r="K170" s="7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25"/>
      <c r="C171" s="25"/>
      <c r="D171" s="4"/>
      <c r="E171" s="4"/>
      <c r="F171" s="4"/>
      <c r="G171" s="4"/>
      <c r="H171" s="72"/>
      <c r="I171" s="73"/>
      <c r="J171" s="74"/>
      <c r="K171" s="7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25"/>
      <c r="C172" s="25"/>
      <c r="D172" s="4"/>
      <c r="E172" s="4"/>
      <c r="F172" s="4"/>
      <c r="G172" s="4"/>
      <c r="H172" s="72"/>
      <c r="I172" s="73"/>
      <c r="J172" s="74"/>
      <c r="K172" s="7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25"/>
      <c r="C173" s="25"/>
      <c r="D173" s="4"/>
      <c r="E173" s="4"/>
      <c r="F173" s="4"/>
      <c r="G173" s="4"/>
      <c r="H173" s="72"/>
      <c r="I173" s="73"/>
      <c r="J173" s="74"/>
      <c r="K173" s="7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25"/>
      <c r="C174" s="25"/>
      <c r="D174" s="4"/>
      <c r="E174" s="4"/>
      <c r="F174" s="4"/>
      <c r="G174" s="4"/>
      <c r="H174" s="72"/>
      <c r="I174" s="73"/>
      <c r="J174" s="74"/>
      <c r="K174" s="7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25"/>
      <c r="C175" s="25"/>
      <c r="D175" s="4"/>
      <c r="E175" s="4"/>
      <c r="F175" s="4"/>
      <c r="G175" s="4"/>
      <c r="H175" s="72"/>
      <c r="I175" s="73"/>
      <c r="J175" s="74"/>
      <c r="K175" s="7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25"/>
      <c r="C176" s="25"/>
      <c r="D176" s="4"/>
      <c r="E176" s="4"/>
      <c r="F176" s="4"/>
      <c r="G176" s="4"/>
      <c r="H176" s="72"/>
      <c r="I176" s="73"/>
      <c r="J176" s="74"/>
      <c r="K176" s="7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25"/>
      <c r="C177" s="25"/>
      <c r="D177" s="4"/>
      <c r="E177" s="4"/>
      <c r="F177" s="4"/>
      <c r="G177" s="4"/>
      <c r="H177" s="72"/>
      <c r="I177" s="73"/>
      <c r="J177" s="74"/>
      <c r="K177" s="7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25"/>
      <c r="C178" s="25"/>
      <c r="D178" s="4"/>
      <c r="E178" s="4"/>
      <c r="F178" s="4"/>
      <c r="G178" s="4"/>
      <c r="H178" s="72"/>
      <c r="I178" s="73"/>
      <c r="J178" s="74"/>
      <c r="K178" s="7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25"/>
      <c r="C179" s="25"/>
      <c r="D179" s="4"/>
      <c r="E179" s="4"/>
      <c r="F179" s="4"/>
      <c r="G179" s="4"/>
      <c r="H179" s="72"/>
      <c r="I179" s="73"/>
      <c r="J179" s="74"/>
      <c r="K179" s="7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25"/>
      <c r="C180" s="25"/>
      <c r="D180" s="4"/>
      <c r="E180" s="4"/>
      <c r="F180" s="4"/>
      <c r="G180" s="4"/>
      <c r="H180" s="72"/>
      <c r="I180" s="73"/>
      <c r="J180" s="74"/>
      <c r="K180" s="7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25"/>
      <c r="C181" s="25"/>
      <c r="D181" s="4"/>
      <c r="E181" s="4"/>
      <c r="F181" s="4"/>
      <c r="G181" s="4"/>
      <c r="H181" s="72"/>
      <c r="I181" s="73"/>
      <c r="J181" s="74"/>
      <c r="K181" s="7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25"/>
      <c r="C182" s="25"/>
      <c r="D182" s="4"/>
      <c r="E182" s="4"/>
      <c r="F182" s="4"/>
      <c r="G182" s="4"/>
      <c r="H182" s="72"/>
      <c r="I182" s="73"/>
      <c r="J182" s="74"/>
      <c r="K182" s="7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25"/>
      <c r="C183" s="25"/>
      <c r="D183" s="4"/>
      <c r="E183" s="4"/>
      <c r="F183" s="4"/>
      <c r="G183" s="4"/>
      <c r="H183" s="72"/>
      <c r="I183" s="73"/>
      <c r="J183" s="74"/>
      <c r="K183" s="7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25"/>
      <c r="C184" s="25"/>
      <c r="D184" s="4"/>
      <c r="E184" s="4"/>
      <c r="F184" s="4"/>
      <c r="G184" s="4"/>
      <c r="H184" s="72"/>
      <c r="I184" s="73"/>
      <c r="J184" s="74"/>
      <c r="K184" s="7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25"/>
      <c r="C185" s="25"/>
      <c r="D185" s="4"/>
      <c r="E185" s="4"/>
      <c r="F185" s="4"/>
      <c r="G185" s="4"/>
      <c r="H185" s="72"/>
      <c r="I185" s="73"/>
      <c r="J185" s="74"/>
      <c r="K185" s="7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25"/>
      <c r="C186" s="25"/>
      <c r="D186" s="4"/>
      <c r="E186" s="4"/>
      <c r="F186" s="4"/>
      <c r="G186" s="4"/>
      <c r="H186" s="72"/>
      <c r="I186" s="73"/>
      <c r="J186" s="74"/>
      <c r="K186" s="7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25"/>
      <c r="C187" s="25"/>
      <c r="D187" s="4"/>
      <c r="E187" s="4"/>
      <c r="F187" s="4"/>
      <c r="G187" s="4"/>
      <c r="H187" s="72"/>
      <c r="I187" s="73"/>
      <c r="J187" s="74"/>
      <c r="K187" s="7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25"/>
      <c r="C188" s="25"/>
      <c r="D188" s="4"/>
      <c r="E188" s="4"/>
      <c r="F188" s="4"/>
      <c r="G188" s="4"/>
      <c r="H188" s="72"/>
      <c r="I188" s="73"/>
      <c r="J188" s="74"/>
      <c r="K188" s="7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25"/>
      <c r="C189" s="25"/>
      <c r="D189" s="4"/>
      <c r="E189" s="4"/>
      <c r="F189" s="4"/>
      <c r="G189" s="4"/>
      <c r="H189" s="72"/>
      <c r="I189" s="73"/>
      <c r="J189" s="74"/>
      <c r="K189" s="7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25"/>
      <c r="C190" s="25"/>
      <c r="D190" s="4"/>
      <c r="E190" s="4"/>
      <c r="F190" s="4"/>
      <c r="G190" s="4"/>
      <c r="H190" s="72"/>
      <c r="I190" s="73"/>
      <c r="J190" s="74"/>
      <c r="K190" s="7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25"/>
      <c r="C191" s="25"/>
      <c r="D191" s="4"/>
      <c r="E191" s="4"/>
      <c r="F191" s="4"/>
      <c r="G191" s="4"/>
      <c r="H191" s="72"/>
      <c r="I191" s="73"/>
      <c r="J191" s="74"/>
      <c r="K191" s="7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25"/>
      <c r="C192" s="25"/>
      <c r="D192" s="4"/>
      <c r="E192" s="4"/>
      <c r="F192" s="4"/>
      <c r="G192" s="4"/>
      <c r="H192" s="72"/>
      <c r="I192" s="73"/>
      <c r="J192" s="74"/>
      <c r="K192" s="7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25"/>
      <c r="C193" s="25"/>
      <c r="D193" s="4"/>
      <c r="E193" s="4"/>
      <c r="F193" s="4"/>
      <c r="G193" s="4"/>
      <c r="H193" s="72"/>
      <c r="I193" s="73"/>
      <c r="J193" s="74"/>
      <c r="K193" s="7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25"/>
      <c r="C194" s="25"/>
      <c r="D194" s="4"/>
      <c r="E194" s="4"/>
      <c r="F194" s="4"/>
      <c r="G194" s="4"/>
      <c r="H194" s="72"/>
      <c r="I194" s="73"/>
      <c r="J194" s="74"/>
      <c r="K194" s="7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25"/>
      <c r="C195" s="25"/>
      <c r="D195" s="4"/>
      <c r="E195" s="4"/>
      <c r="F195" s="4"/>
      <c r="G195" s="4"/>
      <c r="H195" s="72"/>
      <c r="I195" s="73"/>
      <c r="J195" s="74"/>
      <c r="K195" s="7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25"/>
      <c r="C196" s="25"/>
      <c r="D196" s="4"/>
      <c r="E196" s="4"/>
      <c r="F196" s="4"/>
      <c r="G196" s="4"/>
      <c r="H196" s="72"/>
      <c r="I196" s="73"/>
      <c r="J196" s="74"/>
      <c r="K196" s="7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25"/>
      <c r="C197" s="25"/>
      <c r="D197" s="4"/>
      <c r="E197" s="4"/>
      <c r="F197" s="4"/>
      <c r="G197" s="4"/>
      <c r="H197" s="72"/>
      <c r="I197" s="73"/>
      <c r="J197" s="74"/>
      <c r="K197" s="7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25"/>
      <c r="C198" s="25"/>
      <c r="D198" s="4"/>
      <c r="E198" s="4"/>
      <c r="F198" s="4"/>
      <c r="G198" s="4"/>
      <c r="H198" s="72"/>
      <c r="I198" s="73"/>
      <c r="J198" s="74"/>
      <c r="K198" s="7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25"/>
      <c r="C199" s="25"/>
      <c r="D199" s="4"/>
      <c r="E199" s="4"/>
      <c r="F199" s="4"/>
      <c r="G199" s="4"/>
      <c r="H199" s="72"/>
      <c r="I199" s="73"/>
      <c r="J199" s="74"/>
      <c r="K199" s="7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25"/>
      <c r="C200" s="25"/>
      <c r="D200" s="4"/>
      <c r="E200" s="4"/>
      <c r="F200" s="4"/>
      <c r="G200" s="4"/>
      <c r="H200" s="72"/>
      <c r="I200" s="73"/>
      <c r="J200" s="74"/>
      <c r="K200" s="7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25"/>
      <c r="C201" s="25"/>
      <c r="D201" s="4"/>
      <c r="E201" s="4"/>
      <c r="F201" s="4"/>
      <c r="G201" s="4"/>
      <c r="H201" s="72"/>
      <c r="I201" s="73"/>
      <c r="J201" s="74"/>
      <c r="K201" s="7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25"/>
      <c r="C202" s="25"/>
      <c r="D202" s="4"/>
      <c r="E202" s="4"/>
      <c r="F202" s="4"/>
      <c r="G202" s="4"/>
      <c r="H202" s="72"/>
      <c r="I202" s="73"/>
      <c r="J202" s="74"/>
      <c r="K202" s="7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25"/>
      <c r="C203" s="25"/>
      <c r="D203" s="4"/>
      <c r="E203" s="4"/>
      <c r="F203" s="4"/>
      <c r="G203" s="4"/>
      <c r="H203" s="72"/>
      <c r="I203" s="73"/>
      <c r="J203" s="74"/>
      <c r="K203" s="7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25"/>
      <c r="C204" s="25"/>
      <c r="D204" s="4"/>
      <c r="E204" s="4"/>
      <c r="F204" s="4"/>
      <c r="G204" s="4"/>
      <c r="H204" s="72"/>
      <c r="I204" s="73"/>
      <c r="J204" s="74"/>
      <c r="K204" s="7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25"/>
      <c r="C205" s="25"/>
      <c r="D205" s="4"/>
      <c r="E205" s="4"/>
      <c r="F205" s="4"/>
      <c r="G205" s="4"/>
      <c r="H205" s="72"/>
      <c r="I205" s="73"/>
      <c r="J205" s="74"/>
      <c r="K205" s="7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25"/>
      <c r="C206" s="25"/>
      <c r="D206" s="4"/>
      <c r="E206" s="4"/>
      <c r="F206" s="4"/>
      <c r="G206" s="4"/>
      <c r="H206" s="72"/>
      <c r="I206" s="73"/>
      <c r="J206" s="74"/>
      <c r="K206" s="7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25"/>
      <c r="C207" s="25"/>
      <c r="D207" s="4"/>
      <c r="E207" s="4"/>
      <c r="F207" s="4"/>
      <c r="G207" s="4"/>
      <c r="H207" s="72"/>
      <c r="I207" s="73"/>
      <c r="J207" s="74"/>
      <c r="K207" s="7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25"/>
      <c r="C208" s="25"/>
      <c r="D208" s="4"/>
      <c r="E208" s="4"/>
      <c r="F208" s="4"/>
      <c r="G208" s="4"/>
      <c r="H208" s="72"/>
      <c r="I208" s="73"/>
      <c r="J208" s="74"/>
      <c r="K208" s="7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25"/>
      <c r="C209" s="25"/>
      <c r="D209" s="4"/>
      <c r="E209" s="4"/>
      <c r="F209" s="4"/>
      <c r="G209" s="4"/>
      <c r="H209" s="72"/>
      <c r="I209" s="73"/>
      <c r="J209" s="74"/>
      <c r="K209" s="7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25"/>
      <c r="C210" s="25"/>
      <c r="D210" s="4"/>
      <c r="E210" s="4"/>
      <c r="F210" s="4"/>
      <c r="G210" s="4"/>
      <c r="H210" s="72"/>
      <c r="I210" s="73"/>
      <c r="J210" s="74"/>
      <c r="K210" s="7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25"/>
      <c r="C211" s="25"/>
      <c r="D211" s="4"/>
      <c r="E211" s="4"/>
      <c r="F211" s="4"/>
      <c r="G211" s="4"/>
      <c r="H211" s="72"/>
      <c r="I211" s="73"/>
      <c r="J211" s="74"/>
      <c r="K211" s="7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25"/>
      <c r="C212" s="25"/>
      <c r="D212" s="4"/>
      <c r="E212" s="4"/>
      <c r="F212" s="4"/>
      <c r="G212" s="4"/>
      <c r="H212" s="72"/>
      <c r="I212" s="73"/>
      <c r="J212" s="74"/>
      <c r="K212" s="7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25"/>
      <c r="C213" s="25"/>
      <c r="D213" s="4"/>
      <c r="E213" s="4"/>
      <c r="F213" s="4"/>
      <c r="G213" s="4"/>
      <c r="H213" s="72"/>
      <c r="I213" s="73"/>
      <c r="J213" s="74"/>
      <c r="K213" s="7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25"/>
      <c r="C214" s="25"/>
      <c r="D214" s="4"/>
      <c r="E214" s="4"/>
      <c r="F214" s="4"/>
      <c r="G214" s="4"/>
      <c r="H214" s="72"/>
      <c r="I214" s="73"/>
      <c r="J214" s="74"/>
      <c r="K214" s="7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25"/>
      <c r="C215" s="25"/>
      <c r="D215" s="4"/>
      <c r="E215" s="4"/>
      <c r="F215" s="4"/>
      <c r="G215" s="4"/>
      <c r="H215" s="72"/>
      <c r="I215" s="73"/>
      <c r="J215" s="74"/>
      <c r="K215" s="7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25"/>
      <c r="C216" s="25"/>
      <c r="D216" s="4"/>
      <c r="E216" s="4"/>
      <c r="F216" s="4"/>
      <c r="G216" s="4"/>
      <c r="H216" s="72"/>
      <c r="I216" s="73"/>
      <c r="J216" s="74"/>
      <c r="K216" s="7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25"/>
      <c r="C217" s="25"/>
      <c r="D217" s="4"/>
      <c r="E217" s="4"/>
      <c r="F217" s="4"/>
      <c r="G217" s="4"/>
      <c r="H217" s="72"/>
      <c r="I217" s="73"/>
      <c r="J217" s="74"/>
      <c r="K217" s="7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25"/>
      <c r="C218" s="25"/>
      <c r="D218" s="4"/>
      <c r="E218" s="4"/>
      <c r="F218" s="4"/>
      <c r="G218" s="4"/>
      <c r="H218" s="72"/>
      <c r="I218" s="73"/>
      <c r="J218" s="74"/>
      <c r="K218" s="7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25"/>
      <c r="C219" s="25"/>
      <c r="D219" s="4"/>
      <c r="E219" s="4"/>
      <c r="F219" s="4"/>
      <c r="G219" s="4"/>
      <c r="H219" s="72"/>
      <c r="I219" s="73"/>
      <c r="J219" s="74"/>
      <c r="K219" s="7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25"/>
      <c r="C220" s="25"/>
      <c r="D220" s="4"/>
      <c r="E220" s="4"/>
      <c r="F220" s="4"/>
      <c r="G220" s="4"/>
      <c r="H220" s="72"/>
      <c r="I220" s="73"/>
      <c r="J220" s="74"/>
      <c r="K220" s="7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25"/>
      <c r="C221" s="25"/>
      <c r="D221" s="4"/>
      <c r="E221" s="4"/>
      <c r="F221" s="4"/>
      <c r="G221" s="4"/>
      <c r="H221" s="72"/>
      <c r="I221" s="73"/>
      <c r="J221" s="74"/>
      <c r="K221" s="7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25"/>
      <c r="C222" s="25"/>
      <c r="D222" s="4"/>
      <c r="E222" s="4"/>
      <c r="F222" s="4"/>
      <c r="G222" s="4"/>
      <c r="H222" s="72"/>
      <c r="I222" s="73"/>
      <c r="J222" s="74"/>
      <c r="K222" s="7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25"/>
      <c r="C223" s="25"/>
      <c r="D223" s="4"/>
      <c r="E223" s="4"/>
      <c r="F223" s="4"/>
      <c r="G223" s="4"/>
      <c r="H223" s="72"/>
      <c r="I223" s="73"/>
      <c r="J223" s="74"/>
      <c r="K223" s="7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25"/>
      <c r="C224" s="25"/>
      <c r="D224" s="4"/>
      <c r="E224" s="4"/>
      <c r="F224" s="4"/>
      <c r="G224" s="4"/>
      <c r="H224" s="72"/>
      <c r="I224" s="73"/>
      <c r="J224" s="74"/>
      <c r="K224" s="7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25"/>
      <c r="C225" s="25"/>
      <c r="D225" s="4"/>
      <c r="E225" s="4"/>
      <c r="F225" s="4"/>
      <c r="G225" s="4"/>
      <c r="H225" s="72"/>
      <c r="I225" s="73"/>
      <c r="J225" s="74"/>
      <c r="K225" s="7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25"/>
      <c r="C226" s="25"/>
      <c r="D226" s="4"/>
      <c r="E226" s="4"/>
      <c r="F226" s="4"/>
      <c r="G226" s="4"/>
      <c r="H226" s="72"/>
      <c r="I226" s="73"/>
      <c r="J226" s="74"/>
      <c r="K226" s="7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25"/>
      <c r="C227" s="25"/>
      <c r="D227" s="4"/>
      <c r="E227" s="4"/>
      <c r="F227" s="4"/>
      <c r="G227" s="4"/>
      <c r="H227" s="72"/>
      <c r="I227" s="73"/>
      <c r="J227" s="74"/>
      <c r="K227" s="7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25"/>
      <c r="C228" s="25"/>
      <c r="D228" s="4"/>
      <c r="E228" s="4"/>
      <c r="F228" s="4"/>
      <c r="G228" s="4"/>
      <c r="H228" s="72"/>
      <c r="I228" s="73"/>
      <c r="J228" s="74"/>
      <c r="K228" s="7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25"/>
      <c r="C229" s="25"/>
      <c r="D229" s="4"/>
      <c r="E229" s="4"/>
      <c r="F229" s="4"/>
      <c r="G229" s="4"/>
      <c r="H229" s="72"/>
      <c r="I229" s="73"/>
      <c r="J229" s="74"/>
      <c r="K229" s="7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25"/>
      <c r="C230" s="25"/>
      <c r="D230" s="4"/>
      <c r="E230" s="4"/>
      <c r="F230" s="4"/>
      <c r="G230" s="4"/>
      <c r="H230" s="72"/>
      <c r="I230" s="73"/>
      <c r="J230" s="74"/>
      <c r="K230" s="7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25"/>
      <c r="C231" s="25"/>
      <c r="D231" s="4"/>
      <c r="E231" s="4"/>
      <c r="F231" s="4"/>
      <c r="G231" s="4"/>
      <c r="H231" s="72"/>
      <c r="I231" s="73"/>
      <c r="J231" s="74"/>
      <c r="K231" s="7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25"/>
      <c r="C232" s="25"/>
      <c r="D232" s="4"/>
      <c r="E232" s="4"/>
      <c r="F232" s="4"/>
      <c r="G232" s="4"/>
      <c r="H232" s="72"/>
      <c r="I232" s="73"/>
      <c r="J232" s="74"/>
      <c r="K232" s="7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25"/>
      <c r="C233" s="25"/>
      <c r="D233" s="4"/>
      <c r="E233" s="4"/>
      <c r="F233" s="4"/>
      <c r="G233" s="4"/>
      <c r="H233" s="72"/>
      <c r="I233" s="73"/>
      <c r="J233" s="74"/>
      <c r="K233" s="7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25"/>
      <c r="C234" s="25"/>
      <c r="D234" s="4"/>
      <c r="E234" s="4"/>
      <c r="F234" s="4"/>
      <c r="G234" s="4"/>
      <c r="H234" s="72"/>
      <c r="I234" s="73"/>
      <c r="J234" s="74"/>
      <c r="K234" s="7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25"/>
      <c r="C235" s="25"/>
      <c r="D235" s="4"/>
      <c r="E235" s="4"/>
      <c r="F235" s="4"/>
      <c r="G235" s="4"/>
      <c r="H235" s="72"/>
      <c r="I235" s="73"/>
      <c r="J235" s="74"/>
      <c r="K235" s="7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25"/>
      <c r="C236" s="25"/>
      <c r="D236" s="4"/>
      <c r="E236" s="4"/>
      <c r="F236" s="4"/>
      <c r="G236" s="4"/>
      <c r="H236" s="72"/>
      <c r="I236" s="73"/>
      <c r="J236" s="74"/>
      <c r="K236" s="7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25"/>
      <c r="C237" s="25"/>
      <c r="D237" s="4"/>
      <c r="E237" s="4"/>
      <c r="F237" s="4"/>
      <c r="G237" s="4"/>
      <c r="H237" s="72"/>
      <c r="I237" s="73"/>
      <c r="J237" s="74"/>
      <c r="K237" s="7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25"/>
      <c r="C238" s="25"/>
      <c r="D238" s="4"/>
      <c r="E238" s="4"/>
      <c r="F238" s="4"/>
      <c r="G238" s="4"/>
      <c r="H238" s="72"/>
      <c r="I238" s="73"/>
      <c r="J238" s="74"/>
      <c r="K238" s="7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25"/>
      <c r="C239" s="25"/>
      <c r="D239" s="4"/>
      <c r="E239" s="4"/>
      <c r="F239" s="4"/>
      <c r="G239" s="4"/>
      <c r="H239" s="72"/>
      <c r="I239" s="73"/>
      <c r="J239" s="74"/>
      <c r="K239" s="7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25"/>
      <c r="C240" s="25"/>
      <c r="D240" s="4"/>
      <c r="E240" s="4"/>
      <c r="F240" s="4"/>
      <c r="G240" s="4"/>
      <c r="H240" s="72"/>
      <c r="I240" s="73"/>
      <c r="J240" s="74"/>
      <c r="K240" s="7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25"/>
      <c r="C241" s="25"/>
      <c r="D241" s="4"/>
      <c r="E241" s="4"/>
      <c r="F241" s="4"/>
      <c r="G241" s="4"/>
      <c r="H241" s="72"/>
      <c r="I241" s="73"/>
      <c r="J241" s="74"/>
      <c r="K241" s="7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25"/>
      <c r="C242" s="25"/>
      <c r="D242" s="4"/>
      <c r="E242" s="4"/>
      <c r="F242" s="4"/>
      <c r="G242" s="4"/>
      <c r="H242" s="72"/>
      <c r="I242" s="73"/>
      <c r="J242" s="74"/>
      <c r="K242" s="7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25"/>
      <c r="C243" s="25"/>
      <c r="D243" s="4"/>
      <c r="E243" s="4"/>
      <c r="F243" s="4"/>
      <c r="G243" s="4"/>
      <c r="H243" s="72"/>
      <c r="I243" s="73"/>
      <c r="J243" s="74"/>
      <c r="K243" s="7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25"/>
      <c r="C244" s="25"/>
      <c r="D244" s="4"/>
      <c r="E244" s="4"/>
      <c r="F244" s="4"/>
      <c r="G244" s="4"/>
      <c r="H244" s="72"/>
      <c r="I244" s="73"/>
      <c r="J244" s="74"/>
      <c r="K244" s="7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25"/>
      <c r="C245" s="25"/>
      <c r="D245" s="4"/>
      <c r="E245" s="4"/>
      <c r="F245" s="4"/>
      <c r="G245" s="4"/>
      <c r="H245" s="72"/>
      <c r="I245" s="73"/>
      <c r="J245" s="74"/>
      <c r="K245" s="7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25"/>
      <c r="C246" s="25"/>
      <c r="D246" s="4"/>
      <c r="E246" s="4"/>
      <c r="F246" s="4"/>
      <c r="G246" s="4"/>
      <c r="H246" s="72"/>
      <c r="I246" s="73"/>
      <c r="J246" s="74"/>
      <c r="K246" s="7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25"/>
      <c r="C247" s="25"/>
      <c r="D247" s="4"/>
      <c r="E247" s="4"/>
      <c r="F247" s="4"/>
      <c r="G247" s="4"/>
      <c r="H247" s="72"/>
      <c r="I247" s="73"/>
      <c r="J247" s="74"/>
      <c r="K247" s="7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25"/>
      <c r="C248" s="25"/>
      <c r="D248" s="4"/>
      <c r="E248" s="4"/>
      <c r="F248" s="4"/>
      <c r="G248" s="4"/>
      <c r="H248" s="72"/>
      <c r="I248" s="73"/>
      <c r="J248" s="74"/>
      <c r="K248" s="7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25"/>
      <c r="C249" s="25"/>
      <c r="D249" s="4"/>
      <c r="E249" s="4"/>
      <c r="F249" s="4"/>
      <c r="G249" s="4"/>
      <c r="H249" s="72"/>
      <c r="I249" s="73"/>
      <c r="J249" s="74"/>
      <c r="K249" s="7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25"/>
      <c r="C250" s="25"/>
      <c r="D250" s="4"/>
      <c r="E250" s="4"/>
      <c r="F250" s="4"/>
      <c r="G250" s="4"/>
      <c r="H250" s="72"/>
      <c r="I250" s="73"/>
      <c r="J250" s="74"/>
      <c r="K250" s="7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25"/>
      <c r="C251" s="25"/>
      <c r="D251" s="4"/>
      <c r="E251" s="4"/>
      <c r="F251" s="4"/>
      <c r="G251" s="4"/>
      <c r="H251" s="72"/>
      <c r="I251" s="73"/>
      <c r="J251" s="74"/>
      <c r="K251" s="7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25"/>
      <c r="C252" s="25"/>
      <c r="D252" s="4"/>
      <c r="E252" s="4"/>
      <c r="F252" s="4"/>
      <c r="G252" s="4"/>
      <c r="H252" s="72"/>
      <c r="I252" s="73"/>
      <c r="J252" s="74"/>
      <c r="K252" s="7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25"/>
      <c r="C253" s="25"/>
      <c r="D253" s="4"/>
      <c r="E253" s="4"/>
      <c r="F253" s="4"/>
      <c r="G253" s="4"/>
      <c r="H253" s="72"/>
      <c r="I253" s="73"/>
      <c r="J253" s="74"/>
      <c r="K253" s="7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25"/>
      <c r="C254" s="25"/>
      <c r="D254" s="4"/>
      <c r="E254" s="4"/>
      <c r="F254" s="4"/>
      <c r="G254" s="4"/>
      <c r="H254" s="72"/>
      <c r="I254" s="73"/>
      <c r="J254" s="74"/>
      <c r="K254" s="7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25"/>
      <c r="C255" s="25"/>
      <c r="D255" s="4"/>
      <c r="E255" s="4"/>
      <c r="F255" s="4"/>
      <c r="G255" s="4"/>
      <c r="H255" s="72"/>
      <c r="I255" s="73"/>
      <c r="J255" s="74"/>
      <c r="K255" s="7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25"/>
      <c r="C256" s="25"/>
      <c r="D256" s="4"/>
      <c r="E256" s="4"/>
      <c r="F256" s="4"/>
      <c r="G256" s="4"/>
      <c r="H256" s="72"/>
      <c r="I256" s="73"/>
      <c r="J256" s="74"/>
      <c r="K256" s="7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25"/>
      <c r="C257" s="25"/>
      <c r="D257" s="4"/>
      <c r="E257" s="4"/>
      <c r="F257" s="4"/>
      <c r="G257" s="4"/>
      <c r="H257" s="72"/>
      <c r="I257" s="73"/>
      <c r="J257" s="74"/>
      <c r="K257" s="7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25"/>
      <c r="C258" s="25"/>
      <c r="D258" s="4"/>
      <c r="E258" s="4"/>
      <c r="F258" s="4"/>
      <c r="G258" s="4"/>
      <c r="H258" s="72"/>
      <c r="I258" s="73"/>
      <c r="J258" s="74"/>
      <c r="K258" s="7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25"/>
      <c r="C259" s="25"/>
      <c r="D259" s="4"/>
      <c r="E259" s="4"/>
      <c r="F259" s="4"/>
      <c r="G259" s="4"/>
      <c r="H259" s="72"/>
      <c r="I259" s="73"/>
      <c r="J259" s="74"/>
      <c r="K259" s="7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25"/>
      <c r="C260" s="25"/>
      <c r="D260" s="4"/>
      <c r="E260" s="4"/>
      <c r="F260" s="4"/>
      <c r="G260" s="4"/>
      <c r="H260" s="72"/>
      <c r="I260" s="73"/>
      <c r="J260" s="74"/>
      <c r="K260" s="7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25"/>
      <c r="C261" s="25"/>
      <c r="D261" s="4"/>
      <c r="E261" s="4"/>
      <c r="F261" s="4"/>
      <c r="G261" s="4"/>
      <c r="H261" s="72"/>
      <c r="I261" s="73"/>
      <c r="J261" s="74"/>
      <c r="K261" s="7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25"/>
      <c r="C262" s="25"/>
      <c r="D262" s="4"/>
      <c r="E262" s="4"/>
      <c r="F262" s="4"/>
      <c r="G262" s="4"/>
      <c r="H262" s="72"/>
      <c r="I262" s="73"/>
      <c r="J262" s="74"/>
      <c r="K262" s="7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25"/>
      <c r="C263" s="25"/>
      <c r="D263" s="4"/>
      <c r="E263" s="4"/>
      <c r="F263" s="4"/>
      <c r="G263" s="4"/>
      <c r="H263" s="72"/>
      <c r="I263" s="73"/>
      <c r="J263" s="74"/>
      <c r="K263" s="7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25"/>
      <c r="C264" s="25"/>
      <c r="D264" s="4"/>
      <c r="E264" s="4"/>
      <c r="F264" s="4"/>
      <c r="G264" s="4"/>
      <c r="H264" s="72"/>
      <c r="I264" s="73"/>
      <c r="J264" s="74"/>
      <c r="K264" s="7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25"/>
      <c r="C265" s="25"/>
      <c r="D265" s="4"/>
      <c r="E265" s="4"/>
      <c r="F265" s="4"/>
      <c r="G265" s="4"/>
      <c r="H265" s="72"/>
      <c r="I265" s="73"/>
      <c r="J265" s="74"/>
      <c r="K265" s="7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25"/>
      <c r="C266" s="25"/>
      <c r="D266" s="4"/>
      <c r="E266" s="4"/>
      <c r="F266" s="4"/>
      <c r="G266" s="4"/>
      <c r="H266" s="72"/>
      <c r="I266" s="73"/>
      <c r="J266" s="74"/>
      <c r="K266" s="7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25"/>
      <c r="C267" s="25"/>
      <c r="D267" s="4"/>
      <c r="E267" s="4"/>
      <c r="F267" s="4"/>
      <c r="G267" s="4"/>
      <c r="H267" s="72"/>
      <c r="I267" s="73"/>
      <c r="J267" s="74"/>
      <c r="K267" s="7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25"/>
      <c r="C268" s="25"/>
      <c r="D268" s="4"/>
      <c r="E268" s="4"/>
      <c r="F268" s="4"/>
      <c r="G268" s="4"/>
      <c r="H268" s="72"/>
      <c r="I268" s="73"/>
      <c r="J268" s="74"/>
      <c r="K268" s="7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25"/>
      <c r="C269" s="25"/>
      <c r="D269" s="4"/>
      <c r="E269" s="4"/>
      <c r="F269" s="4"/>
      <c r="G269" s="4"/>
      <c r="H269" s="72"/>
      <c r="I269" s="73"/>
      <c r="J269" s="74"/>
      <c r="K269" s="7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25"/>
      <c r="C270" s="25"/>
      <c r="D270" s="4"/>
      <c r="E270" s="4"/>
      <c r="F270" s="4"/>
      <c r="G270" s="4"/>
      <c r="H270" s="72"/>
      <c r="I270" s="73"/>
      <c r="J270" s="74"/>
      <c r="K270" s="7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25"/>
      <c r="C271" s="25"/>
      <c r="D271" s="4"/>
      <c r="E271" s="4"/>
      <c r="F271" s="4"/>
      <c r="G271" s="4"/>
      <c r="H271" s="72"/>
      <c r="I271" s="73"/>
      <c r="J271" s="74"/>
      <c r="K271" s="7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25"/>
      <c r="C272" s="25"/>
      <c r="D272" s="4"/>
      <c r="E272" s="4"/>
      <c r="F272" s="4"/>
      <c r="G272" s="4"/>
      <c r="H272" s="72"/>
      <c r="I272" s="73"/>
      <c r="J272" s="74"/>
      <c r="K272" s="7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25"/>
      <c r="C273" s="25"/>
      <c r="D273" s="4"/>
      <c r="E273" s="4"/>
      <c r="F273" s="4"/>
      <c r="G273" s="4"/>
      <c r="H273" s="72"/>
      <c r="I273" s="73"/>
      <c r="J273" s="74"/>
      <c r="K273" s="7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25"/>
      <c r="C274" s="25"/>
      <c r="D274" s="4"/>
      <c r="E274" s="4"/>
      <c r="F274" s="4"/>
      <c r="G274" s="4"/>
      <c r="H274" s="72"/>
      <c r="I274" s="73"/>
      <c r="J274" s="74"/>
      <c r="K274" s="7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25"/>
      <c r="C275" s="25"/>
      <c r="D275" s="4"/>
      <c r="E275" s="4"/>
      <c r="F275" s="4"/>
      <c r="G275" s="4"/>
      <c r="H275" s="72"/>
      <c r="I275" s="73"/>
      <c r="J275" s="74"/>
      <c r="K275" s="7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25"/>
      <c r="C276" s="25"/>
      <c r="D276" s="4"/>
      <c r="E276" s="4"/>
      <c r="F276" s="4"/>
      <c r="G276" s="4"/>
      <c r="H276" s="72"/>
      <c r="I276" s="73"/>
      <c r="J276" s="74"/>
      <c r="K276" s="7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25"/>
      <c r="C277" s="25"/>
      <c r="D277" s="4"/>
      <c r="E277" s="4"/>
      <c r="F277" s="4"/>
      <c r="G277" s="4"/>
      <c r="H277" s="72"/>
      <c r="I277" s="73"/>
      <c r="J277" s="74"/>
      <c r="K277" s="7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25"/>
      <c r="C278" s="25"/>
      <c r="D278" s="4"/>
      <c r="E278" s="4"/>
      <c r="F278" s="4"/>
      <c r="G278" s="4"/>
      <c r="H278" s="72"/>
      <c r="I278" s="73"/>
      <c r="J278" s="74"/>
      <c r="K278" s="7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25"/>
      <c r="C279" s="25"/>
      <c r="D279" s="4"/>
      <c r="E279" s="4"/>
      <c r="F279" s="4"/>
      <c r="G279" s="4"/>
      <c r="H279" s="72"/>
      <c r="I279" s="73"/>
      <c r="J279" s="74"/>
      <c r="K279" s="7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25"/>
      <c r="C280" s="25"/>
      <c r="D280" s="4"/>
      <c r="E280" s="4"/>
      <c r="F280" s="4"/>
      <c r="G280" s="4"/>
      <c r="H280" s="72"/>
      <c r="I280" s="73"/>
      <c r="J280" s="74"/>
      <c r="K280" s="7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25"/>
      <c r="C281" s="25"/>
      <c r="D281" s="4"/>
      <c r="E281" s="4"/>
      <c r="F281" s="4"/>
      <c r="G281" s="4"/>
      <c r="H281" s="72"/>
      <c r="I281" s="73"/>
      <c r="J281" s="74"/>
      <c r="K281" s="7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25"/>
      <c r="C282" s="25"/>
      <c r="D282" s="4"/>
      <c r="E282" s="4"/>
      <c r="F282" s="4"/>
      <c r="G282" s="4"/>
      <c r="H282" s="72"/>
      <c r="I282" s="73"/>
      <c r="J282" s="74"/>
      <c r="K282" s="7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25"/>
      <c r="C283" s="25"/>
      <c r="D283" s="4"/>
      <c r="E283" s="4"/>
      <c r="F283" s="4"/>
      <c r="G283" s="4"/>
      <c r="H283" s="72"/>
      <c r="I283" s="73"/>
      <c r="J283" s="74"/>
      <c r="K283" s="7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25"/>
      <c r="C284" s="25"/>
      <c r="D284" s="4"/>
      <c r="E284" s="4"/>
      <c r="F284" s="4"/>
      <c r="G284" s="4"/>
      <c r="H284" s="72"/>
      <c r="I284" s="73"/>
      <c r="J284" s="74"/>
      <c r="K284" s="7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25"/>
      <c r="C285" s="25"/>
      <c r="D285" s="4"/>
      <c r="E285" s="4"/>
      <c r="F285" s="4"/>
      <c r="G285" s="4"/>
      <c r="H285" s="72"/>
      <c r="I285" s="73"/>
      <c r="J285" s="74"/>
      <c r="K285" s="7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25"/>
      <c r="C286" s="25"/>
      <c r="D286" s="4"/>
      <c r="E286" s="4"/>
      <c r="F286" s="4"/>
      <c r="G286" s="4"/>
      <c r="H286" s="72"/>
      <c r="I286" s="73"/>
      <c r="J286" s="74"/>
      <c r="K286" s="7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25"/>
      <c r="C287" s="25"/>
      <c r="D287" s="4"/>
      <c r="E287" s="4"/>
      <c r="F287" s="4"/>
      <c r="G287" s="4"/>
      <c r="H287" s="72"/>
      <c r="I287" s="73"/>
      <c r="J287" s="74"/>
      <c r="K287" s="7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25"/>
      <c r="C288" s="25"/>
      <c r="D288" s="4"/>
      <c r="E288" s="4"/>
      <c r="F288" s="4"/>
      <c r="G288" s="4"/>
      <c r="H288" s="72"/>
      <c r="I288" s="73"/>
      <c r="J288" s="74"/>
      <c r="K288" s="7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25"/>
      <c r="C289" s="25"/>
      <c r="D289" s="4"/>
      <c r="E289" s="4"/>
      <c r="F289" s="4"/>
      <c r="G289" s="4"/>
      <c r="H289" s="72"/>
      <c r="I289" s="73"/>
      <c r="J289" s="74"/>
      <c r="K289" s="7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25"/>
      <c r="C290" s="25"/>
      <c r="D290" s="4"/>
      <c r="E290" s="4"/>
      <c r="F290" s="4"/>
      <c r="G290" s="4"/>
      <c r="H290" s="72"/>
      <c r="I290" s="73"/>
      <c r="J290" s="74"/>
      <c r="K290" s="7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25"/>
      <c r="C291" s="25"/>
      <c r="D291" s="4"/>
      <c r="E291" s="4"/>
      <c r="F291" s="4"/>
      <c r="G291" s="4"/>
      <c r="H291" s="72"/>
      <c r="I291" s="73"/>
      <c r="J291" s="74"/>
      <c r="K291" s="7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25"/>
      <c r="C292" s="25"/>
      <c r="D292" s="4"/>
      <c r="E292" s="4"/>
      <c r="F292" s="4"/>
      <c r="G292" s="4"/>
      <c r="H292" s="72"/>
      <c r="I292" s="73"/>
      <c r="J292" s="74"/>
      <c r="K292" s="7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25"/>
      <c r="C293" s="25"/>
      <c r="D293" s="4"/>
      <c r="E293" s="4"/>
      <c r="F293" s="4"/>
      <c r="G293" s="4"/>
      <c r="H293" s="72"/>
      <c r="I293" s="73"/>
      <c r="J293" s="74"/>
      <c r="K293" s="7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25"/>
      <c r="C294" s="25"/>
      <c r="D294" s="4"/>
      <c r="E294" s="4"/>
      <c r="F294" s="4"/>
      <c r="G294" s="4"/>
      <c r="H294" s="72"/>
      <c r="I294" s="73"/>
      <c r="J294" s="74"/>
      <c r="K294" s="7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25"/>
      <c r="C295" s="25"/>
      <c r="D295" s="4"/>
      <c r="E295" s="4"/>
      <c r="F295" s="4"/>
      <c r="G295" s="4"/>
      <c r="H295" s="72"/>
      <c r="I295" s="73"/>
      <c r="J295" s="74"/>
      <c r="K295" s="7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25"/>
      <c r="C296" s="25"/>
      <c r="D296" s="4"/>
      <c r="E296" s="4"/>
      <c r="F296" s="4"/>
      <c r="G296" s="4"/>
      <c r="H296" s="72"/>
      <c r="I296" s="73"/>
      <c r="J296" s="74"/>
      <c r="K296" s="7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25"/>
      <c r="C297" s="25"/>
      <c r="D297" s="4"/>
      <c r="E297" s="4"/>
      <c r="F297" s="4"/>
      <c r="G297" s="4"/>
      <c r="H297" s="72"/>
      <c r="I297" s="73"/>
      <c r="J297" s="74"/>
      <c r="K297" s="7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25"/>
      <c r="C298" s="25"/>
      <c r="D298" s="4"/>
      <c r="E298" s="4"/>
      <c r="F298" s="4"/>
      <c r="G298" s="4"/>
      <c r="H298" s="72"/>
      <c r="I298" s="73"/>
      <c r="J298" s="74"/>
      <c r="K298" s="7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25"/>
      <c r="C299" s="25"/>
      <c r="D299" s="4"/>
      <c r="E299" s="4"/>
      <c r="F299" s="4"/>
      <c r="G299" s="4"/>
      <c r="H299" s="72"/>
      <c r="I299" s="73"/>
      <c r="J299" s="74"/>
      <c r="K299" s="7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25"/>
      <c r="C300" s="25"/>
      <c r="D300" s="4"/>
      <c r="E300" s="4"/>
      <c r="F300" s="4"/>
      <c r="G300" s="4"/>
      <c r="H300" s="72"/>
      <c r="I300" s="73"/>
      <c r="J300" s="74"/>
      <c r="K300" s="7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25"/>
      <c r="C301" s="25"/>
      <c r="D301" s="4"/>
      <c r="E301" s="4"/>
      <c r="F301" s="4"/>
      <c r="G301" s="4"/>
      <c r="H301" s="72"/>
      <c r="I301" s="73"/>
      <c r="J301" s="74"/>
      <c r="K301" s="7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25"/>
      <c r="C302" s="25"/>
      <c r="D302" s="4"/>
      <c r="E302" s="4"/>
      <c r="F302" s="4"/>
      <c r="G302" s="4"/>
      <c r="H302" s="72"/>
      <c r="I302" s="73"/>
      <c r="J302" s="74"/>
      <c r="K302" s="7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25"/>
      <c r="C303" s="25"/>
      <c r="D303" s="4"/>
      <c r="E303" s="4"/>
      <c r="F303" s="4"/>
      <c r="G303" s="4"/>
      <c r="H303" s="72"/>
      <c r="I303" s="73"/>
      <c r="J303" s="74"/>
      <c r="K303" s="7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25"/>
      <c r="C304" s="25"/>
      <c r="D304" s="4"/>
      <c r="E304" s="4"/>
      <c r="F304" s="4"/>
      <c r="G304" s="4"/>
      <c r="H304" s="72"/>
      <c r="I304" s="73"/>
      <c r="J304" s="74"/>
      <c r="K304" s="7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25"/>
      <c r="C305" s="25"/>
      <c r="D305" s="4"/>
      <c r="E305" s="4"/>
      <c r="F305" s="4"/>
      <c r="G305" s="4"/>
      <c r="H305" s="72"/>
      <c r="I305" s="73"/>
      <c r="J305" s="74"/>
      <c r="K305" s="7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25"/>
      <c r="C306" s="25"/>
      <c r="D306" s="4"/>
      <c r="E306" s="4"/>
      <c r="F306" s="4"/>
      <c r="G306" s="4"/>
      <c r="H306" s="72"/>
      <c r="I306" s="73"/>
      <c r="J306" s="74"/>
      <c r="K306" s="7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25"/>
      <c r="C307" s="25"/>
      <c r="D307" s="4"/>
      <c r="E307" s="4"/>
      <c r="F307" s="4"/>
      <c r="G307" s="4"/>
      <c r="H307" s="72"/>
      <c r="I307" s="73"/>
      <c r="J307" s="74"/>
      <c r="K307" s="7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25"/>
      <c r="C308" s="25"/>
      <c r="D308" s="4"/>
      <c r="E308" s="4"/>
      <c r="F308" s="4"/>
      <c r="G308" s="4"/>
      <c r="H308" s="72"/>
      <c r="I308" s="73"/>
      <c r="J308" s="74"/>
      <c r="K308" s="7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25"/>
      <c r="C309" s="25"/>
      <c r="D309" s="4"/>
      <c r="E309" s="4"/>
      <c r="F309" s="4"/>
      <c r="G309" s="4"/>
      <c r="H309" s="72"/>
      <c r="I309" s="73"/>
      <c r="J309" s="74"/>
      <c r="K309" s="7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25"/>
      <c r="C310" s="25"/>
      <c r="D310" s="4"/>
      <c r="E310" s="4"/>
      <c r="F310" s="4"/>
      <c r="G310" s="4"/>
      <c r="H310" s="72"/>
      <c r="I310" s="73"/>
      <c r="J310" s="74"/>
      <c r="K310" s="7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25"/>
      <c r="C311" s="25"/>
      <c r="D311" s="4"/>
      <c r="E311" s="4"/>
      <c r="F311" s="4"/>
      <c r="G311" s="4"/>
      <c r="H311" s="72"/>
      <c r="I311" s="73"/>
      <c r="J311" s="74"/>
      <c r="K311" s="7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25"/>
      <c r="C312" s="25"/>
      <c r="D312" s="4"/>
      <c r="E312" s="4"/>
      <c r="F312" s="4"/>
      <c r="G312" s="4"/>
      <c r="H312" s="72"/>
      <c r="I312" s="73"/>
      <c r="J312" s="74"/>
      <c r="K312" s="7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25"/>
      <c r="C313" s="25"/>
      <c r="D313" s="4"/>
      <c r="E313" s="4"/>
      <c r="F313" s="4"/>
      <c r="G313" s="4"/>
      <c r="H313" s="72"/>
      <c r="I313" s="73"/>
      <c r="J313" s="74"/>
      <c r="K313" s="7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25"/>
      <c r="C314" s="25"/>
      <c r="D314" s="4"/>
      <c r="E314" s="4"/>
      <c r="F314" s="4"/>
      <c r="G314" s="4"/>
      <c r="H314" s="72"/>
      <c r="I314" s="73"/>
      <c r="J314" s="74"/>
      <c r="K314" s="7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25"/>
      <c r="C315" s="25"/>
      <c r="D315" s="4"/>
      <c r="E315" s="4"/>
      <c r="F315" s="4"/>
      <c r="G315" s="4"/>
      <c r="H315" s="72"/>
      <c r="I315" s="73"/>
      <c r="J315" s="74"/>
      <c r="K315" s="7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25"/>
      <c r="C316" s="25"/>
      <c r="D316" s="4"/>
      <c r="E316" s="4"/>
      <c r="F316" s="4"/>
      <c r="G316" s="4"/>
      <c r="H316" s="72"/>
      <c r="I316" s="73"/>
      <c r="J316" s="74"/>
      <c r="K316" s="7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25"/>
      <c r="C317" s="25"/>
      <c r="D317" s="4"/>
      <c r="E317" s="4"/>
      <c r="F317" s="4"/>
      <c r="G317" s="4"/>
      <c r="H317" s="72"/>
      <c r="I317" s="73"/>
      <c r="J317" s="74"/>
      <c r="K317" s="7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25"/>
      <c r="C318" s="25"/>
      <c r="D318" s="4"/>
      <c r="E318" s="4"/>
      <c r="F318" s="4"/>
      <c r="G318" s="4"/>
      <c r="H318" s="72"/>
      <c r="I318" s="73"/>
      <c r="J318" s="74"/>
      <c r="K318" s="7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25"/>
      <c r="C319" s="25"/>
      <c r="D319" s="4"/>
      <c r="E319" s="4"/>
      <c r="F319" s="4"/>
      <c r="G319" s="4"/>
      <c r="H319" s="72"/>
      <c r="I319" s="73"/>
      <c r="J319" s="74"/>
      <c r="K319" s="7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25"/>
      <c r="C320" s="25"/>
      <c r="D320" s="4"/>
      <c r="E320" s="4"/>
      <c r="F320" s="4"/>
      <c r="G320" s="4"/>
      <c r="H320" s="72"/>
      <c r="I320" s="73"/>
      <c r="J320" s="74"/>
      <c r="K320" s="7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25"/>
      <c r="C321" s="25"/>
      <c r="D321" s="4"/>
      <c r="E321" s="4"/>
      <c r="F321" s="4"/>
      <c r="G321" s="4"/>
      <c r="H321" s="72"/>
      <c r="I321" s="73"/>
      <c r="J321" s="74"/>
      <c r="K321" s="7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25"/>
      <c r="C322" s="25"/>
      <c r="D322" s="4"/>
      <c r="E322" s="4"/>
      <c r="F322" s="4"/>
      <c r="G322" s="4"/>
      <c r="H322" s="72"/>
      <c r="I322" s="73"/>
      <c r="J322" s="74"/>
      <c r="K322" s="7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25"/>
      <c r="C323" s="25"/>
      <c r="D323" s="4"/>
      <c r="E323" s="4"/>
      <c r="F323" s="4"/>
      <c r="G323" s="4"/>
      <c r="H323" s="72"/>
      <c r="I323" s="73"/>
      <c r="J323" s="74"/>
      <c r="K323" s="7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25"/>
      <c r="C324" s="25"/>
      <c r="D324" s="4"/>
      <c r="E324" s="4"/>
      <c r="F324" s="4"/>
      <c r="G324" s="4"/>
      <c r="H324" s="72"/>
      <c r="I324" s="73"/>
      <c r="J324" s="74"/>
      <c r="K324" s="7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25"/>
      <c r="C325" s="25"/>
      <c r="D325" s="4"/>
      <c r="E325" s="4"/>
      <c r="F325" s="4"/>
      <c r="G325" s="4"/>
      <c r="H325" s="72"/>
      <c r="I325" s="73"/>
      <c r="J325" s="74"/>
      <c r="K325" s="7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25"/>
      <c r="C326" s="25"/>
      <c r="D326" s="4"/>
      <c r="E326" s="4"/>
      <c r="F326" s="4"/>
      <c r="G326" s="4"/>
      <c r="H326" s="72"/>
      <c r="I326" s="73"/>
      <c r="J326" s="74"/>
      <c r="K326" s="7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25"/>
      <c r="C327" s="25"/>
      <c r="D327" s="4"/>
      <c r="E327" s="4"/>
      <c r="F327" s="4"/>
      <c r="G327" s="4"/>
      <c r="H327" s="72"/>
      <c r="I327" s="73"/>
      <c r="J327" s="74"/>
      <c r="K327" s="7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25"/>
      <c r="C328" s="25"/>
      <c r="D328" s="4"/>
      <c r="E328" s="4"/>
      <c r="F328" s="4"/>
      <c r="G328" s="4"/>
      <c r="H328" s="72"/>
      <c r="I328" s="73"/>
      <c r="J328" s="74"/>
      <c r="K328" s="7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25"/>
      <c r="C329" s="25"/>
      <c r="D329" s="4"/>
      <c r="E329" s="4"/>
      <c r="F329" s="4"/>
      <c r="G329" s="4"/>
      <c r="H329" s="72"/>
      <c r="I329" s="73"/>
      <c r="J329" s="74"/>
      <c r="K329" s="7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25"/>
      <c r="C330" s="25"/>
      <c r="D330" s="4"/>
      <c r="E330" s="4"/>
      <c r="F330" s="4"/>
      <c r="G330" s="4"/>
      <c r="H330" s="72"/>
      <c r="I330" s="73"/>
      <c r="J330" s="74"/>
      <c r="K330" s="7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25"/>
      <c r="C331" s="25"/>
      <c r="D331" s="4"/>
      <c r="E331" s="4"/>
      <c r="F331" s="4"/>
      <c r="G331" s="4"/>
      <c r="H331" s="72"/>
      <c r="I331" s="73"/>
      <c r="J331" s="74"/>
      <c r="K331" s="7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25"/>
      <c r="C332" s="25"/>
      <c r="D332" s="4"/>
      <c r="E332" s="4"/>
      <c r="F332" s="4"/>
      <c r="G332" s="4"/>
      <c r="H332" s="72"/>
      <c r="I332" s="73"/>
      <c r="J332" s="74"/>
      <c r="K332" s="7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25"/>
      <c r="C333" s="25"/>
      <c r="D333" s="4"/>
      <c r="E333" s="4"/>
      <c r="F333" s="4"/>
      <c r="G333" s="4"/>
      <c r="H333" s="72"/>
      <c r="I333" s="73"/>
      <c r="J333" s="74"/>
      <c r="K333" s="7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25"/>
      <c r="C334" s="25"/>
      <c r="D334" s="4"/>
      <c r="E334" s="4"/>
      <c r="F334" s="4"/>
      <c r="G334" s="4"/>
      <c r="H334" s="72"/>
      <c r="I334" s="73"/>
      <c r="J334" s="74"/>
      <c r="K334" s="7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25"/>
      <c r="C335" s="25"/>
      <c r="D335" s="4"/>
      <c r="E335" s="4"/>
      <c r="F335" s="4"/>
      <c r="G335" s="4"/>
      <c r="H335" s="72"/>
      <c r="I335" s="73"/>
      <c r="J335" s="74"/>
      <c r="K335" s="7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25"/>
      <c r="C336" s="25"/>
      <c r="D336" s="4"/>
      <c r="E336" s="4"/>
      <c r="F336" s="4"/>
      <c r="G336" s="4"/>
      <c r="H336" s="72"/>
      <c r="I336" s="73"/>
      <c r="J336" s="74"/>
      <c r="K336" s="7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25"/>
      <c r="C337" s="25"/>
      <c r="D337" s="4"/>
      <c r="E337" s="4"/>
      <c r="F337" s="4"/>
      <c r="G337" s="4"/>
      <c r="H337" s="72"/>
      <c r="I337" s="73"/>
      <c r="J337" s="74"/>
      <c r="K337" s="7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25"/>
      <c r="C338" s="25"/>
      <c r="D338" s="4"/>
      <c r="E338" s="4"/>
      <c r="F338" s="4"/>
      <c r="G338" s="4"/>
      <c r="H338" s="72"/>
      <c r="I338" s="73"/>
      <c r="J338" s="74"/>
      <c r="K338" s="7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25"/>
      <c r="C339" s="25"/>
      <c r="D339" s="4"/>
      <c r="E339" s="4"/>
      <c r="F339" s="4"/>
      <c r="G339" s="4"/>
      <c r="H339" s="72"/>
      <c r="I339" s="73"/>
      <c r="J339" s="74"/>
      <c r="K339" s="7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25"/>
      <c r="C340" s="25"/>
      <c r="D340" s="4"/>
      <c r="E340" s="4"/>
      <c r="F340" s="4"/>
      <c r="G340" s="4"/>
      <c r="H340" s="72"/>
      <c r="I340" s="73"/>
      <c r="J340" s="74"/>
      <c r="K340" s="7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25"/>
      <c r="C341" s="25"/>
      <c r="D341" s="4"/>
      <c r="E341" s="4"/>
      <c r="F341" s="4"/>
      <c r="G341" s="4"/>
      <c r="H341" s="72"/>
      <c r="I341" s="73"/>
      <c r="J341" s="74"/>
      <c r="K341" s="7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25"/>
      <c r="C342" s="25"/>
      <c r="D342" s="4"/>
      <c r="E342" s="4"/>
      <c r="F342" s="4"/>
      <c r="G342" s="4"/>
      <c r="H342" s="72"/>
      <c r="I342" s="73"/>
      <c r="J342" s="74"/>
      <c r="K342" s="7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25"/>
      <c r="C343" s="25"/>
      <c r="D343" s="4"/>
      <c r="E343" s="4"/>
      <c r="F343" s="4"/>
      <c r="G343" s="4"/>
      <c r="H343" s="72"/>
      <c r="I343" s="73"/>
      <c r="J343" s="74"/>
      <c r="K343" s="7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25"/>
      <c r="C344" s="25"/>
      <c r="D344" s="4"/>
      <c r="E344" s="4"/>
      <c r="F344" s="4"/>
      <c r="G344" s="4"/>
      <c r="H344" s="72"/>
      <c r="I344" s="73"/>
      <c r="J344" s="74"/>
      <c r="K344" s="7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25"/>
      <c r="C345" s="25"/>
      <c r="D345" s="4"/>
      <c r="E345" s="4"/>
      <c r="F345" s="4"/>
      <c r="G345" s="4"/>
      <c r="H345" s="72"/>
      <c r="I345" s="73"/>
      <c r="J345" s="74"/>
      <c r="K345" s="7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25"/>
      <c r="C346" s="25"/>
      <c r="D346" s="4"/>
      <c r="E346" s="4"/>
      <c r="F346" s="4"/>
      <c r="G346" s="4"/>
      <c r="H346" s="72"/>
      <c r="I346" s="73"/>
      <c r="J346" s="74"/>
      <c r="K346" s="7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25"/>
      <c r="C347" s="25"/>
      <c r="D347" s="4"/>
      <c r="E347" s="4"/>
      <c r="F347" s="4"/>
      <c r="G347" s="4"/>
      <c r="H347" s="72"/>
      <c r="I347" s="73"/>
      <c r="J347" s="74"/>
      <c r="K347" s="7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25"/>
      <c r="C348" s="25"/>
      <c r="D348" s="4"/>
      <c r="E348" s="4"/>
      <c r="F348" s="4"/>
      <c r="G348" s="4"/>
      <c r="H348" s="72"/>
      <c r="I348" s="73"/>
      <c r="J348" s="74"/>
      <c r="K348" s="7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25"/>
      <c r="C349" s="25"/>
      <c r="D349" s="4"/>
      <c r="E349" s="4"/>
      <c r="F349" s="4"/>
      <c r="G349" s="4"/>
      <c r="H349" s="72"/>
      <c r="I349" s="73"/>
      <c r="J349" s="74"/>
      <c r="K349" s="7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25"/>
      <c r="C350" s="25"/>
      <c r="D350" s="4"/>
      <c r="E350" s="4"/>
      <c r="F350" s="4"/>
      <c r="G350" s="4"/>
      <c r="H350" s="72"/>
      <c r="I350" s="73"/>
      <c r="J350" s="74"/>
      <c r="K350" s="7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25"/>
      <c r="C351" s="25"/>
      <c r="D351" s="4"/>
      <c r="E351" s="4"/>
      <c r="F351" s="4"/>
      <c r="G351" s="4"/>
      <c r="H351" s="72"/>
      <c r="I351" s="73"/>
      <c r="J351" s="74"/>
      <c r="K351" s="7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25"/>
      <c r="C352" s="25"/>
      <c r="D352" s="4"/>
      <c r="E352" s="4"/>
      <c r="F352" s="4"/>
      <c r="G352" s="4"/>
      <c r="H352" s="72"/>
      <c r="I352" s="73"/>
      <c r="J352" s="74"/>
      <c r="K352" s="7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25"/>
      <c r="C353" s="25"/>
      <c r="D353" s="4"/>
      <c r="E353" s="4"/>
      <c r="F353" s="4"/>
      <c r="G353" s="4"/>
      <c r="H353" s="72"/>
      <c r="I353" s="73"/>
      <c r="J353" s="74"/>
      <c r="K353" s="7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25"/>
      <c r="C354" s="25"/>
      <c r="D354" s="4"/>
      <c r="E354" s="4"/>
      <c r="F354" s="4"/>
      <c r="G354" s="4"/>
      <c r="H354" s="72"/>
      <c r="I354" s="73"/>
      <c r="J354" s="74"/>
      <c r="K354" s="7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25"/>
      <c r="C355" s="25"/>
      <c r="D355" s="4"/>
      <c r="E355" s="4"/>
      <c r="F355" s="4"/>
      <c r="G355" s="4"/>
      <c r="H355" s="72"/>
      <c r="I355" s="73"/>
      <c r="J355" s="74"/>
      <c r="K355" s="7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25"/>
      <c r="C356" s="25"/>
      <c r="D356" s="4"/>
      <c r="E356" s="4"/>
      <c r="F356" s="4"/>
      <c r="G356" s="4"/>
      <c r="H356" s="72"/>
      <c r="I356" s="73"/>
      <c r="J356" s="74"/>
      <c r="K356" s="7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25"/>
      <c r="C357" s="25"/>
      <c r="D357" s="4"/>
      <c r="E357" s="4"/>
      <c r="F357" s="4"/>
      <c r="G357" s="4"/>
      <c r="H357" s="72"/>
      <c r="I357" s="73"/>
      <c r="J357" s="74"/>
      <c r="K357" s="7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25"/>
      <c r="C358" s="25"/>
      <c r="D358" s="4"/>
      <c r="E358" s="4"/>
      <c r="F358" s="4"/>
      <c r="G358" s="4"/>
      <c r="H358" s="72"/>
      <c r="I358" s="73"/>
      <c r="J358" s="74"/>
      <c r="K358" s="7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25"/>
      <c r="C359" s="25"/>
      <c r="D359" s="4"/>
      <c r="E359" s="4"/>
      <c r="F359" s="4"/>
      <c r="G359" s="4"/>
      <c r="H359" s="72"/>
      <c r="I359" s="73"/>
      <c r="J359" s="74"/>
      <c r="K359" s="7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25"/>
      <c r="C360" s="25"/>
      <c r="D360" s="4"/>
      <c r="E360" s="4"/>
      <c r="F360" s="4"/>
      <c r="G360" s="4"/>
      <c r="H360" s="72"/>
      <c r="I360" s="73"/>
      <c r="J360" s="74"/>
      <c r="K360" s="7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25"/>
      <c r="C361" s="25"/>
      <c r="D361" s="4"/>
      <c r="E361" s="4"/>
      <c r="F361" s="4"/>
      <c r="G361" s="4"/>
      <c r="H361" s="72"/>
      <c r="I361" s="73"/>
      <c r="J361" s="74"/>
      <c r="K361" s="7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25"/>
      <c r="C362" s="25"/>
      <c r="D362" s="4"/>
      <c r="E362" s="4"/>
      <c r="F362" s="4"/>
      <c r="G362" s="4"/>
      <c r="H362" s="72"/>
      <c r="I362" s="73"/>
      <c r="J362" s="74"/>
      <c r="K362" s="7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25"/>
      <c r="C363" s="25"/>
      <c r="D363" s="4"/>
      <c r="E363" s="4"/>
      <c r="F363" s="4"/>
      <c r="G363" s="4"/>
      <c r="H363" s="72"/>
      <c r="I363" s="73"/>
      <c r="J363" s="74"/>
      <c r="K363" s="7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25"/>
      <c r="C364" s="25"/>
      <c r="D364" s="4"/>
      <c r="E364" s="4"/>
      <c r="F364" s="4"/>
      <c r="G364" s="4"/>
      <c r="H364" s="72"/>
      <c r="I364" s="73"/>
      <c r="J364" s="74"/>
      <c r="K364" s="7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25"/>
      <c r="C365" s="25"/>
      <c r="D365" s="4"/>
      <c r="E365" s="4"/>
      <c r="F365" s="4"/>
      <c r="G365" s="4"/>
      <c r="H365" s="72"/>
      <c r="I365" s="73"/>
      <c r="J365" s="74"/>
      <c r="K365" s="7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25"/>
      <c r="C366" s="25"/>
      <c r="D366" s="4"/>
      <c r="E366" s="4"/>
      <c r="F366" s="4"/>
      <c r="G366" s="4"/>
      <c r="H366" s="72"/>
      <c r="I366" s="73"/>
      <c r="J366" s="74"/>
      <c r="K366" s="7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25"/>
      <c r="C367" s="25"/>
      <c r="D367" s="4"/>
      <c r="E367" s="4"/>
      <c r="F367" s="4"/>
      <c r="G367" s="4"/>
      <c r="H367" s="72"/>
      <c r="I367" s="73"/>
      <c r="J367" s="74"/>
      <c r="K367" s="7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25"/>
      <c r="C368" s="25"/>
      <c r="D368" s="4"/>
      <c r="E368" s="4"/>
      <c r="F368" s="4"/>
      <c r="G368" s="4"/>
      <c r="H368" s="72"/>
      <c r="I368" s="73"/>
      <c r="J368" s="74"/>
      <c r="K368" s="7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25"/>
      <c r="C369" s="25"/>
      <c r="D369" s="4"/>
      <c r="E369" s="4"/>
      <c r="F369" s="4"/>
      <c r="G369" s="4"/>
      <c r="H369" s="72"/>
      <c r="I369" s="73"/>
      <c r="J369" s="74"/>
      <c r="K369" s="7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25"/>
      <c r="C370" s="25"/>
      <c r="D370" s="4"/>
      <c r="E370" s="4"/>
      <c r="F370" s="4"/>
      <c r="G370" s="4"/>
      <c r="H370" s="72"/>
      <c r="I370" s="73"/>
      <c r="J370" s="74"/>
      <c r="K370" s="7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25"/>
      <c r="C371" s="25"/>
      <c r="D371" s="4"/>
      <c r="E371" s="4"/>
      <c r="F371" s="4"/>
      <c r="G371" s="4"/>
      <c r="H371" s="72"/>
      <c r="I371" s="73"/>
      <c r="J371" s="74"/>
      <c r="K371" s="7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25"/>
      <c r="C372" s="25"/>
      <c r="D372" s="4"/>
      <c r="E372" s="4"/>
      <c r="F372" s="4"/>
      <c r="G372" s="4"/>
      <c r="H372" s="72"/>
      <c r="I372" s="73"/>
      <c r="J372" s="74"/>
      <c r="K372" s="7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25"/>
      <c r="C373" s="25"/>
      <c r="D373" s="4"/>
      <c r="E373" s="4"/>
      <c r="F373" s="4"/>
      <c r="G373" s="4"/>
      <c r="H373" s="72"/>
      <c r="I373" s="73"/>
      <c r="J373" s="74"/>
      <c r="K373" s="7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25"/>
      <c r="C374" s="25"/>
      <c r="D374" s="4"/>
      <c r="E374" s="4"/>
      <c r="F374" s="4"/>
      <c r="G374" s="4"/>
      <c r="H374" s="72"/>
      <c r="I374" s="73"/>
      <c r="J374" s="74"/>
      <c r="K374" s="7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25"/>
      <c r="C375" s="25"/>
      <c r="D375" s="4"/>
      <c r="E375" s="4"/>
      <c r="F375" s="4"/>
      <c r="G375" s="4"/>
      <c r="H375" s="72"/>
      <c r="I375" s="73"/>
      <c r="J375" s="74"/>
      <c r="K375" s="7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25"/>
      <c r="C376" s="25"/>
      <c r="D376" s="4"/>
      <c r="E376" s="4"/>
      <c r="F376" s="4"/>
      <c r="G376" s="4"/>
      <c r="H376" s="72"/>
      <c r="I376" s="73"/>
      <c r="J376" s="74"/>
      <c r="K376" s="7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25"/>
      <c r="C377" s="25"/>
      <c r="D377" s="4"/>
      <c r="E377" s="4"/>
      <c r="F377" s="4"/>
      <c r="G377" s="4"/>
      <c r="H377" s="72"/>
      <c r="I377" s="73"/>
      <c r="J377" s="74"/>
      <c r="K377" s="7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25"/>
      <c r="C378" s="25"/>
      <c r="D378" s="4"/>
      <c r="E378" s="4"/>
      <c r="F378" s="4"/>
      <c r="G378" s="4"/>
      <c r="H378" s="72"/>
      <c r="I378" s="73"/>
      <c r="J378" s="74"/>
      <c r="K378" s="7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25"/>
      <c r="C379" s="25"/>
      <c r="D379" s="4"/>
      <c r="E379" s="4"/>
      <c r="F379" s="4"/>
      <c r="G379" s="4"/>
      <c r="H379" s="72"/>
      <c r="I379" s="73"/>
      <c r="J379" s="74"/>
      <c r="K379" s="7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25"/>
      <c r="C380" s="25"/>
      <c r="D380" s="4"/>
      <c r="E380" s="4"/>
      <c r="F380" s="4"/>
      <c r="G380" s="4"/>
      <c r="H380" s="72"/>
      <c r="I380" s="73"/>
      <c r="J380" s="74"/>
      <c r="K380" s="7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25"/>
      <c r="C381" s="25"/>
      <c r="D381" s="4"/>
      <c r="E381" s="4"/>
      <c r="F381" s="4"/>
      <c r="G381" s="4"/>
      <c r="H381" s="72"/>
      <c r="I381" s="73"/>
      <c r="J381" s="74"/>
      <c r="K381" s="7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25"/>
      <c r="C382" s="25"/>
      <c r="D382" s="4"/>
      <c r="E382" s="4"/>
      <c r="F382" s="4"/>
      <c r="G382" s="4"/>
      <c r="H382" s="72"/>
      <c r="I382" s="73"/>
      <c r="J382" s="74"/>
      <c r="K382" s="7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25"/>
      <c r="C383" s="25"/>
      <c r="D383" s="4"/>
      <c r="E383" s="4"/>
      <c r="F383" s="4"/>
      <c r="G383" s="4"/>
      <c r="H383" s="72"/>
      <c r="I383" s="73"/>
      <c r="J383" s="74"/>
      <c r="K383" s="7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25"/>
      <c r="C384" s="25"/>
      <c r="D384" s="4"/>
      <c r="E384" s="4"/>
      <c r="F384" s="4"/>
      <c r="G384" s="4"/>
      <c r="H384" s="72"/>
      <c r="I384" s="73"/>
      <c r="J384" s="74"/>
      <c r="K384" s="7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25"/>
      <c r="C385" s="25"/>
      <c r="D385" s="4"/>
      <c r="E385" s="4"/>
      <c r="F385" s="4"/>
      <c r="G385" s="4"/>
      <c r="H385" s="72"/>
      <c r="I385" s="73"/>
      <c r="J385" s="74"/>
      <c r="K385" s="7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25"/>
      <c r="C386" s="25"/>
      <c r="D386" s="4"/>
      <c r="E386" s="4"/>
      <c r="F386" s="4"/>
      <c r="G386" s="4"/>
      <c r="H386" s="72"/>
      <c r="I386" s="73"/>
      <c r="J386" s="74"/>
      <c r="K386" s="7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25"/>
      <c r="C387" s="25"/>
      <c r="D387" s="4"/>
      <c r="E387" s="4"/>
      <c r="F387" s="4"/>
      <c r="G387" s="4"/>
      <c r="H387" s="72"/>
      <c r="I387" s="73"/>
      <c r="J387" s="74"/>
      <c r="K387" s="7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25"/>
      <c r="C388" s="25"/>
      <c r="D388" s="4"/>
      <c r="E388" s="4"/>
      <c r="F388" s="4"/>
      <c r="G388" s="4"/>
      <c r="H388" s="72"/>
      <c r="I388" s="73"/>
      <c r="J388" s="74"/>
      <c r="K388" s="7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25"/>
      <c r="C389" s="25"/>
      <c r="D389" s="4"/>
      <c r="E389" s="4"/>
      <c r="F389" s="4"/>
      <c r="G389" s="4"/>
      <c r="H389" s="72"/>
      <c r="I389" s="73"/>
      <c r="J389" s="74"/>
      <c r="K389" s="7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25"/>
      <c r="C390" s="25"/>
      <c r="D390" s="4"/>
      <c r="E390" s="4"/>
      <c r="F390" s="4"/>
      <c r="G390" s="4"/>
      <c r="H390" s="72"/>
      <c r="I390" s="73"/>
      <c r="J390" s="74"/>
      <c r="K390" s="7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25"/>
      <c r="C391" s="25"/>
      <c r="D391" s="4"/>
      <c r="E391" s="4"/>
      <c r="F391" s="4"/>
      <c r="G391" s="4"/>
      <c r="H391" s="72"/>
      <c r="I391" s="73"/>
      <c r="J391" s="74"/>
      <c r="K391" s="7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25"/>
      <c r="C392" s="25"/>
      <c r="D392" s="4"/>
      <c r="E392" s="4"/>
      <c r="F392" s="4"/>
      <c r="G392" s="4"/>
      <c r="H392" s="72"/>
      <c r="I392" s="73"/>
      <c r="J392" s="74"/>
      <c r="K392" s="7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25"/>
      <c r="C393" s="25"/>
      <c r="D393" s="4"/>
      <c r="E393" s="4"/>
      <c r="F393" s="4"/>
      <c r="G393" s="4"/>
      <c r="H393" s="72"/>
      <c r="I393" s="73"/>
      <c r="J393" s="74"/>
      <c r="K393" s="7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25"/>
      <c r="C394" s="25"/>
      <c r="D394" s="4"/>
      <c r="E394" s="4"/>
      <c r="F394" s="4"/>
      <c r="G394" s="4"/>
      <c r="H394" s="72"/>
      <c r="I394" s="73"/>
      <c r="J394" s="74"/>
      <c r="K394" s="7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25"/>
      <c r="C395" s="25"/>
      <c r="D395" s="4"/>
      <c r="E395" s="4"/>
      <c r="F395" s="4"/>
      <c r="G395" s="4"/>
      <c r="H395" s="72"/>
      <c r="I395" s="73"/>
      <c r="J395" s="74"/>
      <c r="K395" s="7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25"/>
      <c r="C396" s="25"/>
      <c r="D396" s="4"/>
      <c r="E396" s="4"/>
      <c r="F396" s="4"/>
      <c r="G396" s="4"/>
      <c r="H396" s="72"/>
      <c r="I396" s="73"/>
      <c r="J396" s="74"/>
      <c r="K396" s="7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25"/>
      <c r="C397" s="25"/>
      <c r="D397" s="4"/>
      <c r="E397" s="4"/>
      <c r="F397" s="4"/>
      <c r="G397" s="4"/>
      <c r="H397" s="72"/>
      <c r="I397" s="73"/>
      <c r="J397" s="74"/>
      <c r="K397" s="7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25"/>
      <c r="C398" s="25"/>
      <c r="D398" s="4"/>
      <c r="E398" s="4"/>
      <c r="F398" s="4"/>
      <c r="G398" s="4"/>
      <c r="H398" s="72"/>
      <c r="I398" s="73"/>
      <c r="J398" s="74"/>
      <c r="K398" s="7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25"/>
      <c r="C399" s="25"/>
      <c r="D399" s="4"/>
      <c r="E399" s="4"/>
      <c r="F399" s="4"/>
      <c r="G399" s="4"/>
      <c r="H399" s="72"/>
      <c r="I399" s="73"/>
      <c r="J399" s="74"/>
      <c r="K399" s="7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25"/>
      <c r="C400" s="25"/>
      <c r="D400" s="4"/>
      <c r="E400" s="4"/>
      <c r="F400" s="4"/>
      <c r="G400" s="4"/>
      <c r="H400" s="72"/>
      <c r="I400" s="73"/>
      <c r="J400" s="74"/>
      <c r="K400" s="7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25"/>
      <c r="C401" s="25"/>
      <c r="D401" s="4"/>
      <c r="E401" s="4"/>
      <c r="F401" s="4"/>
      <c r="G401" s="4"/>
      <c r="H401" s="72"/>
      <c r="I401" s="73"/>
      <c r="J401" s="74"/>
      <c r="K401" s="7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25"/>
      <c r="C402" s="25"/>
      <c r="D402" s="4"/>
      <c r="E402" s="4"/>
      <c r="F402" s="4"/>
      <c r="G402" s="4"/>
      <c r="H402" s="72"/>
      <c r="I402" s="73"/>
      <c r="J402" s="74"/>
      <c r="K402" s="7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25"/>
      <c r="C403" s="25"/>
      <c r="D403" s="4"/>
      <c r="E403" s="4"/>
      <c r="F403" s="4"/>
      <c r="G403" s="4"/>
      <c r="H403" s="72"/>
      <c r="I403" s="73"/>
      <c r="J403" s="74"/>
      <c r="K403" s="7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25"/>
      <c r="C404" s="25"/>
      <c r="D404" s="4"/>
      <c r="E404" s="4"/>
      <c r="F404" s="4"/>
      <c r="G404" s="4"/>
      <c r="H404" s="72"/>
      <c r="I404" s="73"/>
      <c r="J404" s="74"/>
      <c r="K404" s="7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25"/>
      <c r="C405" s="25"/>
      <c r="D405" s="4"/>
      <c r="E405" s="4"/>
      <c r="F405" s="4"/>
      <c r="G405" s="4"/>
      <c r="H405" s="72"/>
      <c r="I405" s="73"/>
      <c r="J405" s="74"/>
      <c r="K405" s="7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25"/>
      <c r="C406" s="25"/>
      <c r="D406" s="4"/>
      <c r="E406" s="4"/>
      <c r="F406" s="4"/>
      <c r="G406" s="4"/>
      <c r="H406" s="72"/>
      <c r="I406" s="73"/>
      <c r="J406" s="74"/>
      <c r="K406" s="7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25"/>
      <c r="C407" s="25"/>
      <c r="D407" s="4"/>
      <c r="E407" s="4"/>
      <c r="F407" s="4"/>
      <c r="G407" s="4"/>
      <c r="H407" s="72"/>
      <c r="I407" s="73"/>
      <c r="J407" s="74"/>
      <c r="K407" s="7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25"/>
      <c r="C408" s="25"/>
      <c r="D408" s="4"/>
      <c r="E408" s="4"/>
      <c r="F408" s="4"/>
      <c r="G408" s="4"/>
      <c r="H408" s="72"/>
      <c r="I408" s="73"/>
      <c r="J408" s="74"/>
      <c r="K408" s="7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25"/>
      <c r="C409" s="25"/>
      <c r="D409" s="4"/>
      <c r="E409" s="4"/>
      <c r="F409" s="4"/>
      <c r="G409" s="4"/>
      <c r="H409" s="72"/>
      <c r="I409" s="73"/>
      <c r="J409" s="74"/>
      <c r="K409" s="7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25"/>
      <c r="C410" s="25"/>
      <c r="D410" s="4"/>
      <c r="E410" s="4"/>
      <c r="F410" s="4"/>
      <c r="G410" s="4"/>
      <c r="H410" s="72"/>
      <c r="I410" s="73"/>
      <c r="J410" s="74"/>
      <c r="K410" s="7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25"/>
      <c r="C411" s="25"/>
      <c r="D411" s="4"/>
      <c r="E411" s="4"/>
      <c r="F411" s="4"/>
      <c r="G411" s="4"/>
      <c r="H411" s="72"/>
      <c r="I411" s="73"/>
      <c r="J411" s="74"/>
      <c r="K411" s="7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25"/>
      <c r="C412" s="25"/>
      <c r="D412" s="4"/>
      <c r="E412" s="4"/>
      <c r="F412" s="4"/>
      <c r="G412" s="4"/>
      <c r="H412" s="72"/>
      <c r="I412" s="73"/>
      <c r="J412" s="74"/>
      <c r="K412" s="7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25"/>
      <c r="C413" s="25"/>
      <c r="D413" s="4"/>
      <c r="E413" s="4"/>
      <c r="F413" s="4"/>
      <c r="G413" s="4"/>
      <c r="H413" s="72"/>
      <c r="I413" s="73"/>
      <c r="J413" s="74"/>
      <c r="K413" s="7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25"/>
      <c r="C414" s="25"/>
      <c r="D414" s="4"/>
      <c r="E414" s="4"/>
      <c r="F414" s="4"/>
      <c r="G414" s="4"/>
      <c r="H414" s="72"/>
      <c r="I414" s="73"/>
      <c r="J414" s="74"/>
      <c r="K414" s="7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25"/>
      <c r="C415" s="25"/>
      <c r="D415" s="4"/>
      <c r="E415" s="4"/>
      <c r="F415" s="4"/>
      <c r="G415" s="4"/>
      <c r="H415" s="72"/>
      <c r="I415" s="73"/>
      <c r="J415" s="74"/>
      <c r="K415" s="7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25"/>
      <c r="C416" s="25"/>
      <c r="D416" s="4"/>
      <c r="E416" s="4"/>
      <c r="F416" s="4"/>
      <c r="G416" s="4"/>
      <c r="H416" s="72"/>
      <c r="I416" s="73"/>
      <c r="J416" s="74"/>
      <c r="K416" s="7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25"/>
      <c r="C417" s="25"/>
      <c r="D417" s="4"/>
      <c r="E417" s="4"/>
      <c r="F417" s="4"/>
      <c r="G417" s="4"/>
      <c r="H417" s="72"/>
      <c r="I417" s="73"/>
      <c r="J417" s="74"/>
      <c r="K417" s="7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25"/>
      <c r="C418" s="25"/>
      <c r="D418" s="4"/>
      <c r="E418" s="4"/>
      <c r="F418" s="4"/>
      <c r="G418" s="4"/>
      <c r="H418" s="72"/>
      <c r="I418" s="73"/>
      <c r="J418" s="74"/>
      <c r="K418" s="7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25"/>
      <c r="C419" s="25"/>
      <c r="D419" s="4"/>
      <c r="E419" s="4"/>
      <c r="F419" s="4"/>
      <c r="G419" s="4"/>
      <c r="H419" s="72"/>
      <c r="I419" s="73"/>
      <c r="J419" s="74"/>
      <c r="K419" s="7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25"/>
      <c r="C420" s="25"/>
      <c r="D420" s="4"/>
      <c r="E420" s="4"/>
      <c r="F420" s="4"/>
      <c r="G420" s="4"/>
      <c r="H420" s="72"/>
      <c r="I420" s="73"/>
      <c r="J420" s="74"/>
      <c r="K420" s="7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25"/>
      <c r="C421" s="25"/>
      <c r="D421" s="4"/>
      <c r="E421" s="4"/>
      <c r="F421" s="4"/>
      <c r="G421" s="4"/>
      <c r="H421" s="72"/>
      <c r="I421" s="73"/>
      <c r="J421" s="74"/>
      <c r="K421" s="7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25"/>
      <c r="C422" s="25"/>
      <c r="D422" s="4"/>
      <c r="E422" s="4"/>
      <c r="F422" s="4"/>
      <c r="G422" s="4"/>
      <c r="H422" s="72"/>
      <c r="I422" s="73"/>
      <c r="J422" s="74"/>
      <c r="K422" s="7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25"/>
      <c r="C423" s="25"/>
      <c r="D423" s="4"/>
      <c r="E423" s="4"/>
      <c r="F423" s="4"/>
      <c r="G423" s="4"/>
      <c r="H423" s="72"/>
      <c r="I423" s="73"/>
      <c r="J423" s="74"/>
      <c r="K423" s="7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25"/>
      <c r="C424" s="25"/>
      <c r="D424" s="4"/>
      <c r="E424" s="4"/>
      <c r="F424" s="4"/>
      <c r="G424" s="4"/>
      <c r="H424" s="72"/>
      <c r="I424" s="73"/>
      <c r="J424" s="74"/>
      <c r="K424" s="7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25"/>
      <c r="C425" s="25"/>
      <c r="D425" s="4"/>
      <c r="E425" s="4"/>
      <c r="F425" s="4"/>
      <c r="G425" s="4"/>
      <c r="H425" s="72"/>
      <c r="I425" s="73"/>
      <c r="J425" s="74"/>
      <c r="K425" s="7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25"/>
      <c r="C426" s="25"/>
      <c r="D426" s="4"/>
      <c r="E426" s="4"/>
      <c r="F426" s="4"/>
      <c r="G426" s="4"/>
      <c r="H426" s="72"/>
      <c r="I426" s="73"/>
      <c r="J426" s="74"/>
      <c r="K426" s="7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25"/>
      <c r="C427" s="25"/>
      <c r="D427" s="4"/>
      <c r="E427" s="4"/>
      <c r="F427" s="4"/>
      <c r="G427" s="4"/>
      <c r="H427" s="72"/>
      <c r="I427" s="73"/>
      <c r="J427" s="74"/>
      <c r="K427" s="7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25"/>
      <c r="C428" s="25"/>
      <c r="D428" s="4"/>
      <c r="E428" s="4"/>
      <c r="F428" s="4"/>
      <c r="G428" s="4"/>
      <c r="H428" s="72"/>
      <c r="I428" s="73"/>
      <c r="J428" s="74"/>
      <c r="K428" s="7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25"/>
      <c r="C429" s="25"/>
      <c r="D429" s="4"/>
      <c r="E429" s="4"/>
      <c r="F429" s="4"/>
      <c r="G429" s="4"/>
      <c r="H429" s="72"/>
      <c r="I429" s="73"/>
      <c r="J429" s="74"/>
      <c r="K429" s="7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25"/>
      <c r="C430" s="25"/>
      <c r="D430" s="4"/>
      <c r="E430" s="4"/>
      <c r="F430" s="4"/>
      <c r="G430" s="4"/>
      <c r="H430" s="72"/>
      <c r="I430" s="73"/>
      <c r="J430" s="74"/>
      <c r="K430" s="7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25"/>
      <c r="C431" s="25"/>
      <c r="D431" s="4"/>
      <c r="E431" s="4"/>
      <c r="F431" s="4"/>
      <c r="G431" s="4"/>
      <c r="H431" s="72"/>
      <c r="I431" s="73"/>
      <c r="J431" s="74"/>
      <c r="K431" s="7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25"/>
      <c r="C432" s="25"/>
      <c r="D432" s="4"/>
      <c r="E432" s="4"/>
      <c r="F432" s="4"/>
      <c r="G432" s="4"/>
      <c r="H432" s="72"/>
      <c r="I432" s="73"/>
      <c r="J432" s="74"/>
      <c r="K432" s="7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25"/>
      <c r="C433" s="25"/>
      <c r="D433" s="4"/>
      <c r="E433" s="4"/>
      <c r="F433" s="4"/>
      <c r="G433" s="4"/>
      <c r="H433" s="72"/>
      <c r="I433" s="73"/>
      <c r="J433" s="74"/>
      <c r="K433" s="7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25"/>
      <c r="C434" s="25"/>
      <c r="D434" s="4"/>
      <c r="E434" s="4"/>
      <c r="F434" s="4"/>
      <c r="G434" s="4"/>
      <c r="H434" s="72"/>
      <c r="I434" s="73"/>
      <c r="J434" s="74"/>
      <c r="K434" s="7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25"/>
      <c r="C435" s="25"/>
      <c r="D435" s="4"/>
      <c r="E435" s="4"/>
      <c r="F435" s="4"/>
      <c r="G435" s="4"/>
      <c r="H435" s="72"/>
      <c r="I435" s="73"/>
      <c r="J435" s="74"/>
      <c r="K435" s="7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25"/>
      <c r="C436" s="25"/>
      <c r="D436" s="4"/>
      <c r="E436" s="4"/>
      <c r="F436" s="4"/>
      <c r="G436" s="4"/>
      <c r="H436" s="72"/>
      <c r="I436" s="73"/>
      <c r="J436" s="74"/>
      <c r="K436" s="7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25"/>
      <c r="C437" s="25"/>
      <c r="D437" s="4"/>
      <c r="E437" s="4"/>
      <c r="F437" s="4"/>
      <c r="G437" s="4"/>
      <c r="H437" s="72"/>
      <c r="I437" s="73"/>
      <c r="J437" s="74"/>
      <c r="K437" s="7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25"/>
      <c r="C438" s="25"/>
      <c r="D438" s="4"/>
      <c r="E438" s="4"/>
      <c r="F438" s="4"/>
      <c r="G438" s="4"/>
      <c r="H438" s="72"/>
      <c r="I438" s="73"/>
      <c r="J438" s="74"/>
      <c r="K438" s="7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25"/>
      <c r="C439" s="25"/>
      <c r="D439" s="4"/>
      <c r="E439" s="4"/>
      <c r="F439" s="4"/>
      <c r="G439" s="4"/>
      <c r="H439" s="72"/>
      <c r="I439" s="73"/>
      <c r="J439" s="74"/>
      <c r="K439" s="7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25"/>
      <c r="C440" s="25"/>
      <c r="D440" s="4"/>
      <c r="E440" s="4"/>
      <c r="F440" s="4"/>
      <c r="G440" s="4"/>
      <c r="H440" s="72"/>
      <c r="I440" s="73"/>
      <c r="J440" s="74"/>
      <c r="K440" s="7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25"/>
      <c r="C441" s="25"/>
      <c r="D441" s="4"/>
      <c r="E441" s="4"/>
      <c r="F441" s="4"/>
      <c r="G441" s="4"/>
      <c r="H441" s="72"/>
      <c r="I441" s="73"/>
      <c r="J441" s="74"/>
      <c r="K441" s="7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25"/>
      <c r="C442" s="25"/>
      <c r="D442" s="4"/>
      <c r="E442" s="4"/>
      <c r="F442" s="4"/>
      <c r="G442" s="4"/>
      <c r="H442" s="72"/>
      <c r="I442" s="73"/>
      <c r="J442" s="74"/>
      <c r="K442" s="7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25"/>
      <c r="C443" s="25"/>
      <c r="D443" s="4"/>
      <c r="E443" s="4"/>
      <c r="F443" s="4"/>
      <c r="G443" s="4"/>
      <c r="H443" s="72"/>
      <c r="I443" s="73"/>
      <c r="J443" s="74"/>
      <c r="K443" s="7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25"/>
      <c r="C444" s="25"/>
      <c r="D444" s="4"/>
      <c r="E444" s="4"/>
      <c r="F444" s="4"/>
      <c r="G444" s="4"/>
      <c r="H444" s="72"/>
      <c r="I444" s="73"/>
      <c r="J444" s="74"/>
      <c r="K444" s="7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25"/>
      <c r="C445" s="25"/>
      <c r="D445" s="4"/>
      <c r="E445" s="4"/>
      <c r="F445" s="4"/>
      <c r="G445" s="4"/>
      <c r="H445" s="72"/>
      <c r="I445" s="73"/>
      <c r="J445" s="74"/>
      <c r="K445" s="7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25"/>
      <c r="C446" s="25"/>
      <c r="D446" s="4"/>
      <c r="E446" s="4"/>
      <c r="F446" s="4"/>
      <c r="G446" s="4"/>
      <c r="H446" s="72"/>
      <c r="I446" s="73"/>
      <c r="J446" s="74"/>
      <c r="K446" s="7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25"/>
      <c r="C447" s="25"/>
      <c r="D447" s="4"/>
      <c r="E447" s="4"/>
      <c r="F447" s="4"/>
      <c r="G447" s="4"/>
      <c r="H447" s="72"/>
      <c r="I447" s="73"/>
      <c r="J447" s="74"/>
      <c r="K447" s="7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25"/>
      <c r="C448" s="25"/>
      <c r="D448" s="4"/>
      <c r="E448" s="4"/>
      <c r="F448" s="4"/>
      <c r="G448" s="4"/>
      <c r="H448" s="72"/>
      <c r="I448" s="73"/>
      <c r="J448" s="74"/>
      <c r="K448" s="7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25"/>
      <c r="C449" s="25"/>
      <c r="D449" s="4"/>
      <c r="E449" s="4"/>
      <c r="F449" s="4"/>
      <c r="G449" s="4"/>
      <c r="H449" s="72"/>
      <c r="I449" s="73"/>
      <c r="J449" s="74"/>
      <c r="K449" s="7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25"/>
      <c r="C450" s="25"/>
      <c r="D450" s="4"/>
      <c r="E450" s="4"/>
      <c r="F450" s="4"/>
      <c r="G450" s="4"/>
      <c r="H450" s="72"/>
      <c r="I450" s="73"/>
      <c r="J450" s="74"/>
      <c r="K450" s="7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25"/>
      <c r="C451" s="25"/>
      <c r="D451" s="4"/>
      <c r="E451" s="4"/>
      <c r="F451" s="4"/>
      <c r="G451" s="4"/>
      <c r="H451" s="72"/>
      <c r="I451" s="73"/>
      <c r="J451" s="74"/>
      <c r="K451" s="7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25"/>
      <c r="C452" s="25"/>
      <c r="D452" s="4"/>
      <c r="E452" s="4"/>
      <c r="F452" s="4"/>
      <c r="G452" s="4"/>
      <c r="H452" s="72"/>
      <c r="I452" s="73"/>
      <c r="J452" s="74"/>
      <c r="K452" s="7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25"/>
      <c r="C453" s="25"/>
      <c r="D453" s="4"/>
      <c r="E453" s="4"/>
      <c r="F453" s="4"/>
      <c r="G453" s="4"/>
      <c r="H453" s="72"/>
      <c r="I453" s="73"/>
      <c r="J453" s="74"/>
      <c r="K453" s="7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25"/>
      <c r="C454" s="25"/>
      <c r="D454" s="4"/>
      <c r="E454" s="4"/>
      <c r="F454" s="4"/>
      <c r="G454" s="4"/>
      <c r="H454" s="72"/>
      <c r="I454" s="73"/>
      <c r="J454" s="74"/>
      <c r="K454" s="7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25"/>
      <c r="C455" s="25"/>
      <c r="D455" s="4"/>
      <c r="E455" s="4"/>
      <c r="F455" s="4"/>
      <c r="G455" s="4"/>
      <c r="H455" s="72"/>
      <c r="I455" s="73"/>
      <c r="J455" s="74"/>
      <c r="K455" s="7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25"/>
      <c r="C456" s="25"/>
      <c r="D456" s="4"/>
      <c r="E456" s="4"/>
      <c r="F456" s="4"/>
      <c r="G456" s="4"/>
      <c r="H456" s="72"/>
      <c r="I456" s="73"/>
      <c r="J456" s="74"/>
      <c r="K456" s="7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25"/>
      <c r="C457" s="25"/>
      <c r="D457" s="4"/>
      <c r="E457" s="4"/>
      <c r="F457" s="4"/>
      <c r="G457" s="4"/>
      <c r="H457" s="72"/>
      <c r="I457" s="73"/>
      <c r="J457" s="74"/>
      <c r="K457" s="7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25"/>
      <c r="C458" s="25"/>
      <c r="D458" s="4"/>
      <c r="E458" s="4"/>
      <c r="F458" s="4"/>
      <c r="G458" s="4"/>
      <c r="H458" s="72"/>
      <c r="I458" s="73"/>
      <c r="J458" s="74"/>
      <c r="K458" s="7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25"/>
      <c r="C459" s="25"/>
      <c r="D459" s="4"/>
      <c r="E459" s="4"/>
      <c r="F459" s="4"/>
      <c r="G459" s="4"/>
      <c r="H459" s="72"/>
      <c r="I459" s="73"/>
      <c r="J459" s="74"/>
      <c r="K459" s="7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25"/>
      <c r="C460" s="25"/>
      <c r="D460" s="4"/>
      <c r="E460" s="4"/>
      <c r="F460" s="4"/>
      <c r="G460" s="4"/>
      <c r="H460" s="72"/>
      <c r="I460" s="73"/>
      <c r="J460" s="74"/>
      <c r="K460" s="7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25"/>
      <c r="C461" s="25"/>
      <c r="D461" s="4"/>
      <c r="E461" s="4"/>
      <c r="F461" s="4"/>
      <c r="G461" s="4"/>
      <c r="H461" s="72"/>
      <c r="I461" s="73"/>
      <c r="J461" s="74"/>
      <c r="K461" s="7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25"/>
      <c r="C462" s="25"/>
      <c r="D462" s="4"/>
      <c r="E462" s="4"/>
      <c r="F462" s="4"/>
      <c r="G462" s="4"/>
      <c r="H462" s="72"/>
      <c r="I462" s="73"/>
      <c r="J462" s="74"/>
      <c r="K462" s="7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25"/>
      <c r="C463" s="25"/>
      <c r="D463" s="4"/>
      <c r="E463" s="4"/>
      <c r="F463" s="4"/>
      <c r="G463" s="4"/>
      <c r="H463" s="72"/>
      <c r="I463" s="73"/>
      <c r="J463" s="74"/>
      <c r="K463" s="7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25"/>
      <c r="C464" s="25"/>
      <c r="D464" s="4"/>
      <c r="E464" s="4"/>
      <c r="F464" s="4"/>
      <c r="G464" s="4"/>
      <c r="H464" s="72"/>
      <c r="I464" s="73"/>
      <c r="J464" s="74"/>
      <c r="K464" s="7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25"/>
      <c r="C465" s="25"/>
      <c r="D465" s="4"/>
      <c r="E465" s="4"/>
      <c r="F465" s="4"/>
      <c r="G465" s="4"/>
      <c r="H465" s="72"/>
      <c r="I465" s="73"/>
      <c r="J465" s="74"/>
      <c r="K465" s="7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25"/>
      <c r="C466" s="25"/>
      <c r="D466" s="4"/>
      <c r="E466" s="4"/>
      <c r="F466" s="4"/>
      <c r="G466" s="4"/>
      <c r="H466" s="72"/>
      <c r="I466" s="73"/>
      <c r="J466" s="74"/>
      <c r="K466" s="7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25"/>
      <c r="C467" s="25"/>
      <c r="D467" s="4"/>
      <c r="E467" s="4"/>
      <c r="F467" s="4"/>
      <c r="G467" s="4"/>
      <c r="H467" s="72"/>
      <c r="I467" s="73"/>
      <c r="J467" s="74"/>
      <c r="K467" s="7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25"/>
      <c r="C468" s="25"/>
      <c r="D468" s="4"/>
      <c r="E468" s="4"/>
      <c r="F468" s="4"/>
      <c r="G468" s="4"/>
      <c r="H468" s="72"/>
      <c r="I468" s="73"/>
      <c r="J468" s="74"/>
      <c r="K468" s="7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25"/>
      <c r="C469" s="25"/>
      <c r="D469" s="4"/>
      <c r="E469" s="4"/>
      <c r="F469" s="4"/>
      <c r="G469" s="4"/>
      <c r="H469" s="72"/>
      <c r="I469" s="73"/>
      <c r="J469" s="74"/>
      <c r="K469" s="7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25"/>
      <c r="C470" s="25"/>
      <c r="D470" s="4"/>
      <c r="E470" s="4"/>
      <c r="F470" s="4"/>
      <c r="G470" s="4"/>
      <c r="H470" s="72"/>
      <c r="I470" s="73"/>
      <c r="J470" s="74"/>
      <c r="K470" s="7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25"/>
      <c r="C471" s="25"/>
      <c r="D471" s="4"/>
      <c r="E471" s="4"/>
      <c r="F471" s="4"/>
      <c r="G471" s="4"/>
      <c r="H471" s="72"/>
      <c r="I471" s="73"/>
      <c r="J471" s="74"/>
      <c r="K471" s="7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25"/>
      <c r="C472" s="25"/>
      <c r="D472" s="4"/>
      <c r="E472" s="4"/>
      <c r="F472" s="4"/>
      <c r="G472" s="4"/>
      <c r="H472" s="72"/>
      <c r="I472" s="73"/>
      <c r="J472" s="74"/>
      <c r="K472" s="7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25"/>
      <c r="C473" s="25"/>
      <c r="D473" s="4"/>
      <c r="E473" s="4"/>
      <c r="F473" s="4"/>
      <c r="G473" s="4"/>
      <c r="H473" s="72"/>
      <c r="I473" s="73"/>
      <c r="J473" s="74"/>
      <c r="K473" s="7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25"/>
      <c r="C474" s="25"/>
      <c r="D474" s="4"/>
      <c r="E474" s="4"/>
      <c r="F474" s="4"/>
      <c r="G474" s="4"/>
      <c r="H474" s="72"/>
      <c r="I474" s="73"/>
      <c r="J474" s="74"/>
      <c r="K474" s="7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25"/>
      <c r="C475" s="25"/>
      <c r="D475" s="4"/>
      <c r="E475" s="4"/>
      <c r="F475" s="4"/>
      <c r="G475" s="4"/>
      <c r="H475" s="72"/>
      <c r="I475" s="73"/>
      <c r="J475" s="74"/>
      <c r="K475" s="7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25"/>
      <c r="C476" s="25"/>
      <c r="D476" s="4"/>
      <c r="E476" s="4"/>
      <c r="F476" s="4"/>
      <c r="G476" s="4"/>
      <c r="H476" s="72"/>
      <c r="I476" s="73"/>
      <c r="J476" s="74"/>
      <c r="K476" s="7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25"/>
      <c r="C477" s="25"/>
      <c r="D477" s="4"/>
      <c r="E477" s="4"/>
      <c r="F477" s="4"/>
      <c r="G477" s="4"/>
      <c r="H477" s="72"/>
      <c r="I477" s="73"/>
      <c r="J477" s="74"/>
      <c r="K477" s="7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25"/>
      <c r="C478" s="25"/>
      <c r="D478" s="4"/>
      <c r="E478" s="4"/>
      <c r="F478" s="4"/>
      <c r="G478" s="4"/>
      <c r="H478" s="72"/>
      <c r="I478" s="73"/>
      <c r="J478" s="74"/>
      <c r="K478" s="7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25"/>
      <c r="C479" s="25"/>
      <c r="D479" s="4"/>
      <c r="E479" s="4"/>
      <c r="F479" s="4"/>
      <c r="G479" s="4"/>
      <c r="H479" s="72"/>
      <c r="I479" s="73"/>
      <c r="J479" s="74"/>
      <c r="K479" s="7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25"/>
      <c r="C480" s="25"/>
      <c r="D480" s="4"/>
      <c r="E480" s="4"/>
      <c r="F480" s="4"/>
      <c r="G480" s="4"/>
      <c r="H480" s="72"/>
      <c r="I480" s="73"/>
      <c r="J480" s="74"/>
      <c r="K480" s="7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25"/>
      <c r="C481" s="25"/>
      <c r="D481" s="4"/>
      <c r="E481" s="4"/>
      <c r="F481" s="4"/>
      <c r="G481" s="4"/>
      <c r="H481" s="72"/>
      <c r="I481" s="73"/>
      <c r="J481" s="74"/>
      <c r="K481" s="7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25"/>
      <c r="C482" s="25"/>
      <c r="D482" s="4"/>
      <c r="E482" s="4"/>
      <c r="F482" s="4"/>
      <c r="G482" s="4"/>
      <c r="H482" s="72"/>
      <c r="I482" s="73"/>
      <c r="J482" s="74"/>
      <c r="K482" s="7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25"/>
      <c r="C483" s="25"/>
      <c r="D483" s="4"/>
      <c r="E483" s="4"/>
      <c r="F483" s="4"/>
      <c r="G483" s="4"/>
      <c r="H483" s="72"/>
      <c r="I483" s="73"/>
      <c r="J483" s="74"/>
      <c r="K483" s="7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25"/>
      <c r="C484" s="25"/>
      <c r="D484" s="4"/>
      <c r="E484" s="4"/>
      <c r="F484" s="4"/>
      <c r="G484" s="4"/>
      <c r="H484" s="72"/>
      <c r="I484" s="73"/>
      <c r="J484" s="74"/>
      <c r="K484" s="7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25"/>
      <c r="C485" s="25"/>
      <c r="D485" s="4"/>
      <c r="E485" s="4"/>
      <c r="F485" s="4"/>
      <c r="G485" s="4"/>
      <c r="H485" s="72"/>
      <c r="I485" s="73"/>
      <c r="J485" s="74"/>
      <c r="K485" s="7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25"/>
      <c r="C486" s="25"/>
      <c r="D486" s="4"/>
      <c r="E486" s="4"/>
      <c r="F486" s="4"/>
      <c r="G486" s="4"/>
      <c r="H486" s="72"/>
      <c r="I486" s="73"/>
      <c r="J486" s="74"/>
      <c r="K486" s="7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25"/>
      <c r="C487" s="25"/>
      <c r="D487" s="4"/>
      <c r="E487" s="4"/>
      <c r="F487" s="4"/>
      <c r="G487" s="4"/>
      <c r="H487" s="72"/>
      <c r="I487" s="73"/>
      <c r="J487" s="74"/>
      <c r="K487" s="7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25"/>
      <c r="C488" s="25"/>
      <c r="D488" s="4"/>
      <c r="E488" s="4"/>
      <c r="F488" s="4"/>
      <c r="G488" s="4"/>
      <c r="H488" s="72"/>
      <c r="I488" s="73"/>
      <c r="J488" s="74"/>
      <c r="K488" s="7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25"/>
      <c r="C489" s="25"/>
      <c r="D489" s="4"/>
      <c r="E489" s="4"/>
      <c r="F489" s="4"/>
      <c r="G489" s="4"/>
      <c r="H489" s="72"/>
      <c r="I489" s="73"/>
      <c r="J489" s="74"/>
      <c r="K489" s="7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25"/>
      <c r="C490" s="25"/>
      <c r="D490" s="4"/>
      <c r="E490" s="4"/>
      <c r="F490" s="4"/>
      <c r="G490" s="4"/>
      <c r="H490" s="72"/>
      <c r="I490" s="73"/>
      <c r="J490" s="74"/>
      <c r="K490" s="7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25"/>
      <c r="C491" s="25"/>
      <c r="D491" s="4"/>
      <c r="E491" s="4"/>
      <c r="F491" s="4"/>
      <c r="G491" s="4"/>
      <c r="H491" s="72"/>
      <c r="I491" s="73"/>
      <c r="J491" s="74"/>
      <c r="K491" s="7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25"/>
      <c r="C492" s="25"/>
      <c r="D492" s="4"/>
      <c r="E492" s="4"/>
      <c r="F492" s="4"/>
      <c r="G492" s="4"/>
      <c r="H492" s="72"/>
      <c r="I492" s="73"/>
      <c r="J492" s="74"/>
      <c r="K492" s="7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25"/>
      <c r="C493" s="25"/>
      <c r="D493" s="4"/>
      <c r="E493" s="4"/>
      <c r="F493" s="4"/>
      <c r="G493" s="4"/>
      <c r="H493" s="72"/>
      <c r="I493" s="73"/>
      <c r="J493" s="74"/>
      <c r="K493" s="7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25"/>
      <c r="C494" s="25"/>
      <c r="D494" s="4"/>
      <c r="E494" s="4"/>
      <c r="F494" s="4"/>
      <c r="G494" s="4"/>
      <c r="H494" s="72"/>
      <c r="I494" s="73"/>
      <c r="J494" s="74"/>
      <c r="K494" s="7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25"/>
      <c r="C495" s="25"/>
      <c r="D495" s="4"/>
      <c r="E495" s="4"/>
      <c r="F495" s="4"/>
      <c r="G495" s="4"/>
      <c r="H495" s="72"/>
      <c r="I495" s="73"/>
      <c r="J495" s="74"/>
      <c r="K495" s="7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25"/>
      <c r="C496" s="25"/>
      <c r="D496" s="4"/>
      <c r="E496" s="4"/>
      <c r="F496" s="4"/>
      <c r="G496" s="4"/>
      <c r="H496" s="72"/>
      <c r="I496" s="73"/>
      <c r="J496" s="74"/>
      <c r="K496" s="7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25"/>
      <c r="C497" s="25"/>
      <c r="D497" s="4"/>
      <c r="E497" s="4"/>
      <c r="F497" s="4"/>
      <c r="G497" s="4"/>
      <c r="H497" s="72"/>
      <c r="I497" s="73"/>
      <c r="J497" s="74"/>
      <c r="K497" s="7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25"/>
      <c r="C498" s="25"/>
      <c r="D498" s="4"/>
      <c r="E498" s="4"/>
      <c r="F498" s="4"/>
      <c r="G498" s="4"/>
      <c r="H498" s="72"/>
      <c r="I498" s="73"/>
      <c r="J498" s="74"/>
      <c r="K498" s="7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25"/>
      <c r="C499" s="25"/>
      <c r="D499" s="4"/>
      <c r="E499" s="4"/>
      <c r="F499" s="4"/>
      <c r="G499" s="4"/>
      <c r="H499" s="72"/>
      <c r="I499" s="73"/>
      <c r="J499" s="74"/>
      <c r="K499" s="7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25"/>
      <c r="C500" s="25"/>
      <c r="D500" s="4"/>
      <c r="E500" s="4"/>
      <c r="F500" s="4"/>
      <c r="G500" s="4"/>
      <c r="H500" s="72"/>
      <c r="I500" s="73"/>
      <c r="J500" s="74"/>
      <c r="K500" s="7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25"/>
      <c r="C501" s="25"/>
      <c r="D501" s="4"/>
      <c r="E501" s="4"/>
      <c r="F501" s="4"/>
      <c r="G501" s="4"/>
      <c r="H501" s="72"/>
      <c r="I501" s="73"/>
      <c r="J501" s="74"/>
      <c r="K501" s="7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25"/>
      <c r="C502" s="25"/>
      <c r="D502" s="4"/>
      <c r="E502" s="4"/>
      <c r="F502" s="4"/>
      <c r="G502" s="4"/>
      <c r="H502" s="72"/>
      <c r="I502" s="73"/>
      <c r="J502" s="74"/>
      <c r="K502" s="7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25"/>
      <c r="C503" s="25"/>
      <c r="D503" s="4"/>
      <c r="E503" s="4"/>
      <c r="F503" s="4"/>
      <c r="G503" s="4"/>
      <c r="H503" s="72"/>
      <c r="I503" s="73"/>
      <c r="J503" s="74"/>
      <c r="K503" s="7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25"/>
      <c r="C504" s="25"/>
      <c r="D504" s="4"/>
      <c r="E504" s="4"/>
      <c r="F504" s="4"/>
      <c r="G504" s="4"/>
      <c r="H504" s="72"/>
      <c r="I504" s="73"/>
      <c r="J504" s="74"/>
      <c r="K504" s="7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25"/>
      <c r="C505" s="25"/>
      <c r="D505" s="4"/>
      <c r="E505" s="4"/>
      <c r="F505" s="4"/>
      <c r="G505" s="4"/>
      <c r="H505" s="72"/>
      <c r="I505" s="73"/>
      <c r="J505" s="74"/>
      <c r="K505" s="7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25"/>
      <c r="C506" s="25"/>
      <c r="D506" s="4"/>
      <c r="E506" s="4"/>
      <c r="F506" s="4"/>
      <c r="G506" s="4"/>
      <c r="H506" s="72"/>
      <c r="I506" s="73"/>
      <c r="J506" s="74"/>
      <c r="K506" s="7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25"/>
      <c r="C507" s="25"/>
      <c r="D507" s="4"/>
      <c r="E507" s="4"/>
      <c r="F507" s="4"/>
      <c r="G507" s="4"/>
      <c r="H507" s="72"/>
      <c r="I507" s="73"/>
      <c r="J507" s="74"/>
      <c r="K507" s="7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25"/>
      <c r="C508" s="25"/>
      <c r="D508" s="4"/>
      <c r="E508" s="4"/>
      <c r="F508" s="4"/>
      <c r="G508" s="4"/>
      <c r="H508" s="72"/>
      <c r="I508" s="73"/>
      <c r="J508" s="74"/>
      <c r="K508" s="7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25"/>
      <c r="C509" s="25"/>
      <c r="D509" s="4"/>
      <c r="E509" s="4"/>
      <c r="F509" s="4"/>
      <c r="G509" s="4"/>
      <c r="H509" s="72"/>
      <c r="I509" s="73"/>
      <c r="J509" s="74"/>
      <c r="K509" s="7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25"/>
      <c r="C510" s="25"/>
      <c r="D510" s="4"/>
      <c r="E510" s="4"/>
      <c r="F510" s="4"/>
      <c r="G510" s="4"/>
      <c r="H510" s="72"/>
      <c r="I510" s="73"/>
      <c r="J510" s="74"/>
      <c r="K510" s="7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25"/>
      <c r="C511" s="25"/>
      <c r="D511" s="4"/>
      <c r="E511" s="4"/>
      <c r="F511" s="4"/>
      <c r="G511" s="4"/>
      <c r="H511" s="72"/>
      <c r="I511" s="73"/>
      <c r="J511" s="74"/>
      <c r="K511" s="7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25"/>
      <c r="C512" s="25"/>
      <c r="D512" s="4"/>
      <c r="E512" s="4"/>
      <c r="F512" s="4"/>
      <c r="G512" s="4"/>
      <c r="H512" s="72"/>
      <c r="I512" s="73"/>
      <c r="J512" s="74"/>
      <c r="K512" s="7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25"/>
      <c r="C513" s="25"/>
      <c r="D513" s="4"/>
      <c r="E513" s="4"/>
      <c r="F513" s="4"/>
      <c r="G513" s="4"/>
      <c r="H513" s="72"/>
      <c r="I513" s="73"/>
      <c r="J513" s="74"/>
      <c r="K513" s="7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25"/>
      <c r="C514" s="25"/>
      <c r="D514" s="4"/>
      <c r="E514" s="4"/>
      <c r="F514" s="4"/>
      <c r="G514" s="4"/>
      <c r="H514" s="72"/>
      <c r="I514" s="73"/>
      <c r="J514" s="74"/>
      <c r="K514" s="7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25"/>
      <c r="C515" s="25"/>
      <c r="D515" s="4"/>
      <c r="E515" s="4"/>
      <c r="F515" s="4"/>
      <c r="G515" s="4"/>
      <c r="H515" s="72"/>
      <c r="I515" s="73"/>
      <c r="J515" s="74"/>
      <c r="K515" s="7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25"/>
      <c r="C516" s="25"/>
      <c r="D516" s="4"/>
      <c r="E516" s="4"/>
      <c r="F516" s="4"/>
      <c r="G516" s="4"/>
      <c r="H516" s="72"/>
      <c r="I516" s="73"/>
      <c r="J516" s="74"/>
      <c r="K516" s="7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25"/>
      <c r="C517" s="25"/>
      <c r="D517" s="4"/>
      <c r="E517" s="4"/>
      <c r="F517" s="4"/>
      <c r="G517" s="4"/>
      <c r="H517" s="72"/>
      <c r="I517" s="73"/>
      <c r="J517" s="74"/>
      <c r="K517" s="7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25"/>
      <c r="C518" s="25"/>
      <c r="D518" s="4"/>
      <c r="E518" s="4"/>
      <c r="F518" s="4"/>
      <c r="G518" s="4"/>
      <c r="H518" s="72"/>
      <c r="I518" s="73"/>
      <c r="J518" s="74"/>
      <c r="K518" s="7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25"/>
      <c r="C519" s="25"/>
      <c r="D519" s="4"/>
      <c r="E519" s="4"/>
      <c r="F519" s="4"/>
      <c r="G519" s="4"/>
      <c r="H519" s="72"/>
      <c r="I519" s="73"/>
      <c r="J519" s="74"/>
      <c r="K519" s="7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25"/>
      <c r="C520" s="25"/>
      <c r="D520" s="4"/>
      <c r="E520" s="4"/>
      <c r="F520" s="4"/>
      <c r="G520" s="4"/>
      <c r="H520" s="72"/>
      <c r="I520" s="73"/>
      <c r="J520" s="74"/>
      <c r="K520" s="7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25"/>
      <c r="C521" s="25"/>
      <c r="D521" s="4"/>
      <c r="E521" s="4"/>
      <c r="F521" s="4"/>
      <c r="G521" s="4"/>
      <c r="H521" s="72"/>
      <c r="I521" s="73"/>
      <c r="J521" s="74"/>
      <c r="K521" s="7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25"/>
      <c r="C522" s="25"/>
      <c r="D522" s="4"/>
      <c r="E522" s="4"/>
      <c r="F522" s="4"/>
      <c r="G522" s="4"/>
      <c r="H522" s="72"/>
      <c r="I522" s="73"/>
      <c r="J522" s="74"/>
      <c r="K522" s="7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25"/>
      <c r="C523" s="25"/>
      <c r="D523" s="4"/>
      <c r="E523" s="4"/>
      <c r="F523" s="4"/>
      <c r="G523" s="4"/>
      <c r="H523" s="72"/>
      <c r="I523" s="73"/>
      <c r="J523" s="74"/>
      <c r="K523" s="7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25"/>
      <c r="C524" s="25"/>
      <c r="D524" s="4"/>
      <c r="E524" s="4"/>
      <c r="F524" s="4"/>
      <c r="G524" s="4"/>
      <c r="H524" s="72"/>
      <c r="I524" s="73"/>
      <c r="J524" s="74"/>
      <c r="K524" s="7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25"/>
      <c r="C525" s="25"/>
      <c r="D525" s="4"/>
      <c r="E525" s="4"/>
      <c r="F525" s="4"/>
      <c r="G525" s="4"/>
      <c r="H525" s="72"/>
      <c r="I525" s="73"/>
      <c r="J525" s="74"/>
      <c r="K525" s="7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25"/>
      <c r="C526" s="25"/>
      <c r="D526" s="4"/>
      <c r="E526" s="4"/>
      <c r="F526" s="4"/>
      <c r="G526" s="4"/>
      <c r="H526" s="72"/>
      <c r="I526" s="73"/>
      <c r="J526" s="74"/>
      <c r="K526" s="7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25"/>
      <c r="C527" s="25"/>
      <c r="D527" s="4"/>
      <c r="E527" s="4"/>
      <c r="F527" s="4"/>
      <c r="G527" s="4"/>
      <c r="H527" s="72"/>
      <c r="I527" s="73"/>
      <c r="J527" s="74"/>
      <c r="K527" s="7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25"/>
      <c r="C528" s="25"/>
      <c r="D528" s="4"/>
      <c r="E528" s="4"/>
      <c r="F528" s="4"/>
      <c r="G528" s="4"/>
      <c r="H528" s="72"/>
      <c r="I528" s="73"/>
      <c r="J528" s="74"/>
      <c r="K528" s="7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25"/>
      <c r="C529" s="25"/>
      <c r="D529" s="4"/>
      <c r="E529" s="4"/>
      <c r="F529" s="4"/>
      <c r="G529" s="4"/>
      <c r="H529" s="72"/>
      <c r="I529" s="73"/>
      <c r="J529" s="74"/>
      <c r="K529" s="7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25"/>
      <c r="C530" s="25"/>
      <c r="D530" s="4"/>
      <c r="E530" s="4"/>
      <c r="F530" s="4"/>
      <c r="G530" s="4"/>
      <c r="H530" s="72"/>
      <c r="I530" s="73"/>
      <c r="J530" s="74"/>
      <c r="K530" s="7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25"/>
      <c r="C531" s="25"/>
      <c r="D531" s="4"/>
      <c r="E531" s="4"/>
      <c r="F531" s="4"/>
      <c r="G531" s="4"/>
      <c r="H531" s="72"/>
      <c r="I531" s="73"/>
      <c r="J531" s="74"/>
      <c r="K531" s="7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25"/>
      <c r="C532" s="25"/>
      <c r="D532" s="4"/>
      <c r="E532" s="4"/>
      <c r="F532" s="4"/>
      <c r="G532" s="4"/>
      <c r="H532" s="72"/>
      <c r="I532" s="73"/>
      <c r="J532" s="74"/>
      <c r="K532" s="7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25"/>
      <c r="C533" s="25"/>
      <c r="D533" s="4"/>
      <c r="E533" s="4"/>
      <c r="F533" s="4"/>
      <c r="G533" s="4"/>
      <c r="H533" s="72"/>
      <c r="I533" s="73"/>
      <c r="J533" s="74"/>
      <c r="K533" s="7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25"/>
      <c r="C534" s="25"/>
      <c r="D534" s="4"/>
      <c r="E534" s="4"/>
      <c r="F534" s="4"/>
      <c r="G534" s="4"/>
      <c r="H534" s="72"/>
      <c r="I534" s="73"/>
      <c r="J534" s="74"/>
      <c r="K534" s="7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25"/>
      <c r="C535" s="25"/>
      <c r="D535" s="4"/>
      <c r="E535" s="4"/>
      <c r="F535" s="4"/>
      <c r="G535" s="4"/>
      <c r="H535" s="72"/>
      <c r="I535" s="73"/>
      <c r="J535" s="74"/>
      <c r="K535" s="7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25"/>
      <c r="C536" s="25"/>
      <c r="D536" s="4"/>
      <c r="E536" s="4"/>
      <c r="F536" s="4"/>
      <c r="G536" s="4"/>
      <c r="H536" s="72"/>
      <c r="I536" s="73"/>
      <c r="J536" s="74"/>
      <c r="K536" s="7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25"/>
      <c r="C537" s="25"/>
      <c r="D537" s="4"/>
      <c r="E537" s="4"/>
      <c r="F537" s="4"/>
      <c r="G537" s="4"/>
      <c r="H537" s="72"/>
      <c r="I537" s="73"/>
      <c r="J537" s="74"/>
      <c r="K537" s="7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25"/>
      <c r="C538" s="25"/>
      <c r="D538" s="4"/>
      <c r="E538" s="4"/>
      <c r="F538" s="4"/>
      <c r="G538" s="4"/>
      <c r="H538" s="72"/>
      <c r="I538" s="73"/>
      <c r="J538" s="74"/>
      <c r="K538" s="7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25"/>
      <c r="C539" s="25"/>
      <c r="D539" s="4"/>
      <c r="E539" s="4"/>
      <c r="F539" s="4"/>
      <c r="G539" s="4"/>
      <c r="H539" s="72"/>
      <c r="I539" s="73"/>
      <c r="J539" s="74"/>
      <c r="K539" s="7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25"/>
      <c r="C540" s="25"/>
      <c r="D540" s="4"/>
      <c r="E540" s="4"/>
      <c r="F540" s="4"/>
      <c r="G540" s="4"/>
      <c r="H540" s="72"/>
      <c r="I540" s="73"/>
      <c r="J540" s="74"/>
      <c r="K540" s="7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25"/>
      <c r="C541" s="25"/>
      <c r="D541" s="4"/>
      <c r="E541" s="4"/>
      <c r="F541" s="4"/>
      <c r="G541" s="4"/>
      <c r="H541" s="72"/>
      <c r="I541" s="73"/>
      <c r="J541" s="74"/>
      <c r="K541" s="7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25"/>
      <c r="C542" s="25"/>
      <c r="D542" s="4"/>
      <c r="E542" s="4"/>
      <c r="F542" s="4"/>
      <c r="G542" s="4"/>
      <c r="H542" s="72"/>
      <c r="I542" s="73"/>
      <c r="J542" s="74"/>
      <c r="K542" s="7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25"/>
      <c r="C543" s="25"/>
      <c r="D543" s="4"/>
      <c r="E543" s="4"/>
      <c r="F543" s="4"/>
      <c r="G543" s="4"/>
      <c r="H543" s="72"/>
      <c r="I543" s="73"/>
      <c r="J543" s="74"/>
      <c r="K543" s="7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25"/>
      <c r="C544" s="25"/>
      <c r="D544" s="4"/>
      <c r="E544" s="4"/>
      <c r="F544" s="4"/>
      <c r="G544" s="4"/>
      <c r="H544" s="72"/>
      <c r="I544" s="73"/>
      <c r="J544" s="74"/>
      <c r="K544" s="7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25"/>
      <c r="C545" s="25"/>
      <c r="D545" s="4"/>
      <c r="E545" s="4"/>
      <c r="F545" s="4"/>
      <c r="G545" s="4"/>
      <c r="H545" s="72"/>
      <c r="I545" s="73"/>
      <c r="J545" s="74"/>
      <c r="K545" s="7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25"/>
      <c r="C546" s="25"/>
      <c r="D546" s="4"/>
      <c r="E546" s="4"/>
      <c r="F546" s="4"/>
      <c r="G546" s="4"/>
      <c r="H546" s="72"/>
      <c r="I546" s="73"/>
      <c r="J546" s="74"/>
      <c r="K546" s="7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25"/>
      <c r="C547" s="25"/>
      <c r="D547" s="4"/>
      <c r="E547" s="4"/>
      <c r="F547" s="4"/>
      <c r="G547" s="4"/>
      <c r="H547" s="72"/>
      <c r="I547" s="73"/>
      <c r="J547" s="74"/>
      <c r="K547" s="7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25"/>
      <c r="C548" s="25"/>
      <c r="D548" s="4"/>
      <c r="E548" s="4"/>
      <c r="F548" s="4"/>
      <c r="G548" s="4"/>
      <c r="H548" s="72"/>
      <c r="I548" s="73"/>
      <c r="J548" s="74"/>
      <c r="K548" s="7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25"/>
      <c r="C549" s="25"/>
      <c r="D549" s="4"/>
      <c r="E549" s="4"/>
      <c r="F549" s="4"/>
      <c r="G549" s="4"/>
      <c r="H549" s="72"/>
      <c r="I549" s="73"/>
      <c r="J549" s="74"/>
      <c r="K549" s="7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25"/>
      <c r="C550" s="25"/>
      <c r="D550" s="4"/>
      <c r="E550" s="4"/>
      <c r="F550" s="4"/>
      <c r="G550" s="4"/>
      <c r="H550" s="72"/>
      <c r="I550" s="73"/>
      <c r="J550" s="74"/>
      <c r="K550" s="7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25"/>
      <c r="C551" s="25"/>
      <c r="D551" s="4"/>
      <c r="E551" s="4"/>
      <c r="F551" s="4"/>
      <c r="G551" s="4"/>
      <c r="H551" s="72"/>
      <c r="I551" s="73"/>
      <c r="J551" s="74"/>
      <c r="K551" s="7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25"/>
      <c r="C552" s="25"/>
      <c r="D552" s="4"/>
      <c r="E552" s="4"/>
      <c r="F552" s="4"/>
      <c r="G552" s="4"/>
      <c r="H552" s="72"/>
      <c r="I552" s="73"/>
      <c r="J552" s="74"/>
      <c r="K552" s="7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25"/>
      <c r="C553" s="25"/>
      <c r="D553" s="4"/>
      <c r="E553" s="4"/>
      <c r="F553" s="4"/>
      <c r="G553" s="4"/>
      <c r="H553" s="72"/>
      <c r="I553" s="73"/>
      <c r="J553" s="74"/>
      <c r="K553" s="7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25"/>
      <c r="C554" s="25"/>
      <c r="D554" s="4"/>
      <c r="E554" s="4"/>
      <c r="F554" s="4"/>
      <c r="G554" s="4"/>
      <c r="H554" s="72"/>
      <c r="I554" s="73"/>
      <c r="J554" s="74"/>
      <c r="K554" s="7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25"/>
      <c r="C555" s="25"/>
      <c r="D555" s="4"/>
      <c r="E555" s="4"/>
      <c r="F555" s="4"/>
      <c r="G555" s="4"/>
      <c r="H555" s="72"/>
      <c r="I555" s="73"/>
      <c r="J555" s="74"/>
      <c r="K555" s="7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25"/>
      <c r="C556" s="25"/>
      <c r="D556" s="4"/>
      <c r="E556" s="4"/>
      <c r="F556" s="4"/>
      <c r="G556" s="4"/>
      <c r="H556" s="72"/>
      <c r="I556" s="73"/>
      <c r="J556" s="74"/>
      <c r="K556" s="7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25"/>
      <c r="C557" s="25"/>
      <c r="D557" s="4"/>
      <c r="E557" s="4"/>
      <c r="F557" s="4"/>
      <c r="G557" s="4"/>
      <c r="H557" s="72"/>
      <c r="I557" s="73"/>
      <c r="J557" s="74"/>
      <c r="K557" s="7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25"/>
      <c r="C558" s="25"/>
      <c r="D558" s="4"/>
      <c r="E558" s="4"/>
      <c r="F558" s="4"/>
      <c r="G558" s="4"/>
      <c r="H558" s="72"/>
      <c r="I558" s="73"/>
      <c r="J558" s="74"/>
      <c r="K558" s="7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25"/>
      <c r="C559" s="25"/>
      <c r="D559" s="4"/>
      <c r="E559" s="4"/>
      <c r="F559" s="4"/>
      <c r="G559" s="4"/>
      <c r="H559" s="72"/>
      <c r="I559" s="73"/>
      <c r="J559" s="74"/>
      <c r="K559" s="7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25"/>
      <c r="C560" s="25"/>
      <c r="D560" s="4"/>
      <c r="E560" s="4"/>
      <c r="F560" s="4"/>
      <c r="G560" s="4"/>
      <c r="H560" s="72"/>
      <c r="I560" s="73"/>
      <c r="J560" s="74"/>
      <c r="K560" s="7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25"/>
      <c r="C561" s="25"/>
      <c r="D561" s="4"/>
      <c r="E561" s="4"/>
      <c r="F561" s="4"/>
      <c r="G561" s="4"/>
      <c r="H561" s="72"/>
      <c r="I561" s="73"/>
      <c r="J561" s="74"/>
      <c r="K561" s="7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25"/>
      <c r="C562" s="25"/>
      <c r="D562" s="4"/>
      <c r="E562" s="4"/>
      <c r="F562" s="4"/>
      <c r="G562" s="4"/>
      <c r="H562" s="72"/>
      <c r="I562" s="73"/>
      <c r="J562" s="74"/>
      <c r="K562" s="7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25"/>
      <c r="C563" s="25"/>
      <c r="D563" s="4"/>
      <c r="E563" s="4"/>
      <c r="F563" s="4"/>
      <c r="G563" s="4"/>
      <c r="H563" s="72"/>
      <c r="I563" s="73"/>
      <c r="J563" s="74"/>
      <c r="K563" s="7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25"/>
      <c r="C564" s="25"/>
      <c r="D564" s="4"/>
      <c r="E564" s="4"/>
      <c r="F564" s="4"/>
      <c r="G564" s="4"/>
      <c r="H564" s="72"/>
      <c r="I564" s="73"/>
      <c r="J564" s="74"/>
      <c r="K564" s="7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25"/>
      <c r="C565" s="25"/>
      <c r="D565" s="4"/>
      <c r="E565" s="4"/>
      <c r="F565" s="4"/>
      <c r="G565" s="4"/>
      <c r="H565" s="72"/>
      <c r="I565" s="73"/>
      <c r="J565" s="74"/>
      <c r="K565" s="7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25"/>
      <c r="C566" s="25"/>
      <c r="D566" s="4"/>
      <c r="E566" s="4"/>
      <c r="F566" s="4"/>
      <c r="G566" s="4"/>
      <c r="H566" s="72"/>
      <c r="I566" s="73"/>
      <c r="J566" s="74"/>
      <c r="K566" s="7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25"/>
      <c r="C567" s="25"/>
      <c r="D567" s="4"/>
      <c r="E567" s="4"/>
      <c r="F567" s="4"/>
      <c r="G567" s="4"/>
      <c r="H567" s="72"/>
      <c r="I567" s="73"/>
      <c r="J567" s="74"/>
      <c r="K567" s="7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25"/>
      <c r="C568" s="25"/>
      <c r="D568" s="4"/>
      <c r="E568" s="4"/>
      <c r="F568" s="4"/>
      <c r="G568" s="4"/>
      <c r="H568" s="72"/>
      <c r="I568" s="73"/>
      <c r="J568" s="74"/>
      <c r="K568" s="7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25"/>
      <c r="C569" s="25"/>
      <c r="D569" s="4"/>
      <c r="E569" s="4"/>
      <c r="F569" s="4"/>
      <c r="G569" s="4"/>
      <c r="H569" s="72"/>
      <c r="I569" s="73"/>
      <c r="J569" s="74"/>
      <c r="K569" s="7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25"/>
      <c r="C570" s="25"/>
      <c r="D570" s="4"/>
      <c r="E570" s="4"/>
      <c r="F570" s="4"/>
      <c r="G570" s="4"/>
      <c r="H570" s="72"/>
      <c r="I570" s="73"/>
      <c r="J570" s="74"/>
      <c r="K570" s="7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25"/>
      <c r="C571" s="25"/>
      <c r="D571" s="4"/>
      <c r="E571" s="4"/>
      <c r="F571" s="4"/>
      <c r="G571" s="4"/>
      <c r="H571" s="72"/>
      <c r="I571" s="73"/>
      <c r="J571" s="74"/>
      <c r="K571" s="7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25"/>
      <c r="C572" s="25"/>
      <c r="D572" s="4"/>
      <c r="E572" s="4"/>
      <c r="F572" s="4"/>
      <c r="G572" s="4"/>
      <c r="H572" s="72"/>
      <c r="I572" s="73"/>
      <c r="J572" s="74"/>
      <c r="K572" s="7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25"/>
      <c r="C573" s="25"/>
      <c r="D573" s="4"/>
      <c r="E573" s="4"/>
      <c r="F573" s="4"/>
      <c r="G573" s="4"/>
      <c r="H573" s="72"/>
      <c r="I573" s="73"/>
      <c r="J573" s="74"/>
      <c r="K573" s="7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25"/>
      <c r="C574" s="25"/>
      <c r="D574" s="4"/>
      <c r="E574" s="4"/>
      <c r="F574" s="4"/>
      <c r="G574" s="4"/>
      <c r="H574" s="72"/>
      <c r="I574" s="73"/>
      <c r="J574" s="74"/>
      <c r="K574" s="7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25"/>
      <c r="C575" s="25"/>
      <c r="D575" s="4"/>
      <c r="E575" s="4"/>
      <c r="F575" s="4"/>
      <c r="G575" s="4"/>
      <c r="H575" s="72"/>
      <c r="I575" s="73"/>
      <c r="J575" s="74"/>
      <c r="K575" s="7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25"/>
      <c r="C576" s="25"/>
      <c r="D576" s="4"/>
      <c r="E576" s="4"/>
      <c r="F576" s="4"/>
      <c r="G576" s="4"/>
      <c r="H576" s="72"/>
      <c r="I576" s="73"/>
      <c r="J576" s="74"/>
      <c r="K576" s="7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25"/>
      <c r="C577" s="25"/>
      <c r="D577" s="4"/>
      <c r="E577" s="4"/>
      <c r="F577" s="4"/>
      <c r="G577" s="4"/>
      <c r="H577" s="72"/>
      <c r="I577" s="73"/>
      <c r="J577" s="74"/>
      <c r="K577" s="7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25"/>
      <c r="C578" s="25"/>
      <c r="D578" s="4"/>
      <c r="E578" s="4"/>
      <c r="F578" s="4"/>
      <c r="G578" s="4"/>
      <c r="H578" s="72"/>
      <c r="I578" s="73"/>
      <c r="J578" s="74"/>
      <c r="K578" s="7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25"/>
      <c r="C579" s="25"/>
      <c r="D579" s="4"/>
      <c r="E579" s="4"/>
      <c r="F579" s="4"/>
      <c r="G579" s="4"/>
      <c r="H579" s="72"/>
      <c r="I579" s="73"/>
      <c r="J579" s="74"/>
      <c r="K579" s="7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25"/>
      <c r="C580" s="25"/>
      <c r="D580" s="4"/>
      <c r="E580" s="4"/>
      <c r="F580" s="4"/>
      <c r="G580" s="4"/>
      <c r="H580" s="72"/>
      <c r="I580" s="73"/>
      <c r="J580" s="74"/>
      <c r="K580" s="7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25"/>
      <c r="C581" s="25"/>
      <c r="D581" s="4"/>
      <c r="E581" s="4"/>
      <c r="F581" s="4"/>
      <c r="G581" s="4"/>
      <c r="H581" s="72"/>
      <c r="I581" s="73"/>
      <c r="J581" s="74"/>
      <c r="K581" s="7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25"/>
      <c r="C582" s="25"/>
      <c r="D582" s="4"/>
      <c r="E582" s="4"/>
      <c r="F582" s="4"/>
      <c r="G582" s="4"/>
      <c r="H582" s="72"/>
      <c r="I582" s="73"/>
      <c r="J582" s="74"/>
      <c r="K582" s="7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25"/>
      <c r="C583" s="25"/>
      <c r="D583" s="4"/>
      <c r="E583" s="4"/>
      <c r="F583" s="4"/>
      <c r="G583" s="4"/>
      <c r="H583" s="72"/>
      <c r="I583" s="73"/>
      <c r="J583" s="74"/>
      <c r="K583" s="7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25"/>
      <c r="C584" s="25"/>
      <c r="D584" s="4"/>
      <c r="E584" s="4"/>
      <c r="F584" s="4"/>
      <c r="G584" s="4"/>
      <c r="H584" s="72"/>
      <c r="I584" s="73"/>
      <c r="J584" s="74"/>
      <c r="K584" s="7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25"/>
      <c r="C585" s="25"/>
      <c r="D585" s="4"/>
      <c r="E585" s="4"/>
      <c r="F585" s="4"/>
      <c r="G585" s="4"/>
      <c r="H585" s="72"/>
      <c r="I585" s="73"/>
      <c r="J585" s="74"/>
      <c r="K585" s="7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25"/>
      <c r="C586" s="25"/>
      <c r="D586" s="4"/>
      <c r="E586" s="4"/>
      <c r="F586" s="4"/>
      <c r="G586" s="4"/>
      <c r="H586" s="72"/>
      <c r="I586" s="73"/>
      <c r="J586" s="74"/>
      <c r="K586" s="7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25"/>
      <c r="C587" s="25"/>
      <c r="D587" s="4"/>
      <c r="E587" s="4"/>
      <c r="F587" s="4"/>
      <c r="G587" s="4"/>
      <c r="H587" s="72"/>
      <c r="I587" s="73"/>
      <c r="J587" s="74"/>
      <c r="K587" s="7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25"/>
      <c r="C588" s="25"/>
      <c r="D588" s="4"/>
      <c r="E588" s="4"/>
      <c r="F588" s="4"/>
      <c r="G588" s="4"/>
      <c r="H588" s="72"/>
      <c r="I588" s="73"/>
      <c r="J588" s="74"/>
      <c r="K588" s="7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25"/>
      <c r="C589" s="25"/>
      <c r="D589" s="4"/>
      <c r="E589" s="4"/>
      <c r="F589" s="4"/>
      <c r="G589" s="4"/>
      <c r="H589" s="72"/>
      <c r="I589" s="73"/>
      <c r="J589" s="74"/>
      <c r="K589" s="7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25"/>
      <c r="C590" s="25"/>
      <c r="D590" s="4"/>
      <c r="E590" s="4"/>
      <c r="F590" s="4"/>
      <c r="G590" s="4"/>
      <c r="H590" s="72"/>
      <c r="I590" s="73"/>
      <c r="J590" s="74"/>
      <c r="K590" s="7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25"/>
      <c r="C591" s="25"/>
      <c r="D591" s="4"/>
      <c r="E591" s="4"/>
      <c r="F591" s="4"/>
      <c r="G591" s="4"/>
      <c r="H591" s="72"/>
      <c r="I591" s="73"/>
      <c r="J591" s="74"/>
      <c r="K591" s="7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25"/>
      <c r="C592" s="25"/>
      <c r="D592" s="4"/>
      <c r="E592" s="4"/>
      <c r="F592" s="4"/>
      <c r="G592" s="4"/>
      <c r="H592" s="72"/>
      <c r="I592" s="73"/>
      <c r="J592" s="74"/>
      <c r="K592" s="7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25"/>
      <c r="C593" s="25"/>
      <c r="D593" s="4"/>
      <c r="E593" s="4"/>
      <c r="F593" s="4"/>
      <c r="G593" s="4"/>
      <c r="H593" s="72"/>
      <c r="I593" s="73"/>
      <c r="J593" s="74"/>
      <c r="K593" s="7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25"/>
      <c r="C594" s="25"/>
      <c r="D594" s="4"/>
      <c r="E594" s="4"/>
      <c r="F594" s="4"/>
      <c r="G594" s="4"/>
      <c r="H594" s="72"/>
      <c r="I594" s="73"/>
      <c r="J594" s="74"/>
      <c r="K594" s="7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25"/>
      <c r="C595" s="25"/>
      <c r="D595" s="4"/>
      <c r="E595" s="4"/>
      <c r="F595" s="4"/>
      <c r="G595" s="4"/>
      <c r="H595" s="72"/>
      <c r="I595" s="73"/>
      <c r="J595" s="74"/>
      <c r="K595" s="7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25"/>
      <c r="C596" s="25"/>
      <c r="D596" s="4"/>
      <c r="E596" s="4"/>
      <c r="F596" s="4"/>
      <c r="G596" s="4"/>
      <c r="H596" s="72"/>
      <c r="I596" s="73"/>
      <c r="J596" s="74"/>
      <c r="K596" s="7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25"/>
      <c r="C597" s="25"/>
      <c r="D597" s="4"/>
      <c r="E597" s="4"/>
      <c r="F597" s="4"/>
      <c r="G597" s="4"/>
      <c r="H597" s="72"/>
      <c r="I597" s="73"/>
      <c r="J597" s="74"/>
      <c r="K597" s="7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25"/>
      <c r="C598" s="25"/>
      <c r="D598" s="4"/>
      <c r="E598" s="4"/>
      <c r="F598" s="4"/>
      <c r="G598" s="4"/>
      <c r="H598" s="72"/>
      <c r="I598" s="73"/>
      <c r="J598" s="74"/>
      <c r="K598" s="7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25"/>
      <c r="C599" s="25"/>
      <c r="D599" s="4"/>
      <c r="E599" s="4"/>
      <c r="F599" s="4"/>
      <c r="G599" s="4"/>
      <c r="H599" s="72"/>
      <c r="I599" s="73"/>
      <c r="J599" s="74"/>
      <c r="K599" s="7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25"/>
      <c r="C600" s="25"/>
      <c r="D600" s="4"/>
      <c r="E600" s="4"/>
      <c r="F600" s="4"/>
      <c r="G600" s="4"/>
      <c r="H600" s="72"/>
      <c r="I600" s="73"/>
      <c r="J600" s="74"/>
      <c r="K600" s="7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25"/>
      <c r="C601" s="25"/>
      <c r="D601" s="4"/>
      <c r="E601" s="4"/>
      <c r="F601" s="4"/>
      <c r="G601" s="4"/>
      <c r="H601" s="72"/>
      <c r="I601" s="73"/>
      <c r="J601" s="74"/>
      <c r="K601" s="7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25"/>
      <c r="C602" s="25"/>
      <c r="D602" s="4"/>
      <c r="E602" s="4"/>
      <c r="F602" s="4"/>
      <c r="G602" s="4"/>
      <c r="H602" s="72"/>
      <c r="I602" s="73"/>
      <c r="J602" s="74"/>
      <c r="K602" s="7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25"/>
      <c r="C603" s="25"/>
      <c r="D603" s="4"/>
      <c r="E603" s="4"/>
      <c r="F603" s="4"/>
      <c r="G603" s="4"/>
      <c r="H603" s="72"/>
      <c r="I603" s="73"/>
      <c r="J603" s="74"/>
      <c r="K603" s="7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25"/>
      <c r="C604" s="25"/>
      <c r="D604" s="4"/>
      <c r="E604" s="4"/>
      <c r="F604" s="4"/>
      <c r="G604" s="4"/>
      <c r="H604" s="72"/>
      <c r="I604" s="73"/>
      <c r="J604" s="74"/>
      <c r="K604" s="7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25"/>
      <c r="C605" s="25"/>
      <c r="D605" s="4"/>
      <c r="E605" s="4"/>
      <c r="F605" s="4"/>
      <c r="G605" s="4"/>
      <c r="H605" s="72"/>
      <c r="I605" s="73"/>
      <c r="J605" s="74"/>
      <c r="K605" s="7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25"/>
      <c r="C606" s="25"/>
      <c r="D606" s="4"/>
      <c r="E606" s="4"/>
      <c r="F606" s="4"/>
      <c r="G606" s="4"/>
      <c r="H606" s="72"/>
      <c r="I606" s="73"/>
      <c r="J606" s="74"/>
      <c r="K606" s="7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25"/>
      <c r="C607" s="25"/>
      <c r="D607" s="4"/>
      <c r="E607" s="4"/>
      <c r="F607" s="4"/>
      <c r="G607" s="4"/>
      <c r="H607" s="72"/>
      <c r="I607" s="73"/>
      <c r="J607" s="74"/>
      <c r="K607" s="7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25"/>
      <c r="C608" s="25"/>
      <c r="D608" s="4"/>
      <c r="E608" s="4"/>
      <c r="F608" s="4"/>
      <c r="G608" s="4"/>
      <c r="H608" s="72"/>
      <c r="I608" s="73"/>
      <c r="J608" s="74"/>
      <c r="K608" s="7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25"/>
      <c r="C609" s="25"/>
      <c r="D609" s="4"/>
      <c r="E609" s="4"/>
      <c r="F609" s="4"/>
      <c r="G609" s="4"/>
      <c r="H609" s="72"/>
      <c r="I609" s="73"/>
      <c r="J609" s="74"/>
      <c r="K609" s="7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25"/>
      <c r="C610" s="25"/>
      <c r="D610" s="4"/>
      <c r="E610" s="4"/>
      <c r="F610" s="4"/>
      <c r="G610" s="4"/>
      <c r="H610" s="72"/>
      <c r="I610" s="73"/>
      <c r="J610" s="74"/>
      <c r="K610" s="7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25"/>
      <c r="C611" s="25"/>
      <c r="D611" s="4"/>
      <c r="E611" s="4"/>
      <c r="F611" s="4"/>
      <c r="G611" s="4"/>
      <c r="H611" s="72"/>
      <c r="I611" s="73"/>
      <c r="J611" s="74"/>
      <c r="K611" s="7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25"/>
      <c r="C612" s="25"/>
      <c r="D612" s="4"/>
      <c r="E612" s="4"/>
      <c r="F612" s="4"/>
      <c r="G612" s="4"/>
      <c r="H612" s="72"/>
      <c r="I612" s="73"/>
      <c r="J612" s="74"/>
      <c r="K612" s="7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25"/>
      <c r="C613" s="25"/>
      <c r="D613" s="4"/>
      <c r="E613" s="4"/>
      <c r="F613" s="4"/>
      <c r="G613" s="4"/>
      <c r="H613" s="72"/>
      <c r="I613" s="73"/>
      <c r="J613" s="74"/>
      <c r="K613" s="7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25"/>
      <c r="C614" s="25"/>
      <c r="D614" s="4"/>
      <c r="E614" s="4"/>
      <c r="F614" s="4"/>
      <c r="G614" s="4"/>
      <c r="H614" s="72"/>
      <c r="I614" s="73"/>
      <c r="J614" s="74"/>
      <c r="K614" s="7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25"/>
      <c r="C615" s="25"/>
      <c r="D615" s="4"/>
      <c r="E615" s="4"/>
      <c r="F615" s="4"/>
      <c r="G615" s="4"/>
      <c r="H615" s="72"/>
      <c r="I615" s="73"/>
      <c r="J615" s="74"/>
      <c r="K615" s="7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25"/>
      <c r="C616" s="25"/>
      <c r="D616" s="4"/>
      <c r="E616" s="4"/>
      <c r="F616" s="4"/>
      <c r="G616" s="4"/>
      <c r="H616" s="72"/>
      <c r="I616" s="73"/>
      <c r="J616" s="74"/>
      <c r="K616" s="7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25"/>
      <c r="C617" s="25"/>
      <c r="D617" s="4"/>
      <c r="E617" s="4"/>
      <c r="F617" s="4"/>
      <c r="G617" s="4"/>
      <c r="H617" s="72"/>
      <c r="I617" s="73"/>
      <c r="J617" s="74"/>
      <c r="K617" s="7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25"/>
      <c r="C618" s="25"/>
      <c r="D618" s="4"/>
      <c r="E618" s="4"/>
      <c r="F618" s="4"/>
      <c r="G618" s="4"/>
      <c r="H618" s="72"/>
      <c r="I618" s="73"/>
      <c r="J618" s="74"/>
      <c r="K618" s="7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25"/>
      <c r="C619" s="25"/>
      <c r="D619" s="4"/>
      <c r="E619" s="4"/>
      <c r="F619" s="4"/>
      <c r="G619" s="4"/>
      <c r="H619" s="72"/>
      <c r="I619" s="73"/>
      <c r="J619" s="74"/>
      <c r="K619" s="7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25"/>
      <c r="C620" s="25"/>
      <c r="D620" s="4"/>
      <c r="E620" s="4"/>
      <c r="F620" s="4"/>
      <c r="G620" s="4"/>
      <c r="H620" s="72"/>
      <c r="I620" s="73"/>
      <c r="J620" s="74"/>
      <c r="K620" s="7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25"/>
      <c r="C621" s="25"/>
      <c r="D621" s="4"/>
      <c r="E621" s="4"/>
      <c r="F621" s="4"/>
      <c r="G621" s="4"/>
      <c r="H621" s="72"/>
      <c r="I621" s="73"/>
      <c r="J621" s="74"/>
      <c r="K621" s="7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25"/>
      <c r="C622" s="25"/>
      <c r="D622" s="4"/>
      <c r="E622" s="4"/>
      <c r="F622" s="4"/>
      <c r="G622" s="4"/>
      <c r="H622" s="72"/>
      <c r="I622" s="73"/>
      <c r="J622" s="74"/>
      <c r="K622" s="7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25"/>
      <c r="C623" s="25"/>
      <c r="D623" s="4"/>
      <c r="E623" s="4"/>
      <c r="F623" s="4"/>
      <c r="G623" s="4"/>
      <c r="H623" s="72"/>
      <c r="I623" s="73"/>
      <c r="J623" s="74"/>
      <c r="K623" s="7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25"/>
      <c r="C624" s="25"/>
      <c r="D624" s="4"/>
      <c r="E624" s="4"/>
      <c r="F624" s="4"/>
      <c r="G624" s="4"/>
      <c r="H624" s="72"/>
      <c r="I624" s="73"/>
      <c r="J624" s="74"/>
      <c r="K624" s="7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25"/>
      <c r="C625" s="25"/>
      <c r="D625" s="4"/>
      <c r="E625" s="4"/>
      <c r="F625" s="4"/>
      <c r="G625" s="4"/>
      <c r="H625" s="72"/>
      <c r="I625" s="73"/>
      <c r="J625" s="74"/>
      <c r="K625" s="7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25"/>
      <c r="C626" s="25"/>
      <c r="D626" s="4"/>
      <c r="E626" s="4"/>
      <c r="F626" s="4"/>
      <c r="G626" s="4"/>
      <c r="H626" s="72"/>
      <c r="I626" s="73"/>
      <c r="J626" s="74"/>
      <c r="K626" s="7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25"/>
      <c r="C627" s="25"/>
      <c r="D627" s="4"/>
      <c r="E627" s="4"/>
      <c r="F627" s="4"/>
      <c r="G627" s="4"/>
      <c r="H627" s="72"/>
      <c r="I627" s="73"/>
      <c r="J627" s="74"/>
      <c r="K627" s="7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25"/>
      <c r="C628" s="25"/>
      <c r="D628" s="4"/>
      <c r="E628" s="4"/>
      <c r="F628" s="4"/>
      <c r="G628" s="4"/>
      <c r="H628" s="72"/>
      <c r="I628" s="73"/>
      <c r="J628" s="74"/>
      <c r="K628" s="7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25"/>
      <c r="C629" s="25"/>
      <c r="D629" s="4"/>
      <c r="E629" s="4"/>
      <c r="F629" s="4"/>
      <c r="G629" s="4"/>
      <c r="H629" s="72"/>
      <c r="I629" s="73"/>
      <c r="J629" s="74"/>
      <c r="K629" s="7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25"/>
      <c r="C630" s="25"/>
      <c r="D630" s="4"/>
      <c r="E630" s="4"/>
      <c r="F630" s="4"/>
      <c r="G630" s="4"/>
      <c r="H630" s="72"/>
      <c r="I630" s="73"/>
      <c r="J630" s="74"/>
      <c r="K630" s="7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25"/>
      <c r="C631" s="25"/>
      <c r="D631" s="4"/>
      <c r="E631" s="4"/>
      <c r="F631" s="4"/>
      <c r="G631" s="4"/>
      <c r="H631" s="72"/>
      <c r="I631" s="73"/>
      <c r="J631" s="74"/>
      <c r="K631" s="7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25"/>
      <c r="C632" s="25"/>
      <c r="D632" s="4"/>
      <c r="E632" s="4"/>
      <c r="F632" s="4"/>
      <c r="G632" s="4"/>
      <c r="H632" s="72"/>
      <c r="I632" s="73"/>
      <c r="J632" s="74"/>
      <c r="K632" s="7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25"/>
      <c r="C633" s="25"/>
      <c r="D633" s="4"/>
      <c r="E633" s="4"/>
      <c r="F633" s="4"/>
      <c r="G633" s="4"/>
      <c r="H633" s="72"/>
      <c r="I633" s="73"/>
      <c r="J633" s="74"/>
      <c r="K633" s="7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25"/>
      <c r="C634" s="25"/>
      <c r="D634" s="4"/>
      <c r="E634" s="4"/>
      <c r="F634" s="4"/>
      <c r="G634" s="4"/>
      <c r="H634" s="72"/>
      <c r="I634" s="73"/>
      <c r="J634" s="74"/>
      <c r="K634" s="7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25"/>
      <c r="C635" s="25"/>
      <c r="D635" s="4"/>
      <c r="E635" s="4"/>
      <c r="F635" s="4"/>
      <c r="G635" s="4"/>
      <c r="H635" s="72"/>
      <c r="I635" s="73"/>
      <c r="J635" s="74"/>
      <c r="K635" s="7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25"/>
      <c r="C636" s="25"/>
      <c r="D636" s="4"/>
      <c r="E636" s="4"/>
      <c r="F636" s="4"/>
      <c r="G636" s="4"/>
      <c r="H636" s="72"/>
      <c r="I636" s="73"/>
      <c r="J636" s="74"/>
      <c r="K636" s="7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25"/>
      <c r="C637" s="25"/>
      <c r="D637" s="4"/>
      <c r="E637" s="4"/>
      <c r="F637" s="4"/>
      <c r="G637" s="4"/>
      <c r="H637" s="72"/>
      <c r="I637" s="73"/>
      <c r="J637" s="74"/>
      <c r="K637" s="7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25"/>
      <c r="C638" s="25"/>
      <c r="D638" s="4"/>
      <c r="E638" s="4"/>
      <c r="F638" s="4"/>
      <c r="G638" s="4"/>
      <c r="H638" s="72"/>
      <c r="I638" s="73"/>
      <c r="J638" s="74"/>
      <c r="K638" s="7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25"/>
      <c r="C639" s="25"/>
      <c r="D639" s="4"/>
      <c r="E639" s="4"/>
      <c r="F639" s="4"/>
      <c r="G639" s="4"/>
      <c r="H639" s="72"/>
      <c r="I639" s="73"/>
      <c r="J639" s="74"/>
      <c r="K639" s="7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25"/>
      <c r="C640" s="25"/>
      <c r="D640" s="4"/>
      <c r="E640" s="4"/>
      <c r="F640" s="4"/>
      <c r="G640" s="4"/>
      <c r="H640" s="72"/>
      <c r="I640" s="73"/>
      <c r="J640" s="74"/>
      <c r="K640" s="7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25"/>
      <c r="C641" s="25"/>
      <c r="D641" s="4"/>
      <c r="E641" s="4"/>
      <c r="F641" s="4"/>
      <c r="G641" s="4"/>
      <c r="H641" s="72"/>
      <c r="I641" s="73"/>
      <c r="J641" s="74"/>
      <c r="K641" s="7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25"/>
      <c r="C642" s="25"/>
      <c r="D642" s="4"/>
      <c r="E642" s="4"/>
      <c r="F642" s="4"/>
      <c r="G642" s="4"/>
      <c r="H642" s="72"/>
      <c r="I642" s="73"/>
      <c r="J642" s="74"/>
      <c r="K642" s="7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25"/>
      <c r="C643" s="25"/>
      <c r="D643" s="4"/>
      <c r="E643" s="4"/>
      <c r="F643" s="4"/>
      <c r="G643" s="4"/>
      <c r="H643" s="72"/>
      <c r="I643" s="73"/>
      <c r="J643" s="74"/>
      <c r="K643" s="7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25"/>
      <c r="C644" s="25"/>
      <c r="D644" s="4"/>
      <c r="E644" s="4"/>
      <c r="F644" s="4"/>
      <c r="G644" s="4"/>
      <c r="H644" s="72"/>
      <c r="I644" s="73"/>
      <c r="J644" s="74"/>
      <c r="K644" s="7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25"/>
      <c r="C645" s="25"/>
      <c r="D645" s="4"/>
      <c r="E645" s="4"/>
      <c r="F645" s="4"/>
      <c r="G645" s="4"/>
      <c r="H645" s="72"/>
      <c r="I645" s="73"/>
      <c r="J645" s="74"/>
      <c r="K645" s="7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25"/>
      <c r="C646" s="25"/>
      <c r="D646" s="4"/>
      <c r="E646" s="4"/>
      <c r="F646" s="4"/>
      <c r="G646" s="4"/>
      <c r="H646" s="72"/>
      <c r="I646" s="73"/>
      <c r="J646" s="74"/>
      <c r="K646" s="7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25"/>
      <c r="C647" s="25"/>
      <c r="D647" s="4"/>
      <c r="E647" s="4"/>
      <c r="F647" s="4"/>
      <c r="G647" s="4"/>
      <c r="H647" s="72"/>
      <c r="I647" s="73"/>
      <c r="J647" s="74"/>
      <c r="K647" s="7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25"/>
      <c r="C648" s="25"/>
      <c r="D648" s="4"/>
      <c r="E648" s="4"/>
      <c r="F648" s="4"/>
      <c r="G648" s="4"/>
      <c r="H648" s="72"/>
      <c r="I648" s="73"/>
      <c r="J648" s="74"/>
      <c r="K648" s="7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25"/>
      <c r="C649" s="25"/>
      <c r="D649" s="4"/>
      <c r="E649" s="4"/>
      <c r="F649" s="4"/>
      <c r="G649" s="4"/>
      <c r="H649" s="72"/>
      <c r="I649" s="73"/>
      <c r="J649" s="74"/>
      <c r="K649" s="7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25"/>
      <c r="C650" s="25"/>
      <c r="D650" s="4"/>
      <c r="E650" s="4"/>
      <c r="F650" s="4"/>
      <c r="G650" s="4"/>
      <c r="H650" s="72"/>
      <c r="I650" s="73"/>
      <c r="J650" s="74"/>
      <c r="K650" s="7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25"/>
      <c r="C651" s="25"/>
      <c r="D651" s="4"/>
      <c r="E651" s="4"/>
      <c r="F651" s="4"/>
      <c r="G651" s="4"/>
      <c r="H651" s="72"/>
      <c r="I651" s="73"/>
      <c r="J651" s="74"/>
      <c r="K651" s="7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25"/>
      <c r="C652" s="25"/>
      <c r="D652" s="4"/>
      <c r="E652" s="4"/>
      <c r="F652" s="4"/>
      <c r="G652" s="4"/>
      <c r="H652" s="72"/>
      <c r="I652" s="73"/>
      <c r="J652" s="74"/>
      <c r="K652" s="7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25"/>
      <c r="C653" s="25"/>
      <c r="D653" s="4"/>
      <c r="E653" s="4"/>
      <c r="F653" s="4"/>
      <c r="G653" s="4"/>
      <c r="H653" s="72"/>
      <c r="I653" s="73"/>
      <c r="J653" s="74"/>
      <c r="K653" s="7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25"/>
      <c r="C654" s="25"/>
      <c r="D654" s="4"/>
      <c r="E654" s="4"/>
      <c r="F654" s="4"/>
      <c r="G654" s="4"/>
      <c r="H654" s="72"/>
      <c r="I654" s="73"/>
      <c r="J654" s="74"/>
      <c r="K654" s="7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25"/>
      <c r="C655" s="25"/>
      <c r="D655" s="4"/>
      <c r="E655" s="4"/>
      <c r="F655" s="4"/>
      <c r="G655" s="4"/>
      <c r="H655" s="72"/>
      <c r="I655" s="73"/>
      <c r="J655" s="74"/>
      <c r="K655" s="7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25"/>
      <c r="C656" s="25"/>
      <c r="D656" s="4"/>
      <c r="E656" s="4"/>
      <c r="F656" s="4"/>
      <c r="G656" s="4"/>
      <c r="H656" s="72"/>
      <c r="I656" s="73"/>
      <c r="J656" s="74"/>
      <c r="K656" s="7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25"/>
      <c r="C657" s="25"/>
      <c r="D657" s="4"/>
      <c r="E657" s="4"/>
      <c r="F657" s="4"/>
      <c r="G657" s="4"/>
      <c r="H657" s="72"/>
      <c r="I657" s="73"/>
      <c r="J657" s="74"/>
      <c r="K657" s="7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25"/>
      <c r="C658" s="25"/>
      <c r="D658" s="4"/>
      <c r="E658" s="4"/>
      <c r="F658" s="4"/>
      <c r="G658" s="4"/>
      <c r="H658" s="72"/>
      <c r="I658" s="73"/>
      <c r="J658" s="74"/>
      <c r="K658" s="7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25"/>
      <c r="C659" s="25"/>
      <c r="D659" s="4"/>
      <c r="E659" s="4"/>
      <c r="F659" s="4"/>
      <c r="G659" s="4"/>
      <c r="H659" s="72"/>
      <c r="I659" s="73"/>
      <c r="J659" s="74"/>
      <c r="K659" s="7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25"/>
      <c r="C660" s="25"/>
      <c r="D660" s="4"/>
      <c r="E660" s="4"/>
      <c r="F660" s="4"/>
      <c r="G660" s="4"/>
      <c r="H660" s="72"/>
      <c r="I660" s="73"/>
      <c r="J660" s="74"/>
      <c r="K660" s="7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25"/>
      <c r="C661" s="25"/>
      <c r="D661" s="4"/>
      <c r="E661" s="4"/>
      <c r="F661" s="4"/>
      <c r="G661" s="4"/>
      <c r="H661" s="72"/>
      <c r="I661" s="73"/>
      <c r="J661" s="74"/>
      <c r="K661" s="7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25"/>
      <c r="C662" s="25"/>
      <c r="D662" s="4"/>
      <c r="E662" s="4"/>
      <c r="F662" s="4"/>
      <c r="G662" s="4"/>
      <c r="H662" s="72"/>
      <c r="I662" s="73"/>
      <c r="J662" s="74"/>
      <c r="K662" s="7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25"/>
      <c r="C663" s="25"/>
      <c r="D663" s="4"/>
      <c r="E663" s="4"/>
      <c r="F663" s="4"/>
      <c r="G663" s="4"/>
      <c r="H663" s="72"/>
      <c r="I663" s="73"/>
      <c r="J663" s="74"/>
      <c r="K663" s="7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25"/>
      <c r="C664" s="25"/>
      <c r="D664" s="4"/>
      <c r="E664" s="4"/>
      <c r="F664" s="4"/>
      <c r="G664" s="4"/>
      <c r="H664" s="72"/>
      <c r="I664" s="73"/>
      <c r="J664" s="74"/>
      <c r="K664" s="7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25"/>
      <c r="C665" s="25"/>
      <c r="D665" s="4"/>
      <c r="E665" s="4"/>
      <c r="F665" s="4"/>
      <c r="G665" s="4"/>
      <c r="H665" s="72"/>
      <c r="I665" s="73"/>
      <c r="J665" s="74"/>
      <c r="K665" s="7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25"/>
      <c r="C666" s="25"/>
      <c r="D666" s="4"/>
      <c r="E666" s="4"/>
      <c r="F666" s="4"/>
      <c r="G666" s="4"/>
      <c r="H666" s="72"/>
      <c r="I666" s="73"/>
      <c r="J666" s="74"/>
      <c r="K666" s="7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25"/>
      <c r="C667" s="25"/>
      <c r="D667" s="4"/>
      <c r="E667" s="4"/>
      <c r="F667" s="4"/>
      <c r="G667" s="4"/>
      <c r="H667" s="72"/>
      <c r="I667" s="73"/>
      <c r="J667" s="74"/>
      <c r="K667" s="7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25"/>
      <c r="C668" s="25"/>
      <c r="D668" s="4"/>
      <c r="E668" s="4"/>
      <c r="F668" s="4"/>
      <c r="G668" s="4"/>
      <c r="H668" s="72"/>
      <c r="I668" s="73"/>
      <c r="J668" s="74"/>
      <c r="K668" s="7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25"/>
      <c r="C669" s="25"/>
      <c r="D669" s="4"/>
      <c r="E669" s="4"/>
      <c r="F669" s="4"/>
      <c r="G669" s="4"/>
      <c r="H669" s="72"/>
      <c r="I669" s="73"/>
      <c r="J669" s="74"/>
      <c r="K669" s="7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25"/>
      <c r="C670" s="25"/>
      <c r="D670" s="4"/>
      <c r="E670" s="4"/>
      <c r="F670" s="4"/>
      <c r="G670" s="4"/>
      <c r="H670" s="72"/>
      <c r="I670" s="73"/>
      <c r="J670" s="74"/>
      <c r="K670" s="7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25"/>
      <c r="C671" s="25"/>
      <c r="D671" s="4"/>
      <c r="E671" s="4"/>
      <c r="F671" s="4"/>
      <c r="G671" s="4"/>
      <c r="H671" s="72"/>
      <c r="I671" s="73"/>
      <c r="J671" s="74"/>
      <c r="K671" s="7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25"/>
      <c r="C672" s="25"/>
      <c r="D672" s="4"/>
      <c r="E672" s="4"/>
      <c r="F672" s="4"/>
      <c r="G672" s="4"/>
      <c r="H672" s="72"/>
      <c r="I672" s="73"/>
      <c r="J672" s="74"/>
      <c r="K672" s="7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25"/>
      <c r="C673" s="25"/>
      <c r="D673" s="4"/>
      <c r="E673" s="4"/>
      <c r="F673" s="4"/>
      <c r="G673" s="4"/>
      <c r="H673" s="72"/>
      <c r="I673" s="73"/>
      <c r="J673" s="74"/>
      <c r="K673" s="7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25"/>
      <c r="C674" s="25"/>
      <c r="D674" s="4"/>
      <c r="E674" s="4"/>
      <c r="F674" s="4"/>
      <c r="G674" s="4"/>
      <c r="H674" s="72"/>
      <c r="I674" s="73"/>
      <c r="J674" s="74"/>
      <c r="K674" s="7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25"/>
      <c r="C675" s="25"/>
      <c r="D675" s="4"/>
      <c r="E675" s="4"/>
      <c r="F675" s="4"/>
      <c r="G675" s="4"/>
      <c r="H675" s="72"/>
      <c r="I675" s="73"/>
      <c r="J675" s="74"/>
      <c r="K675" s="7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25"/>
      <c r="C676" s="25"/>
      <c r="D676" s="4"/>
      <c r="E676" s="4"/>
      <c r="F676" s="4"/>
      <c r="G676" s="4"/>
      <c r="H676" s="72"/>
      <c r="I676" s="73"/>
      <c r="J676" s="74"/>
      <c r="K676" s="7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25"/>
      <c r="C677" s="25"/>
      <c r="D677" s="4"/>
      <c r="E677" s="4"/>
      <c r="F677" s="4"/>
      <c r="G677" s="4"/>
      <c r="H677" s="72"/>
      <c r="I677" s="73"/>
      <c r="J677" s="74"/>
      <c r="K677" s="7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25"/>
      <c r="C678" s="25"/>
      <c r="D678" s="4"/>
      <c r="E678" s="4"/>
      <c r="F678" s="4"/>
      <c r="G678" s="4"/>
      <c r="H678" s="72"/>
      <c r="I678" s="73"/>
      <c r="J678" s="74"/>
      <c r="K678" s="7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25"/>
      <c r="C679" s="25"/>
      <c r="D679" s="4"/>
      <c r="E679" s="4"/>
      <c r="F679" s="4"/>
      <c r="G679" s="4"/>
      <c r="H679" s="72"/>
      <c r="I679" s="73"/>
      <c r="J679" s="74"/>
      <c r="K679" s="7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25"/>
      <c r="C680" s="25"/>
      <c r="D680" s="4"/>
      <c r="E680" s="4"/>
      <c r="F680" s="4"/>
      <c r="G680" s="4"/>
      <c r="H680" s="72"/>
      <c r="I680" s="73"/>
      <c r="J680" s="74"/>
      <c r="K680" s="7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25"/>
      <c r="C681" s="25"/>
      <c r="D681" s="4"/>
      <c r="E681" s="4"/>
      <c r="F681" s="4"/>
      <c r="G681" s="4"/>
      <c r="H681" s="72"/>
      <c r="I681" s="73"/>
      <c r="J681" s="74"/>
      <c r="K681" s="7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25"/>
      <c r="C682" s="25"/>
      <c r="D682" s="4"/>
      <c r="E682" s="4"/>
      <c r="F682" s="4"/>
      <c r="G682" s="4"/>
      <c r="H682" s="72"/>
      <c r="I682" s="73"/>
      <c r="J682" s="74"/>
      <c r="K682" s="7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25"/>
      <c r="C683" s="25"/>
      <c r="D683" s="4"/>
      <c r="E683" s="4"/>
      <c r="F683" s="4"/>
      <c r="G683" s="4"/>
      <c r="H683" s="72"/>
      <c r="I683" s="73"/>
      <c r="J683" s="74"/>
      <c r="K683" s="7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25"/>
      <c r="C684" s="25"/>
      <c r="D684" s="4"/>
      <c r="E684" s="4"/>
      <c r="F684" s="4"/>
      <c r="G684" s="4"/>
      <c r="H684" s="72"/>
      <c r="I684" s="73"/>
      <c r="J684" s="74"/>
      <c r="K684" s="7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25"/>
      <c r="C685" s="25"/>
      <c r="D685" s="4"/>
      <c r="E685" s="4"/>
      <c r="F685" s="4"/>
      <c r="G685" s="4"/>
      <c r="H685" s="72"/>
      <c r="I685" s="73"/>
      <c r="J685" s="74"/>
      <c r="K685" s="7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25"/>
      <c r="C686" s="25"/>
      <c r="D686" s="4"/>
      <c r="E686" s="4"/>
      <c r="F686" s="4"/>
      <c r="G686" s="4"/>
      <c r="H686" s="72"/>
      <c r="I686" s="73"/>
      <c r="J686" s="74"/>
      <c r="K686" s="7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25"/>
      <c r="C687" s="25"/>
      <c r="D687" s="4"/>
      <c r="E687" s="4"/>
      <c r="F687" s="4"/>
      <c r="G687" s="4"/>
      <c r="H687" s="72"/>
      <c r="I687" s="73"/>
      <c r="J687" s="74"/>
      <c r="K687" s="7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25"/>
      <c r="C688" s="25"/>
      <c r="D688" s="4"/>
      <c r="E688" s="4"/>
      <c r="F688" s="4"/>
      <c r="G688" s="4"/>
      <c r="H688" s="72"/>
      <c r="I688" s="73"/>
      <c r="J688" s="74"/>
      <c r="K688" s="7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25"/>
      <c r="C689" s="25"/>
      <c r="D689" s="4"/>
      <c r="E689" s="4"/>
      <c r="F689" s="4"/>
      <c r="G689" s="4"/>
      <c r="H689" s="72"/>
      <c r="I689" s="73"/>
      <c r="J689" s="74"/>
      <c r="K689" s="7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25"/>
      <c r="C690" s="25"/>
      <c r="D690" s="4"/>
      <c r="E690" s="4"/>
      <c r="F690" s="4"/>
      <c r="G690" s="4"/>
      <c r="H690" s="72"/>
      <c r="I690" s="73"/>
      <c r="J690" s="74"/>
      <c r="K690" s="7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25"/>
      <c r="C691" s="25"/>
      <c r="D691" s="4"/>
      <c r="E691" s="4"/>
      <c r="F691" s="4"/>
      <c r="G691" s="4"/>
      <c r="H691" s="72"/>
      <c r="I691" s="73"/>
      <c r="J691" s="74"/>
      <c r="K691" s="7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25"/>
      <c r="C692" s="25"/>
      <c r="D692" s="4"/>
      <c r="E692" s="4"/>
      <c r="F692" s="4"/>
      <c r="G692" s="4"/>
      <c r="H692" s="72"/>
      <c r="I692" s="73"/>
      <c r="J692" s="74"/>
      <c r="K692" s="7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25"/>
      <c r="C693" s="25"/>
      <c r="D693" s="4"/>
      <c r="E693" s="4"/>
      <c r="F693" s="4"/>
      <c r="G693" s="4"/>
      <c r="H693" s="72"/>
      <c r="I693" s="73"/>
      <c r="J693" s="74"/>
      <c r="K693" s="7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25"/>
      <c r="C694" s="25"/>
      <c r="D694" s="4"/>
      <c r="E694" s="4"/>
      <c r="F694" s="4"/>
      <c r="G694" s="4"/>
      <c r="H694" s="72"/>
      <c r="I694" s="73"/>
      <c r="J694" s="74"/>
      <c r="K694" s="7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25"/>
      <c r="C695" s="25"/>
      <c r="D695" s="4"/>
      <c r="E695" s="4"/>
      <c r="F695" s="4"/>
      <c r="G695" s="4"/>
      <c r="H695" s="72"/>
      <c r="I695" s="73"/>
      <c r="J695" s="74"/>
      <c r="K695" s="7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25"/>
      <c r="C696" s="25"/>
      <c r="D696" s="4"/>
      <c r="E696" s="4"/>
      <c r="F696" s="4"/>
      <c r="G696" s="4"/>
      <c r="H696" s="72"/>
      <c r="I696" s="73"/>
      <c r="J696" s="74"/>
      <c r="K696" s="7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25"/>
      <c r="C697" s="25"/>
      <c r="D697" s="4"/>
      <c r="E697" s="4"/>
      <c r="F697" s="4"/>
      <c r="G697" s="4"/>
      <c r="H697" s="72"/>
      <c r="I697" s="73"/>
      <c r="J697" s="74"/>
      <c r="K697" s="7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25"/>
      <c r="C698" s="25"/>
      <c r="D698" s="4"/>
      <c r="E698" s="4"/>
      <c r="F698" s="4"/>
      <c r="G698" s="4"/>
      <c r="H698" s="72"/>
      <c r="I698" s="73"/>
      <c r="J698" s="74"/>
      <c r="K698" s="7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25"/>
      <c r="C699" s="25"/>
      <c r="D699" s="4"/>
      <c r="E699" s="4"/>
      <c r="F699" s="4"/>
      <c r="G699" s="4"/>
      <c r="H699" s="72"/>
      <c r="I699" s="73"/>
      <c r="J699" s="74"/>
      <c r="K699" s="7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25"/>
      <c r="C700" s="25"/>
      <c r="D700" s="4"/>
      <c r="E700" s="4"/>
      <c r="F700" s="4"/>
      <c r="G700" s="4"/>
      <c r="H700" s="72"/>
      <c r="I700" s="73"/>
      <c r="J700" s="74"/>
      <c r="K700" s="7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25"/>
      <c r="C701" s="25"/>
      <c r="D701" s="4"/>
      <c r="E701" s="4"/>
      <c r="F701" s="4"/>
      <c r="G701" s="4"/>
      <c r="H701" s="72"/>
      <c r="I701" s="73"/>
      <c r="J701" s="74"/>
      <c r="K701" s="7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25"/>
      <c r="C702" s="25"/>
      <c r="D702" s="4"/>
      <c r="E702" s="4"/>
      <c r="F702" s="4"/>
      <c r="G702" s="4"/>
      <c r="H702" s="72"/>
      <c r="I702" s="73"/>
      <c r="J702" s="74"/>
      <c r="K702" s="7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25"/>
      <c r="C703" s="25"/>
      <c r="D703" s="4"/>
      <c r="E703" s="4"/>
      <c r="F703" s="4"/>
      <c r="G703" s="4"/>
      <c r="H703" s="72"/>
      <c r="I703" s="73"/>
      <c r="J703" s="74"/>
      <c r="K703" s="7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25"/>
      <c r="C704" s="25"/>
      <c r="D704" s="4"/>
      <c r="E704" s="4"/>
      <c r="F704" s="4"/>
      <c r="G704" s="4"/>
      <c r="H704" s="72"/>
      <c r="I704" s="73"/>
      <c r="J704" s="74"/>
      <c r="K704" s="7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25"/>
      <c r="C705" s="25"/>
      <c r="D705" s="4"/>
      <c r="E705" s="4"/>
      <c r="F705" s="4"/>
      <c r="G705" s="4"/>
      <c r="H705" s="72"/>
      <c r="I705" s="73"/>
      <c r="J705" s="74"/>
      <c r="K705" s="7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25"/>
      <c r="C706" s="25"/>
      <c r="D706" s="4"/>
      <c r="E706" s="4"/>
      <c r="F706" s="4"/>
      <c r="G706" s="4"/>
      <c r="H706" s="72"/>
      <c r="I706" s="73"/>
      <c r="J706" s="74"/>
      <c r="K706" s="7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25"/>
      <c r="C707" s="25"/>
      <c r="D707" s="4"/>
      <c r="E707" s="4"/>
      <c r="F707" s="4"/>
      <c r="G707" s="4"/>
      <c r="H707" s="72"/>
      <c r="I707" s="73"/>
      <c r="J707" s="74"/>
      <c r="K707" s="7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25"/>
      <c r="C708" s="25"/>
      <c r="D708" s="4"/>
      <c r="E708" s="4"/>
      <c r="F708" s="4"/>
      <c r="G708" s="4"/>
      <c r="H708" s="72"/>
      <c r="I708" s="73"/>
      <c r="J708" s="74"/>
      <c r="K708" s="7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25"/>
      <c r="C709" s="25"/>
      <c r="D709" s="4"/>
      <c r="E709" s="4"/>
      <c r="F709" s="4"/>
      <c r="G709" s="4"/>
      <c r="H709" s="72"/>
      <c r="I709" s="73"/>
      <c r="J709" s="74"/>
      <c r="K709" s="7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25"/>
      <c r="C710" s="25"/>
      <c r="D710" s="4"/>
      <c r="E710" s="4"/>
      <c r="F710" s="4"/>
      <c r="G710" s="4"/>
      <c r="H710" s="72"/>
      <c r="I710" s="73"/>
      <c r="J710" s="74"/>
      <c r="K710" s="7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25"/>
      <c r="C711" s="25"/>
      <c r="D711" s="4"/>
      <c r="E711" s="4"/>
      <c r="F711" s="4"/>
      <c r="G711" s="4"/>
      <c r="H711" s="72"/>
      <c r="I711" s="73"/>
      <c r="J711" s="74"/>
      <c r="K711" s="7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25"/>
      <c r="C712" s="25"/>
      <c r="D712" s="4"/>
      <c r="E712" s="4"/>
      <c r="F712" s="4"/>
      <c r="G712" s="4"/>
      <c r="H712" s="72"/>
      <c r="I712" s="73"/>
      <c r="J712" s="74"/>
      <c r="K712" s="7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25"/>
      <c r="C713" s="25"/>
      <c r="D713" s="4"/>
      <c r="E713" s="4"/>
      <c r="F713" s="4"/>
      <c r="G713" s="4"/>
      <c r="H713" s="72"/>
      <c r="I713" s="73"/>
      <c r="J713" s="74"/>
      <c r="K713" s="7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25"/>
      <c r="C714" s="25"/>
      <c r="D714" s="4"/>
      <c r="E714" s="4"/>
      <c r="F714" s="4"/>
      <c r="G714" s="4"/>
      <c r="H714" s="72"/>
      <c r="I714" s="73"/>
      <c r="J714" s="74"/>
      <c r="K714" s="7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25"/>
      <c r="C715" s="25"/>
      <c r="D715" s="4"/>
      <c r="E715" s="4"/>
      <c r="F715" s="4"/>
      <c r="G715" s="4"/>
      <c r="H715" s="72"/>
      <c r="I715" s="73"/>
      <c r="J715" s="74"/>
      <c r="K715" s="7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25"/>
      <c r="C716" s="25"/>
      <c r="D716" s="4"/>
      <c r="E716" s="4"/>
      <c r="F716" s="4"/>
      <c r="G716" s="4"/>
      <c r="H716" s="72"/>
      <c r="I716" s="73"/>
      <c r="J716" s="74"/>
      <c r="K716" s="7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25"/>
      <c r="C717" s="25"/>
      <c r="D717" s="4"/>
      <c r="E717" s="4"/>
      <c r="F717" s="4"/>
      <c r="G717" s="4"/>
      <c r="H717" s="72"/>
      <c r="I717" s="73"/>
      <c r="J717" s="74"/>
      <c r="K717" s="7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25"/>
      <c r="C718" s="25"/>
      <c r="D718" s="4"/>
      <c r="E718" s="4"/>
      <c r="F718" s="4"/>
      <c r="G718" s="4"/>
      <c r="H718" s="72"/>
      <c r="I718" s="73"/>
      <c r="J718" s="74"/>
      <c r="K718" s="7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25"/>
      <c r="C719" s="25"/>
      <c r="D719" s="4"/>
      <c r="E719" s="4"/>
      <c r="F719" s="4"/>
      <c r="G719" s="4"/>
      <c r="H719" s="72"/>
      <c r="I719" s="73"/>
      <c r="J719" s="74"/>
      <c r="K719" s="7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25"/>
      <c r="C720" s="25"/>
      <c r="D720" s="4"/>
      <c r="E720" s="4"/>
      <c r="F720" s="4"/>
      <c r="G720" s="4"/>
      <c r="H720" s="72"/>
      <c r="I720" s="73"/>
      <c r="J720" s="74"/>
      <c r="K720" s="7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25"/>
      <c r="C721" s="25"/>
      <c r="D721" s="4"/>
      <c r="E721" s="4"/>
      <c r="F721" s="4"/>
      <c r="G721" s="4"/>
      <c r="H721" s="72"/>
      <c r="I721" s="73"/>
      <c r="J721" s="74"/>
      <c r="K721" s="7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25"/>
      <c r="C722" s="25"/>
      <c r="D722" s="4"/>
      <c r="E722" s="4"/>
      <c r="F722" s="4"/>
      <c r="G722" s="4"/>
      <c r="H722" s="72"/>
      <c r="I722" s="73"/>
      <c r="J722" s="74"/>
      <c r="K722" s="7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25"/>
      <c r="C723" s="25"/>
      <c r="D723" s="4"/>
      <c r="E723" s="4"/>
      <c r="F723" s="4"/>
      <c r="G723" s="4"/>
      <c r="H723" s="72"/>
      <c r="I723" s="73"/>
      <c r="J723" s="74"/>
      <c r="K723" s="7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25"/>
      <c r="C724" s="25"/>
      <c r="D724" s="4"/>
      <c r="E724" s="4"/>
      <c r="F724" s="4"/>
      <c r="G724" s="4"/>
      <c r="H724" s="72"/>
      <c r="I724" s="73"/>
      <c r="J724" s="74"/>
      <c r="K724" s="7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25"/>
      <c r="C725" s="25"/>
      <c r="D725" s="4"/>
      <c r="E725" s="4"/>
      <c r="F725" s="4"/>
      <c r="G725" s="4"/>
      <c r="H725" s="72"/>
      <c r="I725" s="73"/>
      <c r="J725" s="74"/>
      <c r="K725" s="7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25"/>
      <c r="C726" s="25"/>
      <c r="D726" s="4"/>
      <c r="E726" s="4"/>
      <c r="F726" s="4"/>
      <c r="G726" s="4"/>
      <c r="H726" s="72"/>
      <c r="I726" s="73"/>
      <c r="J726" s="74"/>
      <c r="K726" s="7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25"/>
      <c r="C727" s="25"/>
      <c r="D727" s="4"/>
      <c r="E727" s="4"/>
      <c r="F727" s="4"/>
      <c r="G727" s="4"/>
      <c r="H727" s="72"/>
      <c r="I727" s="73"/>
      <c r="J727" s="74"/>
      <c r="K727" s="7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25"/>
      <c r="C728" s="25"/>
      <c r="D728" s="4"/>
      <c r="E728" s="4"/>
      <c r="F728" s="4"/>
      <c r="G728" s="4"/>
      <c r="H728" s="72"/>
      <c r="I728" s="73"/>
      <c r="J728" s="74"/>
      <c r="K728" s="7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25"/>
      <c r="C729" s="25"/>
      <c r="D729" s="4"/>
      <c r="E729" s="4"/>
      <c r="F729" s="4"/>
      <c r="G729" s="4"/>
      <c r="H729" s="72"/>
      <c r="I729" s="73"/>
      <c r="J729" s="74"/>
      <c r="K729" s="7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25"/>
      <c r="C730" s="25"/>
      <c r="D730" s="4"/>
      <c r="E730" s="4"/>
      <c r="F730" s="4"/>
      <c r="G730" s="4"/>
      <c r="H730" s="72"/>
      <c r="I730" s="73"/>
      <c r="J730" s="74"/>
      <c r="K730" s="7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25"/>
      <c r="C731" s="25"/>
      <c r="D731" s="4"/>
      <c r="E731" s="4"/>
      <c r="F731" s="4"/>
      <c r="G731" s="4"/>
      <c r="H731" s="72"/>
      <c r="I731" s="73"/>
      <c r="J731" s="74"/>
      <c r="K731" s="7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25"/>
      <c r="C732" s="25"/>
      <c r="D732" s="4"/>
      <c r="E732" s="4"/>
      <c r="F732" s="4"/>
      <c r="G732" s="4"/>
      <c r="H732" s="72"/>
      <c r="I732" s="73"/>
      <c r="J732" s="74"/>
      <c r="K732" s="7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25"/>
      <c r="C733" s="25"/>
      <c r="D733" s="4"/>
      <c r="E733" s="4"/>
      <c r="F733" s="4"/>
      <c r="G733" s="4"/>
      <c r="H733" s="72"/>
      <c r="I733" s="73"/>
      <c r="J733" s="74"/>
      <c r="K733" s="7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25"/>
      <c r="C734" s="25"/>
      <c r="D734" s="4"/>
      <c r="E734" s="4"/>
      <c r="F734" s="4"/>
      <c r="G734" s="4"/>
      <c r="H734" s="72"/>
      <c r="I734" s="73"/>
      <c r="J734" s="74"/>
      <c r="K734" s="7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25"/>
      <c r="C735" s="25"/>
      <c r="D735" s="4"/>
      <c r="E735" s="4"/>
      <c r="F735" s="4"/>
      <c r="G735" s="4"/>
      <c r="H735" s="72"/>
      <c r="I735" s="73"/>
      <c r="J735" s="74"/>
      <c r="K735" s="7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25"/>
      <c r="C736" s="25"/>
      <c r="D736" s="4"/>
      <c r="E736" s="4"/>
      <c r="F736" s="4"/>
      <c r="G736" s="4"/>
      <c r="H736" s="72"/>
      <c r="I736" s="73"/>
      <c r="J736" s="74"/>
      <c r="K736" s="7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25"/>
      <c r="C737" s="25"/>
      <c r="D737" s="4"/>
      <c r="E737" s="4"/>
      <c r="F737" s="4"/>
      <c r="G737" s="4"/>
      <c r="H737" s="72"/>
      <c r="I737" s="73"/>
      <c r="J737" s="74"/>
      <c r="K737" s="7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25"/>
      <c r="C738" s="25"/>
      <c r="D738" s="4"/>
      <c r="E738" s="4"/>
      <c r="F738" s="4"/>
      <c r="G738" s="4"/>
      <c r="H738" s="72"/>
      <c r="I738" s="73"/>
      <c r="J738" s="74"/>
      <c r="K738" s="7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25"/>
      <c r="C739" s="25"/>
      <c r="D739" s="4"/>
      <c r="E739" s="4"/>
      <c r="F739" s="4"/>
      <c r="G739" s="4"/>
      <c r="H739" s="72"/>
      <c r="I739" s="73"/>
      <c r="J739" s="74"/>
      <c r="K739" s="7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25"/>
      <c r="C740" s="25"/>
      <c r="D740" s="4"/>
      <c r="E740" s="4"/>
      <c r="F740" s="4"/>
      <c r="G740" s="4"/>
      <c r="H740" s="72"/>
      <c r="I740" s="73"/>
      <c r="J740" s="74"/>
      <c r="K740" s="7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25"/>
      <c r="C741" s="25"/>
      <c r="D741" s="4"/>
      <c r="E741" s="4"/>
      <c r="F741" s="4"/>
      <c r="G741" s="4"/>
      <c r="H741" s="72"/>
      <c r="I741" s="73"/>
      <c r="J741" s="74"/>
      <c r="K741" s="7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25"/>
      <c r="C742" s="25"/>
      <c r="D742" s="4"/>
      <c r="E742" s="4"/>
      <c r="F742" s="4"/>
      <c r="G742" s="4"/>
      <c r="H742" s="72"/>
      <c r="I742" s="73"/>
      <c r="J742" s="74"/>
      <c r="K742" s="7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25"/>
      <c r="C743" s="25"/>
      <c r="D743" s="4"/>
      <c r="E743" s="4"/>
      <c r="F743" s="4"/>
      <c r="G743" s="4"/>
      <c r="H743" s="72"/>
      <c r="I743" s="73"/>
      <c r="J743" s="74"/>
      <c r="K743" s="7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25"/>
      <c r="C744" s="25"/>
      <c r="D744" s="4"/>
      <c r="E744" s="4"/>
      <c r="F744" s="4"/>
      <c r="G744" s="4"/>
      <c r="H744" s="72"/>
      <c r="I744" s="73"/>
      <c r="J744" s="74"/>
      <c r="K744" s="7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25"/>
      <c r="C745" s="25"/>
      <c r="D745" s="4"/>
      <c r="E745" s="4"/>
      <c r="F745" s="4"/>
      <c r="G745" s="4"/>
      <c r="H745" s="72"/>
      <c r="I745" s="73"/>
      <c r="J745" s="74"/>
      <c r="K745" s="7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25"/>
      <c r="C746" s="25"/>
      <c r="D746" s="4"/>
      <c r="E746" s="4"/>
      <c r="F746" s="4"/>
      <c r="G746" s="4"/>
      <c r="H746" s="72"/>
      <c r="I746" s="73"/>
      <c r="J746" s="74"/>
      <c r="K746" s="7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25"/>
      <c r="C747" s="25"/>
      <c r="D747" s="4"/>
      <c r="E747" s="4"/>
      <c r="F747" s="4"/>
      <c r="G747" s="4"/>
      <c r="H747" s="72"/>
      <c r="I747" s="73"/>
      <c r="J747" s="74"/>
      <c r="K747" s="7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25"/>
      <c r="C748" s="25"/>
      <c r="D748" s="4"/>
      <c r="E748" s="4"/>
      <c r="F748" s="4"/>
      <c r="G748" s="4"/>
      <c r="H748" s="72"/>
      <c r="I748" s="73"/>
      <c r="J748" s="74"/>
      <c r="K748" s="7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25"/>
      <c r="C749" s="25"/>
      <c r="D749" s="4"/>
      <c r="E749" s="4"/>
      <c r="F749" s="4"/>
      <c r="G749" s="4"/>
      <c r="H749" s="72"/>
      <c r="I749" s="73"/>
      <c r="J749" s="74"/>
      <c r="K749" s="7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25"/>
      <c r="C750" s="25"/>
      <c r="D750" s="4"/>
      <c r="E750" s="4"/>
      <c r="F750" s="4"/>
      <c r="G750" s="4"/>
      <c r="H750" s="72"/>
      <c r="I750" s="73"/>
      <c r="J750" s="74"/>
      <c r="K750" s="7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25"/>
      <c r="C751" s="25"/>
      <c r="D751" s="4"/>
      <c r="E751" s="4"/>
      <c r="F751" s="4"/>
      <c r="G751" s="4"/>
      <c r="H751" s="72"/>
      <c r="I751" s="73"/>
      <c r="J751" s="74"/>
      <c r="K751" s="7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25"/>
      <c r="C752" s="25"/>
      <c r="D752" s="4"/>
      <c r="E752" s="4"/>
      <c r="F752" s="4"/>
      <c r="G752" s="4"/>
      <c r="H752" s="72"/>
      <c r="I752" s="73"/>
      <c r="J752" s="74"/>
      <c r="K752" s="7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25"/>
      <c r="C753" s="25"/>
      <c r="D753" s="4"/>
      <c r="E753" s="4"/>
      <c r="F753" s="4"/>
      <c r="G753" s="4"/>
      <c r="H753" s="72"/>
      <c r="I753" s="73"/>
      <c r="J753" s="74"/>
      <c r="K753" s="7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25"/>
      <c r="C754" s="25"/>
      <c r="D754" s="4"/>
      <c r="E754" s="4"/>
      <c r="F754" s="4"/>
      <c r="G754" s="4"/>
      <c r="H754" s="72"/>
      <c r="I754" s="73"/>
      <c r="J754" s="74"/>
      <c r="K754" s="7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25"/>
      <c r="C755" s="25"/>
      <c r="D755" s="4"/>
      <c r="E755" s="4"/>
      <c r="F755" s="4"/>
      <c r="G755" s="4"/>
      <c r="H755" s="72"/>
      <c r="I755" s="73"/>
      <c r="J755" s="74"/>
      <c r="K755" s="7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25"/>
      <c r="C756" s="25"/>
      <c r="D756" s="4"/>
      <c r="E756" s="4"/>
      <c r="F756" s="4"/>
      <c r="G756" s="4"/>
      <c r="H756" s="72"/>
      <c r="I756" s="73"/>
      <c r="J756" s="74"/>
      <c r="K756" s="7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25"/>
      <c r="C757" s="25"/>
      <c r="D757" s="4"/>
      <c r="E757" s="4"/>
      <c r="F757" s="4"/>
      <c r="G757" s="4"/>
      <c r="H757" s="72"/>
      <c r="I757" s="73"/>
      <c r="J757" s="74"/>
      <c r="K757" s="7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25"/>
      <c r="C758" s="25"/>
      <c r="D758" s="4"/>
      <c r="E758" s="4"/>
      <c r="F758" s="4"/>
      <c r="G758" s="4"/>
      <c r="H758" s="72"/>
      <c r="I758" s="73"/>
      <c r="J758" s="74"/>
      <c r="K758" s="7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25"/>
      <c r="C759" s="25"/>
      <c r="D759" s="4"/>
      <c r="E759" s="4"/>
      <c r="F759" s="4"/>
      <c r="G759" s="4"/>
      <c r="H759" s="72"/>
      <c r="I759" s="73"/>
      <c r="J759" s="74"/>
      <c r="K759" s="7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25"/>
      <c r="C760" s="25"/>
      <c r="D760" s="4"/>
      <c r="E760" s="4"/>
      <c r="F760" s="4"/>
      <c r="G760" s="4"/>
      <c r="H760" s="72"/>
      <c r="I760" s="73"/>
      <c r="J760" s="74"/>
      <c r="K760" s="7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25"/>
      <c r="C761" s="25"/>
      <c r="D761" s="4"/>
      <c r="E761" s="4"/>
      <c r="F761" s="4"/>
      <c r="G761" s="4"/>
      <c r="H761" s="72"/>
      <c r="I761" s="73"/>
      <c r="J761" s="74"/>
      <c r="K761" s="7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25"/>
      <c r="C762" s="25"/>
      <c r="D762" s="4"/>
      <c r="E762" s="4"/>
      <c r="F762" s="4"/>
      <c r="G762" s="4"/>
      <c r="H762" s="72"/>
      <c r="I762" s="73"/>
      <c r="J762" s="74"/>
      <c r="K762" s="7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25"/>
      <c r="C763" s="25"/>
      <c r="D763" s="4"/>
      <c r="E763" s="4"/>
      <c r="F763" s="4"/>
      <c r="G763" s="4"/>
      <c r="H763" s="72"/>
      <c r="I763" s="73"/>
      <c r="J763" s="74"/>
      <c r="K763" s="7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25"/>
      <c r="C764" s="25"/>
      <c r="D764" s="4"/>
      <c r="E764" s="4"/>
      <c r="F764" s="4"/>
      <c r="G764" s="4"/>
      <c r="H764" s="72"/>
      <c r="I764" s="73"/>
      <c r="J764" s="74"/>
      <c r="K764" s="7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25"/>
      <c r="C765" s="25"/>
      <c r="D765" s="4"/>
      <c r="E765" s="4"/>
      <c r="F765" s="4"/>
      <c r="G765" s="4"/>
      <c r="H765" s="72"/>
      <c r="I765" s="73"/>
      <c r="J765" s="74"/>
      <c r="K765" s="7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25"/>
      <c r="C766" s="25"/>
      <c r="D766" s="4"/>
      <c r="E766" s="4"/>
      <c r="F766" s="4"/>
      <c r="G766" s="4"/>
      <c r="H766" s="72"/>
      <c r="I766" s="73"/>
      <c r="J766" s="74"/>
      <c r="K766" s="7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25"/>
      <c r="C767" s="25"/>
      <c r="D767" s="4"/>
      <c r="E767" s="4"/>
      <c r="F767" s="4"/>
      <c r="G767" s="4"/>
      <c r="H767" s="72"/>
      <c r="I767" s="73"/>
      <c r="J767" s="74"/>
      <c r="K767" s="7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25"/>
      <c r="C768" s="25"/>
      <c r="D768" s="4"/>
      <c r="E768" s="4"/>
      <c r="F768" s="4"/>
      <c r="G768" s="4"/>
      <c r="H768" s="72"/>
      <c r="I768" s="73"/>
      <c r="J768" s="74"/>
      <c r="K768" s="7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25"/>
      <c r="C769" s="25"/>
      <c r="D769" s="4"/>
      <c r="E769" s="4"/>
      <c r="F769" s="4"/>
      <c r="G769" s="4"/>
      <c r="H769" s="72"/>
      <c r="I769" s="73"/>
      <c r="J769" s="74"/>
      <c r="K769" s="7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25"/>
      <c r="C770" s="25"/>
      <c r="D770" s="4"/>
      <c r="E770" s="4"/>
      <c r="F770" s="4"/>
      <c r="G770" s="4"/>
      <c r="H770" s="72"/>
      <c r="I770" s="73"/>
      <c r="J770" s="74"/>
      <c r="K770" s="7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25"/>
      <c r="C771" s="25"/>
      <c r="D771" s="4"/>
      <c r="E771" s="4"/>
      <c r="F771" s="4"/>
      <c r="G771" s="4"/>
      <c r="H771" s="72"/>
      <c r="I771" s="73"/>
      <c r="J771" s="74"/>
      <c r="K771" s="7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25"/>
      <c r="C772" s="25"/>
      <c r="D772" s="4"/>
      <c r="E772" s="4"/>
      <c r="F772" s="4"/>
      <c r="G772" s="4"/>
      <c r="H772" s="72"/>
      <c r="I772" s="73"/>
      <c r="J772" s="74"/>
      <c r="K772" s="7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25"/>
      <c r="C773" s="25"/>
      <c r="D773" s="4"/>
      <c r="E773" s="4"/>
      <c r="F773" s="4"/>
      <c r="G773" s="4"/>
      <c r="H773" s="72"/>
      <c r="I773" s="73"/>
      <c r="J773" s="74"/>
      <c r="K773" s="7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25"/>
      <c r="C774" s="25"/>
      <c r="D774" s="4"/>
      <c r="E774" s="4"/>
      <c r="F774" s="4"/>
      <c r="G774" s="4"/>
      <c r="H774" s="72"/>
      <c r="I774" s="73"/>
      <c r="J774" s="74"/>
      <c r="K774" s="7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25"/>
      <c r="C775" s="25"/>
      <c r="D775" s="4"/>
      <c r="E775" s="4"/>
      <c r="F775" s="4"/>
      <c r="G775" s="4"/>
      <c r="H775" s="72"/>
      <c r="I775" s="73"/>
      <c r="J775" s="74"/>
      <c r="K775" s="7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25"/>
      <c r="C776" s="25"/>
      <c r="D776" s="4"/>
      <c r="E776" s="4"/>
      <c r="F776" s="4"/>
      <c r="G776" s="4"/>
      <c r="H776" s="72"/>
      <c r="I776" s="73"/>
      <c r="J776" s="74"/>
      <c r="K776" s="7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25"/>
      <c r="C777" s="25"/>
      <c r="D777" s="4"/>
      <c r="E777" s="4"/>
      <c r="F777" s="4"/>
      <c r="G777" s="4"/>
      <c r="H777" s="72"/>
      <c r="I777" s="73"/>
      <c r="J777" s="74"/>
      <c r="K777" s="7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25"/>
      <c r="C778" s="25"/>
      <c r="D778" s="4"/>
      <c r="E778" s="4"/>
      <c r="F778" s="4"/>
      <c r="G778" s="4"/>
      <c r="H778" s="72"/>
      <c r="I778" s="73"/>
      <c r="J778" s="74"/>
      <c r="K778" s="7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25"/>
      <c r="C779" s="25"/>
      <c r="D779" s="4"/>
      <c r="E779" s="4"/>
      <c r="F779" s="4"/>
      <c r="G779" s="4"/>
      <c r="H779" s="72"/>
      <c r="I779" s="73"/>
      <c r="J779" s="74"/>
      <c r="K779" s="7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25"/>
      <c r="C780" s="25"/>
      <c r="D780" s="4"/>
      <c r="E780" s="4"/>
      <c r="F780" s="4"/>
      <c r="G780" s="4"/>
      <c r="H780" s="72"/>
      <c r="I780" s="73"/>
      <c r="J780" s="74"/>
      <c r="K780" s="7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25"/>
      <c r="C781" s="25"/>
      <c r="D781" s="4"/>
      <c r="E781" s="4"/>
      <c r="F781" s="4"/>
      <c r="G781" s="4"/>
      <c r="H781" s="72"/>
      <c r="I781" s="73"/>
      <c r="J781" s="74"/>
      <c r="K781" s="7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25"/>
      <c r="C782" s="25"/>
      <c r="D782" s="4"/>
      <c r="E782" s="4"/>
      <c r="F782" s="4"/>
      <c r="G782" s="4"/>
      <c r="H782" s="72"/>
      <c r="I782" s="73"/>
      <c r="J782" s="74"/>
      <c r="K782" s="7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25"/>
      <c r="C783" s="25"/>
      <c r="D783" s="4"/>
      <c r="E783" s="4"/>
      <c r="F783" s="4"/>
      <c r="G783" s="4"/>
      <c r="H783" s="72"/>
      <c r="I783" s="73"/>
      <c r="J783" s="74"/>
      <c r="K783" s="7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25"/>
      <c r="C784" s="25"/>
      <c r="D784" s="4"/>
      <c r="E784" s="4"/>
      <c r="F784" s="4"/>
      <c r="G784" s="4"/>
      <c r="H784" s="72"/>
      <c r="I784" s="73"/>
      <c r="J784" s="74"/>
      <c r="K784" s="7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25"/>
      <c r="C785" s="25"/>
      <c r="D785" s="4"/>
      <c r="E785" s="4"/>
      <c r="F785" s="4"/>
      <c r="G785" s="4"/>
      <c r="H785" s="72"/>
      <c r="I785" s="73"/>
      <c r="J785" s="74"/>
      <c r="K785" s="7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25"/>
      <c r="C786" s="25"/>
      <c r="D786" s="4"/>
      <c r="E786" s="4"/>
      <c r="F786" s="4"/>
      <c r="G786" s="4"/>
      <c r="H786" s="72"/>
      <c r="I786" s="73"/>
      <c r="J786" s="74"/>
      <c r="K786" s="7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25"/>
      <c r="C787" s="25"/>
      <c r="D787" s="4"/>
      <c r="E787" s="4"/>
      <c r="F787" s="4"/>
      <c r="G787" s="4"/>
      <c r="H787" s="72"/>
      <c r="I787" s="73"/>
      <c r="J787" s="74"/>
      <c r="K787" s="7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25"/>
      <c r="C788" s="25"/>
      <c r="D788" s="4"/>
      <c r="E788" s="4"/>
      <c r="F788" s="4"/>
      <c r="G788" s="4"/>
      <c r="H788" s="72"/>
      <c r="I788" s="73"/>
      <c r="J788" s="74"/>
      <c r="K788" s="7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25"/>
      <c r="C789" s="25"/>
      <c r="D789" s="4"/>
      <c r="E789" s="4"/>
      <c r="F789" s="4"/>
      <c r="G789" s="4"/>
      <c r="H789" s="72"/>
      <c r="I789" s="73"/>
      <c r="J789" s="74"/>
      <c r="K789" s="7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25"/>
      <c r="C790" s="25"/>
      <c r="D790" s="4"/>
      <c r="E790" s="4"/>
      <c r="F790" s="4"/>
      <c r="G790" s="4"/>
      <c r="H790" s="72"/>
      <c r="I790" s="73"/>
      <c r="J790" s="74"/>
      <c r="K790" s="7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25"/>
      <c r="C791" s="25"/>
      <c r="D791" s="4"/>
      <c r="E791" s="4"/>
      <c r="F791" s="4"/>
      <c r="G791" s="4"/>
      <c r="H791" s="72"/>
      <c r="I791" s="73"/>
      <c r="J791" s="74"/>
      <c r="K791" s="7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25"/>
      <c r="C792" s="25"/>
      <c r="D792" s="4"/>
      <c r="E792" s="4"/>
      <c r="F792" s="4"/>
      <c r="G792" s="4"/>
      <c r="H792" s="72"/>
      <c r="I792" s="73"/>
      <c r="J792" s="74"/>
      <c r="K792" s="7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25"/>
      <c r="C793" s="25"/>
      <c r="D793" s="4"/>
      <c r="E793" s="4"/>
      <c r="F793" s="4"/>
      <c r="G793" s="4"/>
      <c r="H793" s="72"/>
      <c r="I793" s="73"/>
      <c r="J793" s="74"/>
      <c r="K793" s="7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25"/>
      <c r="C794" s="25"/>
      <c r="D794" s="4"/>
      <c r="E794" s="4"/>
      <c r="F794" s="4"/>
      <c r="G794" s="4"/>
      <c r="H794" s="72"/>
      <c r="I794" s="73"/>
      <c r="J794" s="74"/>
      <c r="K794" s="7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25"/>
      <c r="C795" s="25"/>
      <c r="D795" s="4"/>
      <c r="E795" s="4"/>
      <c r="F795" s="4"/>
      <c r="G795" s="4"/>
      <c r="H795" s="72"/>
      <c r="I795" s="73"/>
      <c r="J795" s="74"/>
      <c r="K795" s="7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25"/>
      <c r="C796" s="25"/>
      <c r="D796" s="4"/>
      <c r="E796" s="4"/>
      <c r="F796" s="4"/>
      <c r="G796" s="4"/>
      <c r="H796" s="72"/>
      <c r="I796" s="73"/>
      <c r="J796" s="74"/>
      <c r="K796" s="7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25"/>
      <c r="C797" s="25"/>
      <c r="D797" s="4"/>
      <c r="E797" s="4"/>
      <c r="F797" s="4"/>
      <c r="G797" s="4"/>
      <c r="H797" s="72"/>
      <c r="I797" s="73"/>
      <c r="J797" s="74"/>
      <c r="K797" s="7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25"/>
      <c r="C798" s="25"/>
      <c r="D798" s="4"/>
      <c r="E798" s="4"/>
      <c r="F798" s="4"/>
      <c r="G798" s="4"/>
      <c r="H798" s="72"/>
      <c r="I798" s="73"/>
      <c r="J798" s="74"/>
      <c r="K798" s="7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25"/>
      <c r="C799" s="25"/>
      <c r="D799" s="4"/>
      <c r="E799" s="4"/>
      <c r="F799" s="4"/>
      <c r="G799" s="4"/>
      <c r="H799" s="72"/>
      <c r="I799" s="73"/>
      <c r="J799" s="74"/>
      <c r="K799" s="7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25"/>
      <c r="C800" s="25"/>
      <c r="D800" s="4"/>
      <c r="E800" s="4"/>
      <c r="F800" s="4"/>
      <c r="G800" s="4"/>
      <c r="H800" s="72"/>
      <c r="I800" s="73"/>
      <c r="J800" s="74"/>
      <c r="K800" s="7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25"/>
      <c r="C801" s="25"/>
      <c r="D801" s="4"/>
      <c r="E801" s="4"/>
      <c r="F801" s="4"/>
      <c r="G801" s="4"/>
      <c r="H801" s="72"/>
      <c r="I801" s="73"/>
      <c r="J801" s="74"/>
      <c r="K801" s="7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25"/>
      <c r="C802" s="25"/>
      <c r="D802" s="4"/>
      <c r="E802" s="4"/>
      <c r="F802" s="4"/>
      <c r="G802" s="4"/>
      <c r="H802" s="72"/>
      <c r="I802" s="73"/>
      <c r="J802" s="74"/>
      <c r="K802" s="7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25"/>
      <c r="C803" s="25"/>
      <c r="D803" s="4"/>
      <c r="E803" s="4"/>
      <c r="F803" s="4"/>
      <c r="G803" s="4"/>
      <c r="H803" s="72"/>
      <c r="I803" s="73"/>
      <c r="J803" s="74"/>
      <c r="K803" s="7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25"/>
      <c r="C804" s="25"/>
      <c r="D804" s="4"/>
      <c r="E804" s="4"/>
      <c r="F804" s="4"/>
      <c r="G804" s="4"/>
      <c r="H804" s="72"/>
      <c r="I804" s="73"/>
      <c r="J804" s="74"/>
      <c r="K804" s="7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25"/>
      <c r="C805" s="25"/>
      <c r="D805" s="4"/>
      <c r="E805" s="4"/>
      <c r="F805" s="4"/>
      <c r="G805" s="4"/>
      <c r="H805" s="72"/>
      <c r="I805" s="73"/>
      <c r="J805" s="74"/>
      <c r="K805" s="7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25"/>
      <c r="C806" s="25"/>
      <c r="D806" s="4"/>
      <c r="E806" s="4"/>
      <c r="F806" s="4"/>
      <c r="G806" s="4"/>
      <c r="H806" s="72"/>
      <c r="I806" s="73"/>
      <c r="J806" s="74"/>
      <c r="K806" s="7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25"/>
      <c r="C807" s="25"/>
      <c r="D807" s="4"/>
      <c r="E807" s="4"/>
      <c r="F807" s="4"/>
      <c r="G807" s="4"/>
      <c r="H807" s="72"/>
      <c r="I807" s="73"/>
      <c r="J807" s="74"/>
      <c r="K807" s="7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25"/>
      <c r="C808" s="25"/>
      <c r="D808" s="4"/>
      <c r="E808" s="4"/>
      <c r="F808" s="4"/>
      <c r="G808" s="4"/>
      <c r="H808" s="72"/>
      <c r="I808" s="73"/>
      <c r="J808" s="74"/>
      <c r="K808" s="7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25"/>
      <c r="C809" s="25"/>
      <c r="D809" s="4"/>
      <c r="E809" s="4"/>
      <c r="F809" s="4"/>
      <c r="G809" s="4"/>
      <c r="H809" s="72"/>
      <c r="I809" s="73"/>
      <c r="J809" s="74"/>
      <c r="K809" s="7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25"/>
      <c r="C810" s="25"/>
      <c r="D810" s="4"/>
      <c r="E810" s="4"/>
      <c r="F810" s="4"/>
      <c r="G810" s="4"/>
      <c r="H810" s="72"/>
      <c r="I810" s="73"/>
      <c r="J810" s="74"/>
      <c r="K810" s="7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25"/>
      <c r="C811" s="25"/>
      <c r="D811" s="4"/>
      <c r="E811" s="4"/>
      <c r="F811" s="4"/>
      <c r="G811" s="4"/>
      <c r="H811" s="72"/>
      <c r="I811" s="73"/>
      <c r="J811" s="74"/>
      <c r="K811" s="7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25"/>
      <c r="C812" s="25"/>
      <c r="D812" s="4"/>
      <c r="E812" s="4"/>
      <c r="F812" s="4"/>
      <c r="G812" s="4"/>
      <c r="H812" s="72"/>
      <c r="I812" s="73"/>
      <c r="J812" s="74"/>
      <c r="K812" s="7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25"/>
      <c r="C813" s="25"/>
      <c r="D813" s="4"/>
      <c r="E813" s="4"/>
      <c r="F813" s="4"/>
      <c r="G813" s="4"/>
      <c r="H813" s="72"/>
      <c r="I813" s="73"/>
      <c r="J813" s="74"/>
      <c r="K813" s="7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25"/>
      <c r="C814" s="25"/>
      <c r="D814" s="4"/>
      <c r="E814" s="4"/>
      <c r="F814" s="4"/>
      <c r="G814" s="4"/>
      <c r="H814" s="72"/>
      <c r="I814" s="73"/>
      <c r="J814" s="74"/>
      <c r="K814" s="7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25"/>
      <c r="C815" s="25"/>
      <c r="D815" s="4"/>
      <c r="E815" s="4"/>
      <c r="F815" s="4"/>
      <c r="G815" s="4"/>
      <c r="H815" s="72"/>
      <c r="I815" s="73"/>
      <c r="J815" s="74"/>
      <c r="K815" s="7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25"/>
      <c r="C816" s="25"/>
      <c r="D816" s="4"/>
      <c r="E816" s="4"/>
      <c r="F816" s="4"/>
      <c r="G816" s="4"/>
      <c r="H816" s="72"/>
      <c r="I816" s="73"/>
      <c r="J816" s="74"/>
      <c r="K816" s="7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25"/>
      <c r="C817" s="25"/>
      <c r="D817" s="4"/>
      <c r="E817" s="4"/>
      <c r="F817" s="4"/>
      <c r="G817" s="4"/>
      <c r="H817" s="72"/>
      <c r="I817" s="73"/>
      <c r="J817" s="74"/>
      <c r="K817" s="7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25"/>
      <c r="C818" s="25"/>
      <c r="D818" s="4"/>
      <c r="E818" s="4"/>
      <c r="F818" s="4"/>
      <c r="G818" s="4"/>
      <c r="H818" s="72"/>
      <c r="I818" s="73"/>
      <c r="J818" s="74"/>
      <c r="K818" s="7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25"/>
      <c r="C819" s="25"/>
      <c r="D819" s="4"/>
      <c r="E819" s="4"/>
      <c r="F819" s="4"/>
      <c r="G819" s="4"/>
      <c r="H819" s="72"/>
      <c r="I819" s="73"/>
      <c r="J819" s="74"/>
      <c r="K819" s="7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25"/>
      <c r="C820" s="25"/>
      <c r="D820" s="4"/>
      <c r="E820" s="4"/>
      <c r="F820" s="4"/>
      <c r="G820" s="4"/>
      <c r="H820" s="72"/>
      <c r="I820" s="73"/>
      <c r="J820" s="74"/>
      <c r="K820" s="7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25"/>
      <c r="C821" s="25"/>
      <c r="D821" s="4"/>
      <c r="E821" s="4"/>
      <c r="F821" s="4"/>
      <c r="G821" s="4"/>
      <c r="H821" s="72"/>
      <c r="I821" s="73"/>
      <c r="J821" s="74"/>
      <c r="K821" s="7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25"/>
      <c r="C822" s="25"/>
      <c r="D822" s="4"/>
      <c r="E822" s="4"/>
      <c r="F822" s="4"/>
      <c r="G822" s="4"/>
      <c r="H822" s="72"/>
      <c r="I822" s="73"/>
      <c r="J822" s="74"/>
      <c r="K822" s="7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25"/>
      <c r="C823" s="25"/>
      <c r="D823" s="4"/>
      <c r="E823" s="4"/>
      <c r="F823" s="4"/>
      <c r="G823" s="4"/>
      <c r="H823" s="72"/>
      <c r="I823" s="73"/>
      <c r="J823" s="74"/>
      <c r="K823" s="7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25"/>
      <c r="C824" s="25"/>
      <c r="D824" s="4"/>
      <c r="E824" s="4"/>
      <c r="F824" s="4"/>
      <c r="G824" s="4"/>
      <c r="H824" s="72"/>
      <c r="I824" s="73"/>
      <c r="J824" s="74"/>
      <c r="K824" s="7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25"/>
      <c r="C825" s="25"/>
      <c r="D825" s="4"/>
      <c r="E825" s="4"/>
      <c r="F825" s="4"/>
      <c r="G825" s="4"/>
      <c r="H825" s="72"/>
      <c r="I825" s="73"/>
      <c r="J825" s="74"/>
      <c r="K825" s="7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25"/>
      <c r="C826" s="25"/>
      <c r="D826" s="4"/>
      <c r="E826" s="4"/>
      <c r="F826" s="4"/>
      <c r="G826" s="4"/>
      <c r="H826" s="72"/>
      <c r="I826" s="73"/>
      <c r="J826" s="74"/>
      <c r="K826" s="7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25"/>
      <c r="C827" s="25"/>
      <c r="D827" s="4"/>
      <c r="E827" s="4"/>
      <c r="F827" s="4"/>
      <c r="G827" s="4"/>
      <c r="H827" s="72"/>
      <c r="I827" s="73"/>
      <c r="J827" s="74"/>
      <c r="K827" s="7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25"/>
      <c r="C828" s="25"/>
      <c r="D828" s="4"/>
      <c r="E828" s="4"/>
      <c r="F828" s="4"/>
      <c r="G828" s="4"/>
      <c r="H828" s="72"/>
      <c r="I828" s="73"/>
      <c r="J828" s="74"/>
      <c r="K828" s="7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25"/>
      <c r="C829" s="25"/>
      <c r="D829" s="4"/>
      <c r="E829" s="4"/>
      <c r="F829" s="4"/>
      <c r="G829" s="4"/>
      <c r="H829" s="72"/>
      <c r="I829" s="73"/>
      <c r="J829" s="74"/>
      <c r="K829" s="7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25"/>
      <c r="C830" s="25"/>
      <c r="D830" s="4"/>
      <c r="E830" s="4"/>
      <c r="F830" s="4"/>
      <c r="G830" s="4"/>
      <c r="H830" s="72"/>
      <c r="I830" s="73"/>
      <c r="J830" s="74"/>
      <c r="K830" s="7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25"/>
      <c r="C831" s="25"/>
      <c r="D831" s="4"/>
      <c r="E831" s="4"/>
      <c r="F831" s="4"/>
      <c r="G831" s="4"/>
      <c r="H831" s="72"/>
      <c r="I831" s="73"/>
      <c r="J831" s="74"/>
      <c r="K831" s="7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25"/>
      <c r="C832" s="25"/>
      <c r="D832" s="4"/>
      <c r="E832" s="4"/>
      <c r="F832" s="4"/>
      <c r="G832" s="4"/>
      <c r="H832" s="72"/>
      <c r="I832" s="73"/>
      <c r="J832" s="74"/>
      <c r="K832" s="7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25"/>
      <c r="C833" s="25"/>
      <c r="D833" s="4"/>
      <c r="E833" s="4"/>
      <c r="F833" s="4"/>
      <c r="G833" s="4"/>
      <c r="H833" s="72"/>
      <c r="I833" s="73"/>
      <c r="J833" s="74"/>
      <c r="K833" s="7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25"/>
      <c r="C834" s="25"/>
      <c r="D834" s="4"/>
      <c r="E834" s="4"/>
      <c r="F834" s="4"/>
      <c r="G834" s="4"/>
      <c r="H834" s="72"/>
      <c r="I834" s="73"/>
      <c r="J834" s="74"/>
      <c r="K834" s="7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25"/>
      <c r="C835" s="25"/>
      <c r="D835" s="4"/>
      <c r="E835" s="4"/>
      <c r="F835" s="4"/>
      <c r="G835" s="4"/>
      <c r="H835" s="72"/>
      <c r="I835" s="73"/>
      <c r="J835" s="74"/>
      <c r="K835" s="7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25"/>
      <c r="C836" s="25"/>
      <c r="D836" s="4"/>
      <c r="E836" s="4"/>
      <c r="F836" s="4"/>
      <c r="G836" s="4"/>
      <c r="H836" s="72"/>
      <c r="I836" s="73"/>
      <c r="J836" s="74"/>
      <c r="K836" s="7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25"/>
      <c r="C837" s="25"/>
      <c r="D837" s="4"/>
      <c r="E837" s="4"/>
      <c r="F837" s="4"/>
      <c r="G837" s="4"/>
      <c r="H837" s="72"/>
      <c r="I837" s="73"/>
      <c r="J837" s="74"/>
      <c r="K837" s="7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25"/>
      <c r="C838" s="25"/>
      <c r="D838" s="4"/>
      <c r="E838" s="4"/>
      <c r="F838" s="4"/>
      <c r="G838" s="4"/>
      <c r="H838" s="72"/>
      <c r="I838" s="73"/>
      <c r="J838" s="74"/>
      <c r="K838" s="7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25"/>
      <c r="C839" s="25"/>
      <c r="D839" s="4"/>
      <c r="E839" s="4"/>
      <c r="F839" s="4"/>
      <c r="G839" s="4"/>
      <c r="H839" s="72"/>
      <c r="I839" s="73"/>
      <c r="J839" s="74"/>
      <c r="K839" s="7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25"/>
      <c r="C840" s="25"/>
      <c r="D840" s="4"/>
      <c r="E840" s="4"/>
      <c r="F840" s="4"/>
      <c r="G840" s="4"/>
      <c r="H840" s="72"/>
      <c r="I840" s="73"/>
      <c r="J840" s="74"/>
      <c r="K840" s="7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25"/>
      <c r="C841" s="25"/>
      <c r="D841" s="4"/>
      <c r="E841" s="4"/>
      <c r="F841" s="4"/>
      <c r="G841" s="4"/>
      <c r="H841" s="72"/>
      <c r="I841" s="73"/>
      <c r="J841" s="74"/>
      <c r="K841" s="7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25"/>
      <c r="C842" s="25"/>
      <c r="D842" s="4"/>
      <c r="E842" s="4"/>
      <c r="F842" s="4"/>
      <c r="G842" s="4"/>
      <c r="H842" s="72"/>
      <c r="I842" s="73"/>
      <c r="J842" s="74"/>
      <c r="K842" s="7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25"/>
      <c r="C843" s="25"/>
      <c r="D843" s="4"/>
      <c r="E843" s="4"/>
      <c r="F843" s="4"/>
      <c r="G843" s="4"/>
      <c r="H843" s="72"/>
      <c r="I843" s="73"/>
      <c r="J843" s="74"/>
      <c r="K843" s="7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25"/>
      <c r="C844" s="25"/>
      <c r="D844" s="4"/>
      <c r="E844" s="4"/>
      <c r="F844" s="4"/>
      <c r="G844" s="4"/>
      <c r="H844" s="72"/>
      <c r="I844" s="73"/>
      <c r="J844" s="74"/>
      <c r="K844" s="7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25"/>
      <c r="C845" s="25"/>
      <c r="D845" s="4"/>
      <c r="E845" s="4"/>
      <c r="F845" s="4"/>
      <c r="G845" s="4"/>
      <c r="H845" s="72"/>
      <c r="I845" s="73"/>
      <c r="J845" s="74"/>
      <c r="K845" s="7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25"/>
      <c r="C846" s="25"/>
      <c r="D846" s="4"/>
      <c r="E846" s="4"/>
      <c r="F846" s="4"/>
      <c r="G846" s="4"/>
      <c r="H846" s="72"/>
      <c r="I846" s="73"/>
      <c r="J846" s="74"/>
      <c r="K846" s="7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25"/>
      <c r="C847" s="25"/>
      <c r="D847" s="4"/>
      <c r="E847" s="4"/>
      <c r="F847" s="4"/>
      <c r="G847" s="4"/>
      <c r="H847" s="72"/>
      <c r="I847" s="73"/>
      <c r="J847" s="74"/>
      <c r="K847" s="7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25"/>
      <c r="C848" s="25"/>
      <c r="D848" s="4"/>
      <c r="E848" s="4"/>
      <c r="F848" s="4"/>
      <c r="G848" s="4"/>
      <c r="H848" s="72"/>
      <c r="I848" s="73"/>
      <c r="J848" s="74"/>
      <c r="K848" s="7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25"/>
      <c r="C849" s="25"/>
      <c r="D849" s="4"/>
      <c r="E849" s="4"/>
      <c r="F849" s="4"/>
      <c r="G849" s="4"/>
      <c r="H849" s="72"/>
      <c r="I849" s="73"/>
      <c r="J849" s="74"/>
      <c r="K849" s="7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25"/>
      <c r="C850" s="25"/>
      <c r="D850" s="4"/>
      <c r="E850" s="4"/>
      <c r="F850" s="4"/>
      <c r="G850" s="4"/>
      <c r="H850" s="72"/>
      <c r="I850" s="73"/>
      <c r="J850" s="74"/>
      <c r="K850" s="7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25"/>
      <c r="C851" s="25"/>
      <c r="D851" s="4"/>
      <c r="E851" s="4"/>
      <c r="F851" s="4"/>
      <c r="G851" s="4"/>
      <c r="H851" s="72"/>
      <c r="I851" s="73"/>
      <c r="J851" s="74"/>
      <c r="K851" s="7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25"/>
      <c r="C852" s="25"/>
      <c r="D852" s="4"/>
      <c r="E852" s="4"/>
      <c r="F852" s="4"/>
      <c r="G852" s="4"/>
      <c r="H852" s="72"/>
      <c r="I852" s="73"/>
      <c r="J852" s="74"/>
      <c r="K852" s="7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25"/>
      <c r="C853" s="25"/>
      <c r="D853" s="4"/>
      <c r="E853" s="4"/>
      <c r="F853" s="4"/>
      <c r="G853" s="4"/>
      <c r="H853" s="72"/>
      <c r="I853" s="73"/>
      <c r="J853" s="74"/>
      <c r="K853" s="7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25"/>
      <c r="C854" s="25"/>
      <c r="D854" s="4"/>
      <c r="E854" s="4"/>
      <c r="F854" s="4"/>
      <c r="G854" s="4"/>
      <c r="H854" s="72"/>
      <c r="I854" s="73"/>
      <c r="J854" s="74"/>
      <c r="K854" s="7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25"/>
      <c r="C855" s="25"/>
      <c r="D855" s="4"/>
      <c r="E855" s="4"/>
      <c r="F855" s="4"/>
      <c r="G855" s="4"/>
      <c r="H855" s="72"/>
      <c r="I855" s="73"/>
      <c r="J855" s="74"/>
      <c r="K855" s="7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25"/>
      <c r="C856" s="25"/>
      <c r="D856" s="4"/>
      <c r="E856" s="4"/>
      <c r="F856" s="4"/>
      <c r="G856" s="4"/>
      <c r="H856" s="72"/>
      <c r="I856" s="73"/>
      <c r="J856" s="74"/>
      <c r="K856" s="7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25"/>
      <c r="C857" s="25"/>
      <c r="D857" s="4"/>
      <c r="E857" s="4"/>
      <c r="F857" s="4"/>
      <c r="G857" s="4"/>
      <c r="H857" s="72"/>
      <c r="I857" s="73"/>
      <c r="J857" s="74"/>
      <c r="K857" s="7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25"/>
      <c r="C858" s="25"/>
      <c r="D858" s="4"/>
      <c r="E858" s="4"/>
      <c r="F858" s="4"/>
      <c r="G858" s="4"/>
      <c r="H858" s="72"/>
      <c r="I858" s="73"/>
      <c r="J858" s="74"/>
      <c r="K858" s="7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25"/>
      <c r="C859" s="25"/>
      <c r="D859" s="4"/>
      <c r="E859" s="4"/>
      <c r="F859" s="4"/>
      <c r="G859" s="4"/>
      <c r="H859" s="72"/>
      <c r="I859" s="73"/>
      <c r="J859" s="74"/>
      <c r="K859" s="7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25"/>
      <c r="C860" s="25"/>
      <c r="D860" s="4"/>
      <c r="E860" s="4"/>
      <c r="F860" s="4"/>
      <c r="G860" s="4"/>
      <c r="H860" s="72"/>
      <c r="I860" s="73"/>
      <c r="J860" s="74"/>
      <c r="K860" s="7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25"/>
      <c r="C861" s="25"/>
      <c r="D861" s="4"/>
      <c r="E861" s="4"/>
      <c r="F861" s="4"/>
      <c r="G861" s="4"/>
      <c r="H861" s="72"/>
      <c r="I861" s="73"/>
      <c r="J861" s="74"/>
      <c r="K861" s="7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25"/>
      <c r="C862" s="25"/>
      <c r="D862" s="4"/>
      <c r="E862" s="4"/>
      <c r="F862" s="4"/>
      <c r="G862" s="4"/>
      <c r="H862" s="72"/>
      <c r="I862" s="73"/>
      <c r="J862" s="74"/>
      <c r="K862" s="7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25"/>
      <c r="C863" s="25"/>
      <c r="D863" s="4"/>
      <c r="E863" s="4"/>
      <c r="F863" s="4"/>
      <c r="G863" s="4"/>
      <c r="H863" s="72"/>
      <c r="I863" s="73"/>
      <c r="J863" s="74"/>
      <c r="K863" s="7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25"/>
      <c r="C864" s="25"/>
      <c r="D864" s="4"/>
      <c r="E864" s="4"/>
      <c r="F864" s="4"/>
      <c r="G864" s="4"/>
      <c r="H864" s="72"/>
      <c r="I864" s="73"/>
      <c r="J864" s="74"/>
      <c r="K864" s="7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25"/>
      <c r="C865" s="25"/>
      <c r="D865" s="4"/>
      <c r="E865" s="4"/>
      <c r="F865" s="4"/>
      <c r="G865" s="4"/>
      <c r="H865" s="72"/>
      <c r="I865" s="73"/>
      <c r="J865" s="74"/>
      <c r="K865" s="7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25"/>
      <c r="C866" s="25"/>
      <c r="D866" s="4"/>
      <c r="E866" s="4"/>
      <c r="F866" s="4"/>
      <c r="G866" s="4"/>
      <c r="H866" s="72"/>
      <c r="I866" s="73"/>
      <c r="J866" s="74"/>
      <c r="K866" s="7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25"/>
      <c r="C867" s="25"/>
      <c r="D867" s="4"/>
      <c r="E867" s="4"/>
      <c r="F867" s="4"/>
      <c r="G867" s="4"/>
      <c r="H867" s="72"/>
      <c r="I867" s="73"/>
      <c r="J867" s="74"/>
      <c r="K867" s="7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25"/>
      <c r="C868" s="25"/>
      <c r="D868" s="4"/>
      <c r="E868" s="4"/>
      <c r="F868" s="4"/>
      <c r="G868" s="4"/>
      <c r="H868" s="72"/>
      <c r="I868" s="73"/>
      <c r="J868" s="74"/>
      <c r="K868" s="7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25"/>
      <c r="C869" s="25"/>
      <c r="D869" s="4"/>
      <c r="E869" s="4"/>
      <c r="F869" s="4"/>
      <c r="G869" s="4"/>
      <c r="H869" s="72"/>
      <c r="I869" s="73"/>
      <c r="J869" s="74"/>
      <c r="K869" s="7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25"/>
      <c r="C870" s="25"/>
      <c r="D870" s="4"/>
      <c r="E870" s="4"/>
      <c r="F870" s="4"/>
      <c r="G870" s="4"/>
      <c r="H870" s="72"/>
      <c r="I870" s="73"/>
      <c r="J870" s="74"/>
      <c r="K870" s="7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25"/>
      <c r="C871" s="25"/>
      <c r="D871" s="4"/>
      <c r="E871" s="4"/>
      <c r="F871" s="4"/>
      <c r="G871" s="4"/>
      <c r="H871" s="72"/>
      <c r="I871" s="73"/>
      <c r="J871" s="74"/>
      <c r="K871" s="7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25"/>
      <c r="C872" s="25"/>
      <c r="D872" s="4"/>
      <c r="E872" s="4"/>
      <c r="F872" s="4"/>
      <c r="G872" s="4"/>
      <c r="H872" s="72"/>
      <c r="I872" s="73"/>
      <c r="J872" s="74"/>
      <c r="K872" s="7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25"/>
      <c r="C873" s="25"/>
      <c r="D873" s="4"/>
      <c r="E873" s="4"/>
      <c r="F873" s="4"/>
      <c r="G873" s="4"/>
      <c r="H873" s="72"/>
      <c r="I873" s="73"/>
      <c r="J873" s="74"/>
      <c r="K873" s="7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25"/>
      <c r="C874" s="25"/>
      <c r="D874" s="4"/>
      <c r="E874" s="4"/>
      <c r="F874" s="4"/>
      <c r="G874" s="4"/>
      <c r="H874" s="72"/>
      <c r="I874" s="73"/>
      <c r="J874" s="74"/>
      <c r="K874" s="7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25"/>
      <c r="C875" s="25"/>
      <c r="D875" s="4"/>
      <c r="E875" s="4"/>
      <c r="F875" s="4"/>
      <c r="G875" s="4"/>
      <c r="H875" s="72"/>
      <c r="I875" s="73"/>
      <c r="J875" s="74"/>
      <c r="K875" s="7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25"/>
      <c r="C876" s="25"/>
      <c r="D876" s="4"/>
      <c r="E876" s="4"/>
      <c r="F876" s="4"/>
      <c r="G876" s="4"/>
      <c r="H876" s="72"/>
      <c r="I876" s="73"/>
      <c r="J876" s="74"/>
      <c r="K876" s="7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25"/>
      <c r="C877" s="25"/>
      <c r="D877" s="4"/>
      <c r="E877" s="4"/>
      <c r="F877" s="4"/>
      <c r="G877" s="4"/>
      <c r="H877" s="72"/>
      <c r="I877" s="73"/>
      <c r="J877" s="74"/>
      <c r="K877" s="7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25"/>
      <c r="C878" s="25"/>
      <c r="D878" s="4"/>
      <c r="E878" s="4"/>
      <c r="F878" s="4"/>
      <c r="G878" s="4"/>
      <c r="H878" s="72"/>
      <c r="I878" s="73"/>
      <c r="J878" s="74"/>
      <c r="K878" s="7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25"/>
      <c r="C879" s="25"/>
      <c r="D879" s="4"/>
      <c r="E879" s="4"/>
      <c r="F879" s="4"/>
      <c r="G879" s="4"/>
      <c r="H879" s="72"/>
      <c r="I879" s="73"/>
      <c r="J879" s="74"/>
      <c r="K879" s="7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25"/>
      <c r="C880" s="25"/>
      <c r="D880" s="4"/>
      <c r="E880" s="4"/>
      <c r="F880" s="4"/>
      <c r="G880" s="4"/>
      <c r="H880" s="72"/>
      <c r="I880" s="73"/>
      <c r="J880" s="74"/>
      <c r="K880" s="7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25"/>
      <c r="C881" s="25"/>
      <c r="D881" s="4"/>
      <c r="E881" s="4"/>
      <c r="F881" s="4"/>
      <c r="G881" s="4"/>
      <c r="H881" s="72"/>
      <c r="I881" s="73"/>
      <c r="J881" s="74"/>
      <c r="K881" s="7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25"/>
      <c r="C882" s="25"/>
      <c r="D882" s="4"/>
      <c r="E882" s="4"/>
      <c r="F882" s="4"/>
      <c r="G882" s="4"/>
      <c r="H882" s="72"/>
      <c r="I882" s="73"/>
      <c r="J882" s="74"/>
      <c r="K882" s="7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25"/>
      <c r="C883" s="25"/>
      <c r="D883" s="4"/>
      <c r="E883" s="4"/>
      <c r="F883" s="4"/>
      <c r="G883" s="4"/>
      <c r="H883" s="72"/>
      <c r="I883" s="73"/>
      <c r="J883" s="74"/>
      <c r="K883" s="7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25"/>
      <c r="C884" s="25"/>
      <c r="D884" s="4"/>
      <c r="E884" s="4"/>
      <c r="F884" s="4"/>
      <c r="G884" s="4"/>
      <c r="H884" s="72"/>
      <c r="I884" s="73"/>
      <c r="J884" s="74"/>
      <c r="K884" s="7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25"/>
      <c r="C885" s="25"/>
      <c r="D885" s="4"/>
      <c r="E885" s="4"/>
      <c r="F885" s="4"/>
      <c r="G885" s="4"/>
      <c r="H885" s="72"/>
      <c r="I885" s="73"/>
      <c r="J885" s="74"/>
      <c r="K885" s="7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25"/>
      <c r="C886" s="25"/>
      <c r="D886" s="4"/>
      <c r="E886" s="4"/>
      <c r="F886" s="4"/>
      <c r="G886" s="4"/>
      <c r="H886" s="72"/>
      <c r="I886" s="73"/>
      <c r="J886" s="74"/>
      <c r="K886" s="7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25"/>
      <c r="C887" s="25"/>
      <c r="D887" s="4"/>
      <c r="E887" s="4"/>
      <c r="F887" s="4"/>
      <c r="G887" s="4"/>
      <c r="H887" s="72"/>
      <c r="I887" s="73"/>
      <c r="J887" s="74"/>
      <c r="K887" s="7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25"/>
      <c r="C888" s="25"/>
      <c r="D888" s="4"/>
      <c r="E888" s="4"/>
      <c r="F888" s="4"/>
      <c r="G888" s="4"/>
      <c r="H888" s="72"/>
      <c r="I888" s="73"/>
      <c r="J888" s="74"/>
      <c r="K888" s="7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25"/>
      <c r="C889" s="25"/>
      <c r="D889" s="4"/>
      <c r="E889" s="4"/>
      <c r="F889" s="4"/>
      <c r="G889" s="4"/>
      <c r="H889" s="72"/>
      <c r="I889" s="73"/>
      <c r="J889" s="74"/>
      <c r="K889" s="7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25"/>
      <c r="C890" s="25"/>
      <c r="D890" s="4"/>
      <c r="E890" s="4"/>
      <c r="F890" s="4"/>
      <c r="G890" s="4"/>
      <c r="H890" s="72"/>
      <c r="I890" s="73"/>
      <c r="J890" s="74"/>
      <c r="K890" s="7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25"/>
      <c r="C891" s="25"/>
      <c r="D891" s="4"/>
      <c r="E891" s="4"/>
      <c r="F891" s="4"/>
      <c r="G891" s="4"/>
      <c r="H891" s="72"/>
      <c r="I891" s="73"/>
      <c r="J891" s="74"/>
      <c r="K891" s="7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25"/>
      <c r="C892" s="25"/>
      <c r="D892" s="4"/>
      <c r="E892" s="4"/>
      <c r="F892" s="4"/>
      <c r="G892" s="4"/>
      <c r="H892" s="72"/>
      <c r="I892" s="73"/>
      <c r="J892" s="74"/>
      <c r="K892" s="7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25"/>
      <c r="C893" s="25"/>
      <c r="D893" s="4"/>
      <c r="E893" s="4"/>
      <c r="F893" s="4"/>
      <c r="G893" s="4"/>
      <c r="H893" s="72"/>
      <c r="I893" s="73"/>
      <c r="J893" s="74"/>
      <c r="K893" s="7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25"/>
      <c r="C894" s="25"/>
      <c r="D894" s="4"/>
      <c r="E894" s="4"/>
      <c r="F894" s="4"/>
      <c r="G894" s="4"/>
      <c r="H894" s="72"/>
      <c r="I894" s="73"/>
      <c r="J894" s="74"/>
      <c r="K894" s="7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25"/>
      <c r="C895" s="25"/>
      <c r="D895" s="4"/>
      <c r="E895" s="4"/>
      <c r="F895" s="4"/>
      <c r="G895" s="4"/>
      <c r="H895" s="72"/>
      <c r="I895" s="73"/>
      <c r="J895" s="74"/>
      <c r="K895" s="7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25"/>
      <c r="C896" s="25"/>
      <c r="D896" s="4"/>
      <c r="E896" s="4"/>
      <c r="F896" s="4"/>
      <c r="G896" s="4"/>
      <c r="H896" s="72"/>
      <c r="I896" s="73"/>
      <c r="J896" s="74"/>
      <c r="K896" s="7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25"/>
      <c r="C897" s="25"/>
      <c r="D897" s="4"/>
      <c r="E897" s="4"/>
      <c r="F897" s="4"/>
      <c r="G897" s="4"/>
      <c r="H897" s="72"/>
      <c r="I897" s="73"/>
      <c r="J897" s="74"/>
      <c r="K897" s="7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25"/>
      <c r="C898" s="25"/>
      <c r="D898" s="4"/>
      <c r="E898" s="4"/>
      <c r="F898" s="4"/>
      <c r="G898" s="4"/>
      <c r="H898" s="72"/>
      <c r="I898" s="73"/>
      <c r="J898" s="74"/>
      <c r="K898" s="7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25"/>
      <c r="C899" s="25"/>
      <c r="D899" s="4"/>
      <c r="E899" s="4"/>
      <c r="F899" s="4"/>
      <c r="G899" s="4"/>
      <c r="H899" s="72"/>
      <c r="I899" s="73"/>
      <c r="J899" s="74"/>
      <c r="K899" s="7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25"/>
      <c r="C900" s="25"/>
      <c r="D900" s="4"/>
      <c r="E900" s="4"/>
      <c r="F900" s="4"/>
      <c r="G900" s="4"/>
      <c r="H900" s="72"/>
      <c r="I900" s="73"/>
      <c r="J900" s="74"/>
      <c r="K900" s="7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25"/>
      <c r="C901" s="25"/>
      <c r="D901" s="4"/>
      <c r="E901" s="4"/>
      <c r="F901" s="4"/>
      <c r="G901" s="4"/>
      <c r="H901" s="72"/>
      <c r="I901" s="73"/>
      <c r="J901" s="74"/>
      <c r="K901" s="7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25"/>
      <c r="C902" s="25"/>
      <c r="D902" s="4"/>
      <c r="E902" s="4"/>
      <c r="F902" s="4"/>
      <c r="G902" s="4"/>
      <c r="H902" s="72"/>
      <c r="I902" s="73"/>
      <c r="J902" s="74"/>
      <c r="K902" s="7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25"/>
      <c r="C903" s="25"/>
      <c r="D903" s="4"/>
      <c r="E903" s="4"/>
      <c r="F903" s="4"/>
      <c r="G903" s="4"/>
      <c r="H903" s="72"/>
      <c r="I903" s="73"/>
      <c r="J903" s="74"/>
      <c r="K903" s="7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25"/>
      <c r="C904" s="25"/>
      <c r="D904" s="4"/>
      <c r="E904" s="4"/>
      <c r="F904" s="4"/>
      <c r="G904" s="4"/>
      <c r="H904" s="72"/>
      <c r="I904" s="73"/>
      <c r="J904" s="74"/>
      <c r="K904" s="7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25"/>
      <c r="C905" s="25"/>
      <c r="D905" s="4"/>
      <c r="E905" s="4"/>
      <c r="F905" s="4"/>
      <c r="G905" s="4"/>
      <c r="H905" s="72"/>
      <c r="I905" s="73"/>
      <c r="J905" s="74"/>
      <c r="K905" s="7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25"/>
      <c r="C906" s="25"/>
      <c r="D906" s="4"/>
      <c r="E906" s="4"/>
      <c r="F906" s="4"/>
      <c r="G906" s="4"/>
      <c r="H906" s="72"/>
      <c r="I906" s="73"/>
      <c r="J906" s="74"/>
      <c r="K906" s="7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25"/>
      <c r="C907" s="25"/>
      <c r="D907" s="4"/>
      <c r="E907" s="4"/>
      <c r="F907" s="4"/>
      <c r="G907" s="4"/>
      <c r="H907" s="72"/>
      <c r="I907" s="73"/>
      <c r="J907" s="74"/>
      <c r="K907" s="7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25"/>
      <c r="C908" s="25"/>
      <c r="D908" s="4"/>
      <c r="E908" s="4"/>
      <c r="F908" s="4"/>
      <c r="G908" s="4"/>
      <c r="H908" s="72"/>
      <c r="I908" s="73"/>
      <c r="J908" s="74"/>
      <c r="K908" s="7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25"/>
      <c r="C909" s="25"/>
      <c r="D909" s="4"/>
      <c r="E909" s="4"/>
      <c r="F909" s="4"/>
      <c r="G909" s="4"/>
      <c r="H909" s="72"/>
      <c r="I909" s="73"/>
      <c r="J909" s="74"/>
      <c r="K909" s="7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25"/>
      <c r="C910" s="25"/>
      <c r="D910" s="4"/>
      <c r="E910" s="4"/>
      <c r="F910" s="4"/>
      <c r="G910" s="4"/>
      <c r="H910" s="72"/>
      <c r="I910" s="73"/>
      <c r="J910" s="74"/>
      <c r="K910" s="7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25"/>
      <c r="C911" s="25"/>
      <c r="D911" s="4"/>
      <c r="E911" s="4"/>
      <c r="F911" s="4"/>
      <c r="G911" s="4"/>
      <c r="H911" s="72"/>
      <c r="I911" s="73"/>
      <c r="J911" s="74"/>
      <c r="K911" s="7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25"/>
      <c r="C912" s="25"/>
      <c r="D912" s="4"/>
      <c r="E912" s="4"/>
      <c r="F912" s="4"/>
      <c r="G912" s="4"/>
      <c r="H912" s="72"/>
      <c r="I912" s="73"/>
      <c r="J912" s="74"/>
      <c r="K912" s="7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25"/>
      <c r="C913" s="25"/>
      <c r="D913" s="4"/>
      <c r="E913" s="4"/>
      <c r="F913" s="4"/>
      <c r="G913" s="4"/>
      <c r="H913" s="72"/>
      <c r="I913" s="73"/>
      <c r="J913" s="74"/>
      <c r="K913" s="7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25"/>
      <c r="C914" s="25"/>
      <c r="D914" s="4"/>
      <c r="E914" s="4"/>
      <c r="F914" s="4"/>
      <c r="G914" s="4"/>
      <c r="H914" s="72"/>
      <c r="I914" s="73"/>
      <c r="J914" s="74"/>
      <c r="K914" s="7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25"/>
      <c r="C915" s="25"/>
      <c r="D915" s="4"/>
      <c r="E915" s="4"/>
      <c r="F915" s="4"/>
      <c r="G915" s="4"/>
      <c r="H915" s="72"/>
      <c r="I915" s="73"/>
      <c r="J915" s="74"/>
      <c r="K915" s="7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25"/>
      <c r="C916" s="25"/>
      <c r="D916" s="4"/>
      <c r="E916" s="4"/>
      <c r="F916" s="4"/>
      <c r="G916" s="4"/>
      <c r="H916" s="72"/>
      <c r="I916" s="73"/>
      <c r="J916" s="74"/>
      <c r="K916" s="7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25"/>
      <c r="C917" s="25"/>
      <c r="D917" s="4"/>
      <c r="E917" s="4"/>
      <c r="F917" s="4"/>
      <c r="G917" s="4"/>
      <c r="H917" s="72"/>
      <c r="I917" s="73"/>
      <c r="J917" s="74"/>
      <c r="K917" s="7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25"/>
      <c r="C918" s="25"/>
      <c r="D918" s="4"/>
      <c r="E918" s="4"/>
      <c r="F918" s="4"/>
      <c r="G918" s="4"/>
      <c r="H918" s="72"/>
      <c r="I918" s="73"/>
      <c r="J918" s="74"/>
      <c r="K918" s="7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25"/>
      <c r="C919" s="25"/>
      <c r="D919" s="4"/>
      <c r="E919" s="4"/>
      <c r="F919" s="4"/>
      <c r="G919" s="4"/>
      <c r="H919" s="72"/>
      <c r="I919" s="73"/>
      <c r="J919" s="74"/>
      <c r="K919" s="7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25"/>
      <c r="C920" s="25"/>
      <c r="D920" s="4"/>
      <c r="E920" s="4"/>
      <c r="F920" s="4"/>
      <c r="G920" s="4"/>
      <c r="H920" s="72"/>
      <c r="I920" s="73"/>
      <c r="J920" s="74"/>
      <c r="K920" s="7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25"/>
      <c r="C921" s="25"/>
      <c r="D921" s="4"/>
      <c r="E921" s="4"/>
      <c r="F921" s="4"/>
      <c r="G921" s="4"/>
      <c r="H921" s="72"/>
      <c r="I921" s="73"/>
      <c r="J921" s="74"/>
      <c r="K921" s="7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25"/>
      <c r="C922" s="25"/>
      <c r="D922" s="4"/>
      <c r="E922" s="4"/>
      <c r="F922" s="4"/>
      <c r="G922" s="4"/>
      <c r="H922" s="72"/>
      <c r="I922" s="73"/>
      <c r="J922" s="74"/>
      <c r="K922" s="7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25"/>
      <c r="C923" s="25"/>
      <c r="D923" s="4"/>
      <c r="E923" s="4"/>
      <c r="F923" s="4"/>
      <c r="G923" s="4"/>
      <c r="H923" s="72"/>
      <c r="I923" s="73"/>
      <c r="J923" s="74"/>
      <c r="K923" s="7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25"/>
      <c r="C924" s="25"/>
      <c r="D924" s="4"/>
      <c r="E924" s="4"/>
      <c r="F924" s="4"/>
      <c r="G924" s="4"/>
      <c r="H924" s="72"/>
      <c r="I924" s="73"/>
      <c r="J924" s="74"/>
      <c r="K924" s="7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25"/>
      <c r="C925" s="25"/>
      <c r="D925" s="4"/>
      <c r="E925" s="4"/>
      <c r="F925" s="4"/>
      <c r="G925" s="4"/>
      <c r="H925" s="72"/>
      <c r="I925" s="73"/>
      <c r="J925" s="74"/>
      <c r="K925" s="7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25"/>
      <c r="C926" s="25"/>
      <c r="D926" s="4"/>
      <c r="E926" s="4"/>
      <c r="F926" s="4"/>
      <c r="G926" s="4"/>
      <c r="H926" s="72"/>
      <c r="I926" s="73"/>
      <c r="J926" s="74"/>
      <c r="K926" s="7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25"/>
      <c r="C927" s="25"/>
      <c r="D927" s="4"/>
      <c r="E927" s="4"/>
      <c r="F927" s="4"/>
      <c r="G927" s="4"/>
      <c r="H927" s="72"/>
      <c r="I927" s="73"/>
      <c r="J927" s="74"/>
      <c r="K927" s="7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25"/>
      <c r="C928" s="25"/>
      <c r="D928" s="4"/>
      <c r="E928" s="4"/>
      <c r="F928" s="4"/>
      <c r="G928" s="4"/>
      <c r="H928" s="72"/>
      <c r="I928" s="73"/>
      <c r="J928" s="74"/>
      <c r="K928" s="7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25"/>
      <c r="C929" s="25"/>
      <c r="D929" s="4"/>
      <c r="E929" s="4"/>
      <c r="F929" s="4"/>
      <c r="G929" s="4"/>
      <c r="H929" s="72"/>
      <c r="I929" s="73"/>
      <c r="J929" s="74"/>
      <c r="K929" s="7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25"/>
      <c r="C930" s="25"/>
      <c r="D930" s="4"/>
      <c r="E930" s="4"/>
      <c r="F930" s="4"/>
      <c r="G930" s="4"/>
      <c r="H930" s="72"/>
      <c r="I930" s="73"/>
      <c r="J930" s="74"/>
      <c r="K930" s="7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25"/>
      <c r="C931" s="25"/>
      <c r="D931" s="4"/>
      <c r="E931" s="4"/>
      <c r="F931" s="4"/>
      <c r="G931" s="4"/>
      <c r="H931" s="72"/>
      <c r="I931" s="73"/>
      <c r="J931" s="74"/>
      <c r="K931" s="7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25"/>
      <c r="C932" s="25"/>
      <c r="D932" s="4"/>
      <c r="E932" s="4"/>
      <c r="F932" s="4"/>
      <c r="G932" s="4"/>
      <c r="H932" s="72"/>
      <c r="I932" s="73"/>
      <c r="J932" s="74"/>
      <c r="K932" s="7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25"/>
      <c r="C933" s="25"/>
      <c r="D933" s="4"/>
      <c r="E933" s="4"/>
      <c r="F933" s="4"/>
      <c r="G933" s="4"/>
      <c r="H933" s="72"/>
      <c r="I933" s="73"/>
      <c r="J933" s="74"/>
      <c r="K933" s="7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25"/>
      <c r="C934" s="25"/>
      <c r="D934" s="4"/>
      <c r="E934" s="4"/>
      <c r="F934" s="4"/>
      <c r="G934" s="4"/>
      <c r="H934" s="72"/>
      <c r="I934" s="73"/>
      <c r="J934" s="74"/>
      <c r="K934" s="7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25"/>
      <c r="C935" s="25"/>
      <c r="D935" s="4"/>
      <c r="E935" s="4"/>
      <c r="F935" s="4"/>
      <c r="G935" s="4"/>
      <c r="H935" s="72"/>
      <c r="I935" s="73"/>
      <c r="J935" s="74"/>
      <c r="K935" s="7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25"/>
      <c r="C936" s="25"/>
      <c r="D936" s="4"/>
      <c r="E936" s="4"/>
      <c r="F936" s="4"/>
      <c r="G936" s="4"/>
      <c r="H936" s="72"/>
      <c r="I936" s="73"/>
      <c r="J936" s="74"/>
      <c r="K936" s="7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25"/>
      <c r="C937" s="25"/>
      <c r="D937" s="4"/>
      <c r="E937" s="4"/>
      <c r="F937" s="4"/>
      <c r="G937" s="4"/>
      <c r="H937" s="72"/>
      <c r="I937" s="73"/>
      <c r="J937" s="74"/>
      <c r="K937" s="7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25"/>
      <c r="C938" s="25"/>
      <c r="D938" s="4"/>
      <c r="E938" s="4"/>
      <c r="F938" s="4"/>
      <c r="G938" s="4"/>
      <c r="H938" s="72"/>
      <c r="I938" s="73"/>
      <c r="J938" s="74"/>
      <c r="K938" s="7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25"/>
      <c r="C939" s="25"/>
      <c r="D939" s="4"/>
      <c r="E939" s="4"/>
      <c r="F939" s="4"/>
      <c r="G939" s="4"/>
      <c r="H939" s="72"/>
      <c r="I939" s="73"/>
      <c r="J939" s="74"/>
      <c r="K939" s="7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25"/>
      <c r="C940" s="25"/>
      <c r="D940" s="4"/>
      <c r="E940" s="4"/>
      <c r="F940" s="4"/>
      <c r="G940" s="4"/>
      <c r="H940" s="72"/>
      <c r="I940" s="73"/>
      <c r="J940" s="74"/>
      <c r="K940" s="7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25"/>
      <c r="C941" s="25"/>
      <c r="D941" s="4"/>
      <c r="E941" s="4"/>
      <c r="F941" s="4"/>
      <c r="G941" s="4"/>
      <c r="H941" s="72"/>
      <c r="I941" s="73"/>
      <c r="J941" s="74"/>
      <c r="K941" s="7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25"/>
      <c r="C942" s="25"/>
      <c r="D942" s="4"/>
      <c r="E942" s="4"/>
      <c r="F942" s="4"/>
      <c r="G942" s="4"/>
      <c r="H942" s="72"/>
      <c r="I942" s="73"/>
      <c r="J942" s="74"/>
      <c r="K942" s="7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25"/>
      <c r="C943" s="25"/>
      <c r="D943" s="4"/>
      <c r="E943" s="4"/>
      <c r="F943" s="4"/>
      <c r="G943" s="4"/>
      <c r="H943" s="72"/>
      <c r="I943" s="73"/>
      <c r="J943" s="74"/>
      <c r="K943" s="7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25"/>
      <c r="C944" s="25"/>
      <c r="D944" s="4"/>
      <c r="E944" s="4"/>
      <c r="F944" s="4"/>
      <c r="G944" s="4"/>
      <c r="H944" s="72"/>
      <c r="I944" s="73"/>
      <c r="J944" s="74"/>
      <c r="K944" s="7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25"/>
      <c r="C945" s="25"/>
      <c r="D945" s="4"/>
      <c r="E945" s="4"/>
      <c r="F945" s="4"/>
      <c r="G945" s="4"/>
      <c r="H945" s="72"/>
      <c r="I945" s="73"/>
      <c r="J945" s="74"/>
      <c r="K945" s="7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25"/>
      <c r="C946" s="25"/>
      <c r="D946" s="4"/>
      <c r="E946" s="4"/>
      <c r="F946" s="4"/>
      <c r="G946" s="4"/>
      <c r="H946" s="72"/>
      <c r="I946" s="73"/>
      <c r="J946" s="74"/>
      <c r="K946" s="7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25"/>
      <c r="C947" s="25"/>
      <c r="D947" s="4"/>
      <c r="E947" s="4"/>
      <c r="F947" s="4"/>
      <c r="G947" s="4"/>
      <c r="H947" s="72"/>
      <c r="I947" s="73"/>
      <c r="J947" s="74"/>
      <c r="K947" s="7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25"/>
      <c r="C948" s="25"/>
      <c r="D948" s="4"/>
      <c r="E948" s="4"/>
      <c r="F948" s="4"/>
      <c r="G948" s="4"/>
      <c r="H948" s="72"/>
      <c r="I948" s="73"/>
      <c r="J948" s="74"/>
      <c r="K948" s="7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25"/>
      <c r="C949" s="25"/>
      <c r="D949" s="4"/>
      <c r="E949" s="4"/>
      <c r="F949" s="4"/>
      <c r="G949" s="4"/>
      <c r="H949" s="72"/>
      <c r="I949" s="73"/>
      <c r="J949" s="74"/>
      <c r="K949" s="7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25"/>
      <c r="C950" s="25"/>
      <c r="D950" s="4"/>
      <c r="E950" s="4"/>
      <c r="F950" s="4"/>
      <c r="G950" s="4"/>
      <c r="H950" s="72"/>
      <c r="I950" s="73"/>
      <c r="J950" s="74"/>
      <c r="K950" s="7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25"/>
      <c r="C951" s="25"/>
      <c r="D951" s="4"/>
      <c r="E951" s="4"/>
      <c r="F951" s="4"/>
      <c r="G951" s="4"/>
      <c r="H951" s="72"/>
      <c r="I951" s="73"/>
      <c r="J951" s="74"/>
      <c r="K951" s="7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25"/>
      <c r="C952" s="25"/>
      <c r="D952" s="4"/>
      <c r="E952" s="4"/>
      <c r="F952" s="4"/>
      <c r="G952" s="4"/>
      <c r="H952" s="72"/>
      <c r="I952" s="73"/>
      <c r="J952" s="74"/>
      <c r="K952" s="7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25"/>
      <c r="C953" s="25"/>
      <c r="D953" s="4"/>
      <c r="E953" s="4"/>
      <c r="F953" s="4"/>
      <c r="G953" s="4"/>
      <c r="H953" s="72"/>
      <c r="I953" s="73"/>
      <c r="J953" s="74"/>
      <c r="K953" s="7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25"/>
      <c r="C954" s="25"/>
      <c r="D954" s="4"/>
      <c r="E954" s="4"/>
      <c r="F954" s="4"/>
      <c r="G954" s="4"/>
      <c r="H954" s="72"/>
      <c r="I954" s="73"/>
      <c r="J954" s="74"/>
      <c r="K954" s="7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25"/>
      <c r="C955" s="25"/>
      <c r="D955" s="4"/>
      <c r="E955" s="4"/>
      <c r="F955" s="4"/>
      <c r="G955" s="4"/>
      <c r="H955" s="72"/>
      <c r="I955" s="73"/>
      <c r="J955" s="74"/>
      <c r="K955" s="7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25"/>
      <c r="C956" s="25"/>
      <c r="D956" s="4"/>
      <c r="E956" s="4"/>
      <c r="F956" s="4"/>
      <c r="G956" s="4"/>
      <c r="H956" s="72"/>
      <c r="I956" s="73"/>
      <c r="J956" s="74"/>
      <c r="K956" s="7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25"/>
      <c r="C957" s="25"/>
      <c r="D957" s="4"/>
      <c r="E957" s="4"/>
      <c r="F957" s="4"/>
      <c r="G957" s="4"/>
      <c r="H957" s="72"/>
      <c r="I957" s="73"/>
      <c r="J957" s="74"/>
      <c r="K957" s="7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25"/>
      <c r="C958" s="25"/>
      <c r="D958" s="4"/>
      <c r="E958" s="4"/>
      <c r="F958" s="4"/>
      <c r="G958" s="4"/>
      <c r="H958" s="72"/>
      <c r="I958" s="73"/>
      <c r="J958" s="74"/>
      <c r="K958" s="7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25"/>
      <c r="C959" s="25"/>
      <c r="D959" s="4"/>
      <c r="E959" s="4"/>
      <c r="F959" s="4"/>
      <c r="G959" s="4"/>
      <c r="H959" s="72"/>
      <c r="I959" s="73"/>
      <c r="J959" s="74"/>
      <c r="K959" s="7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25"/>
      <c r="C960" s="25"/>
      <c r="D960" s="4"/>
      <c r="E960" s="4"/>
      <c r="F960" s="4"/>
      <c r="G960" s="4"/>
      <c r="H960" s="72"/>
      <c r="I960" s="73"/>
      <c r="J960" s="74"/>
      <c r="K960" s="7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25"/>
      <c r="C961" s="25"/>
      <c r="D961" s="4"/>
      <c r="E961" s="4"/>
      <c r="F961" s="4"/>
      <c r="G961" s="4"/>
      <c r="H961" s="72"/>
      <c r="I961" s="73"/>
      <c r="J961" s="74"/>
      <c r="K961" s="7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25"/>
      <c r="C962" s="25"/>
      <c r="D962" s="4"/>
      <c r="E962" s="4"/>
      <c r="F962" s="4"/>
      <c r="G962" s="4"/>
      <c r="H962" s="72"/>
      <c r="I962" s="73"/>
      <c r="J962" s="74"/>
      <c r="K962" s="7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25"/>
      <c r="C963" s="25"/>
      <c r="D963" s="4"/>
      <c r="E963" s="4"/>
      <c r="F963" s="4"/>
      <c r="G963" s="4"/>
      <c r="H963" s="72"/>
      <c r="I963" s="73"/>
      <c r="J963" s="74"/>
      <c r="K963" s="7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25"/>
      <c r="C964" s="25"/>
      <c r="D964" s="4"/>
      <c r="E964" s="4"/>
      <c r="F964" s="4"/>
      <c r="G964" s="4"/>
      <c r="H964" s="72"/>
      <c r="I964" s="73"/>
      <c r="J964" s="74"/>
      <c r="K964" s="7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25"/>
      <c r="C965" s="25"/>
      <c r="D965" s="4"/>
      <c r="E965" s="4"/>
      <c r="F965" s="4"/>
      <c r="G965" s="4"/>
      <c r="H965" s="72"/>
      <c r="I965" s="73"/>
      <c r="J965" s="74"/>
      <c r="K965" s="7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25"/>
      <c r="C966" s="25"/>
      <c r="D966" s="4"/>
      <c r="E966" s="4"/>
      <c r="F966" s="4"/>
      <c r="G966" s="4"/>
      <c r="H966" s="72"/>
      <c r="I966" s="73"/>
      <c r="J966" s="74"/>
      <c r="K966" s="7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25"/>
      <c r="C967" s="25"/>
      <c r="D967" s="4"/>
      <c r="E967" s="4"/>
      <c r="F967" s="4"/>
      <c r="G967" s="4"/>
      <c r="H967" s="72"/>
      <c r="I967" s="73"/>
      <c r="J967" s="74"/>
      <c r="K967" s="7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25"/>
      <c r="C968" s="25"/>
      <c r="D968" s="4"/>
      <c r="E968" s="4"/>
      <c r="F968" s="4"/>
      <c r="G968" s="4"/>
      <c r="H968" s="72"/>
      <c r="I968" s="73"/>
      <c r="J968" s="74"/>
      <c r="K968" s="7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25"/>
      <c r="C969" s="25"/>
      <c r="D969" s="4"/>
      <c r="E969" s="4"/>
      <c r="F969" s="4"/>
      <c r="G969" s="4"/>
      <c r="H969" s="72"/>
      <c r="I969" s="73"/>
      <c r="J969" s="74"/>
      <c r="K969" s="7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25"/>
      <c r="C970" s="25"/>
      <c r="D970" s="4"/>
      <c r="E970" s="4"/>
      <c r="F970" s="4"/>
      <c r="G970" s="4"/>
      <c r="H970" s="72"/>
      <c r="I970" s="73"/>
      <c r="J970" s="74"/>
      <c r="K970" s="7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25"/>
      <c r="C971" s="25"/>
      <c r="D971" s="4"/>
      <c r="E971" s="4"/>
      <c r="F971" s="4"/>
      <c r="G971" s="4"/>
      <c r="H971" s="72"/>
      <c r="I971" s="73"/>
      <c r="J971" s="74"/>
      <c r="K971" s="7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25"/>
      <c r="C972" s="25"/>
      <c r="D972" s="4"/>
      <c r="E972" s="4"/>
      <c r="F972" s="4"/>
      <c r="G972" s="4"/>
      <c r="H972" s="72"/>
      <c r="I972" s="73"/>
      <c r="J972" s="74"/>
      <c r="K972" s="7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25"/>
      <c r="C973" s="25"/>
      <c r="D973" s="4"/>
      <c r="E973" s="4"/>
      <c r="F973" s="4"/>
      <c r="G973" s="4"/>
      <c r="H973" s="72"/>
      <c r="I973" s="73"/>
      <c r="J973" s="74"/>
      <c r="K973" s="7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25"/>
      <c r="C974" s="25"/>
      <c r="D974" s="4"/>
      <c r="E974" s="4"/>
      <c r="F974" s="4"/>
      <c r="G974" s="4"/>
      <c r="H974" s="72"/>
      <c r="I974" s="73"/>
      <c r="J974" s="74"/>
      <c r="K974" s="7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25"/>
      <c r="C975" s="25"/>
      <c r="D975" s="4"/>
      <c r="E975" s="4"/>
      <c r="F975" s="4"/>
      <c r="G975" s="4"/>
      <c r="H975" s="72"/>
      <c r="I975" s="73"/>
      <c r="J975" s="74"/>
      <c r="K975" s="7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25"/>
      <c r="C976" s="25"/>
      <c r="D976" s="4"/>
      <c r="E976" s="4"/>
      <c r="F976" s="4"/>
      <c r="G976" s="4"/>
      <c r="H976" s="72"/>
      <c r="I976" s="73"/>
      <c r="J976" s="74"/>
      <c r="K976" s="7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25"/>
      <c r="C977" s="25"/>
      <c r="D977" s="4"/>
      <c r="E977" s="4"/>
      <c r="F977" s="4"/>
      <c r="G977" s="4"/>
      <c r="H977" s="72"/>
      <c r="I977" s="73"/>
      <c r="J977" s="74"/>
      <c r="K977" s="7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25"/>
      <c r="C978" s="25"/>
      <c r="D978" s="4"/>
      <c r="E978" s="4"/>
      <c r="F978" s="4"/>
      <c r="G978" s="4"/>
      <c r="H978" s="72"/>
      <c r="I978" s="73"/>
      <c r="J978" s="74"/>
      <c r="K978" s="7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25"/>
      <c r="C979" s="25"/>
      <c r="D979" s="4"/>
      <c r="E979" s="4"/>
      <c r="F979" s="4"/>
      <c r="G979" s="4"/>
      <c r="H979" s="72"/>
      <c r="I979" s="73"/>
      <c r="J979" s="74"/>
      <c r="K979" s="7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25"/>
      <c r="C980" s="25"/>
      <c r="D980" s="4"/>
      <c r="E980" s="4"/>
      <c r="F980" s="4"/>
      <c r="G980" s="4"/>
      <c r="H980" s="72"/>
      <c r="I980" s="73"/>
      <c r="J980" s="74"/>
      <c r="K980" s="7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25"/>
      <c r="C981" s="25"/>
      <c r="D981" s="4"/>
      <c r="E981" s="4"/>
      <c r="F981" s="4"/>
      <c r="G981" s="4"/>
      <c r="H981" s="72"/>
      <c r="I981" s="73"/>
      <c r="J981" s="74"/>
      <c r="K981" s="7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</sheetData>
  <mergeCells count="1">
    <mergeCell ref="B9:F14"/>
  </mergeCells>
  <hyperlinks>
    <hyperlink r:id="rId1" ref="K4"/>
    <hyperlink r:id="rId2" ref="K5"/>
    <hyperlink r:id="rId3" ref="K6"/>
  </hyperlinks>
  <printOptions/>
  <pageMargins bottom="1.0" footer="0.0" header="0.0" left="0.75" right="0.75" top="1.0"/>
  <pageSetup orientation="landscape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8.63"/>
    <col customWidth="1" min="3" max="3" width="9.38"/>
    <col customWidth="1" hidden="1" min="4" max="4" width="24.5"/>
    <col customWidth="1" hidden="1" min="5" max="5" width="28.75"/>
    <col customWidth="1" min="6" max="6" width="28.25"/>
    <col customWidth="1" min="7" max="7" width="7.25"/>
    <col customWidth="1" min="8" max="8" width="16.0"/>
    <col customWidth="1" min="9" max="9" width="13.5"/>
    <col customWidth="1" min="10" max="10" width="24.63"/>
    <col customWidth="1" min="11" max="11" width="56.0"/>
    <col customWidth="1" min="12" max="12" width="17.25"/>
    <col customWidth="1" min="13" max="33" width="7.63"/>
  </cols>
  <sheetData>
    <row r="1">
      <c r="A1" s="194"/>
      <c r="B1" s="65"/>
      <c r="C1" s="65"/>
      <c r="D1" s="32"/>
      <c r="E1" s="32"/>
      <c r="F1" s="32"/>
      <c r="G1" s="65"/>
      <c r="H1" s="67"/>
      <c r="I1" s="67"/>
      <c r="J1" s="4"/>
      <c r="K1" s="74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</row>
    <row r="2">
      <c r="A2" s="32"/>
      <c r="B2" s="119" t="s">
        <v>278</v>
      </c>
      <c r="C2" s="119"/>
      <c r="D2" s="32"/>
      <c r="E2" s="32"/>
      <c r="F2" s="32"/>
      <c r="G2" s="65"/>
      <c r="H2" s="67"/>
      <c r="I2" s="67"/>
      <c r="J2" s="4"/>
      <c r="K2" s="7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</row>
    <row r="3">
      <c r="A3" s="120"/>
      <c r="B3" s="195" t="s">
        <v>20</v>
      </c>
      <c r="C3" s="160" t="s">
        <v>22</v>
      </c>
      <c r="D3" s="121" t="s">
        <v>24</v>
      </c>
      <c r="E3" s="121" t="s">
        <v>26</v>
      </c>
      <c r="F3" s="79" t="s">
        <v>28</v>
      </c>
      <c r="G3" s="121" t="s">
        <v>30</v>
      </c>
      <c r="H3" s="80" t="s">
        <v>33</v>
      </c>
      <c r="I3" s="80" t="s">
        <v>36</v>
      </c>
      <c r="J3" s="79" t="s">
        <v>279</v>
      </c>
      <c r="K3" s="81" t="s">
        <v>280</v>
      </c>
      <c r="L3" s="121" t="s">
        <v>16</v>
      </c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</row>
    <row r="4">
      <c r="A4" s="196"/>
      <c r="B4" s="197">
        <v>1.0</v>
      </c>
      <c r="C4" s="198" t="str">
        <f>IF(ISNUMBER(B4), "P06" &amp; TEXT(B4, "00"), "")</f>
        <v>P0601</v>
      </c>
      <c r="D4" s="199" t="s">
        <v>281</v>
      </c>
      <c r="E4" s="199" t="s">
        <v>282</v>
      </c>
      <c r="F4" s="84" t="str">
        <f t="shared" ref="F4:F34" si="1">CONCATENATE(E4," - ",D4)</f>
        <v>Vietnamese Salted Coffee (Iced) - Cà Phê Muối (Đá)</v>
      </c>
      <c r="G4" s="200" t="s">
        <v>89</v>
      </c>
      <c r="H4" s="201">
        <v>10.0</v>
      </c>
      <c r="I4" s="88">
        <f t="shared" ref="I4:I34" si="2">LET(v,H4*1.15,
i,INT(v),
d,v-i,
IF(d&lt;=0.2,
i-0.1,
IF(d&lt;=0.7,
i+0.5,
i+0.9)))
</f>
        <v>11.5</v>
      </c>
      <c r="J4" s="202" t="s">
        <v>283</v>
      </c>
      <c r="K4" s="203" t="s">
        <v>284</v>
      </c>
      <c r="L4" s="130"/>
      <c r="M4" s="32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</row>
    <row r="5">
      <c r="A5" s="196"/>
      <c r="B5" s="153"/>
      <c r="C5" s="204"/>
      <c r="D5" s="199" t="s">
        <v>281</v>
      </c>
      <c r="E5" s="199" t="s">
        <v>282</v>
      </c>
      <c r="F5" s="84" t="str">
        <f t="shared" si="1"/>
        <v>Vietnamese Salted Coffee (Iced) - Cà Phê Muối (Đá)</v>
      </c>
      <c r="G5" s="200" t="s">
        <v>52</v>
      </c>
      <c r="H5" s="201">
        <v>12.9</v>
      </c>
      <c r="I5" s="88">
        <f t="shared" si="2"/>
        <v>14.9</v>
      </c>
      <c r="J5" s="202" t="s">
        <v>283</v>
      </c>
      <c r="K5" s="205"/>
      <c r="L5" s="130"/>
      <c r="M5" s="32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</row>
    <row r="6">
      <c r="A6" s="196"/>
      <c r="B6" s="206">
        <v>2.0</v>
      </c>
      <c r="C6" s="198" t="str">
        <f>IF(ISNUMBER(B6), "P06" &amp; TEXT(B6, "00"), "")</f>
        <v>P0602</v>
      </c>
      <c r="D6" s="199" t="s">
        <v>285</v>
      </c>
      <c r="E6" s="199" t="s">
        <v>286</v>
      </c>
      <c r="F6" s="84" t="str">
        <f t="shared" si="1"/>
        <v>Iced Frap (Coffee) - Cà Phê Muối (Frap)</v>
      </c>
      <c r="G6" s="200" t="s">
        <v>89</v>
      </c>
      <c r="H6" s="131">
        <v>9.9</v>
      </c>
      <c r="I6" s="88">
        <f t="shared" si="2"/>
        <v>11.5</v>
      </c>
      <c r="J6" s="202" t="s">
        <v>287</v>
      </c>
      <c r="K6" s="205"/>
      <c r="L6" s="130"/>
      <c r="M6" s="32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</row>
    <row r="7">
      <c r="A7" s="196"/>
      <c r="B7" s="207"/>
      <c r="C7" s="204"/>
      <c r="D7" s="199" t="s">
        <v>285</v>
      </c>
      <c r="E7" s="199" t="s">
        <v>286</v>
      </c>
      <c r="F7" s="84" t="str">
        <f t="shared" si="1"/>
        <v>Iced Frap (Coffee) - Cà Phê Muối (Frap)</v>
      </c>
      <c r="G7" s="200" t="s">
        <v>52</v>
      </c>
      <c r="H7" s="131">
        <v>11.9</v>
      </c>
      <c r="I7" s="88">
        <f t="shared" si="2"/>
        <v>13.5</v>
      </c>
      <c r="J7" s="202" t="s">
        <v>287</v>
      </c>
      <c r="K7" s="93"/>
      <c r="L7" s="130"/>
      <c r="M7" s="32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6"/>
    </row>
    <row r="8">
      <c r="A8" s="196"/>
      <c r="B8" s="208">
        <v>3.0</v>
      </c>
      <c r="C8" s="209" t="str">
        <f>IF(ISNUMBER(B8), "P06" &amp; TEXT(B8, "00"), "")</f>
        <v>P0603</v>
      </c>
      <c r="D8" s="199" t="s">
        <v>288</v>
      </c>
      <c r="E8" s="199" t="s">
        <v>289</v>
      </c>
      <c r="F8" s="84" t="str">
        <f t="shared" si="1"/>
        <v>Vietnamese Coconut Coffee (Iced) - Cà Phê Dừa (Đá)</v>
      </c>
      <c r="G8" s="200" t="s">
        <v>89</v>
      </c>
      <c r="H8" s="201">
        <v>8.9</v>
      </c>
      <c r="I8" s="88">
        <f t="shared" si="2"/>
        <v>10.5</v>
      </c>
      <c r="J8" s="202" t="s">
        <v>290</v>
      </c>
      <c r="K8" s="203" t="s">
        <v>291</v>
      </c>
      <c r="L8" s="130"/>
      <c r="M8" s="3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  <c r="AD8" s="196"/>
      <c r="AE8" s="196"/>
      <c r="AF8" s="196"/>
      <c r="AG8" s="196"/>
    </row>
    <row r="9">
      <c r="A9" s="196"/>
      <c r="B9" s="93"/>
      <c r="C9" s="93"/>
      <c r="D9" s="199" t="s">
        <v>288</v>
      </c>
      <c r="E9" s="199" t="s">
        <v>289</v>
      </c>
      <c r="F9" s="84" t="str">
        <f t="shared" si="1"/>
        <v>Vietnamese Coconut Coffee (Iced) - Cà Phê Dừa (Đá)</v>
      </c>
      <c r="G9" s="200" t="s">
        <v>52</v>
      </c>
      <c r="H9" s="201">
        <v>10.9</v>
      </c>
      <c r="I9" s="88">
        <f t="shared" si="2"/>
        <v>12.5</v>
      </c>
      <c r="J9" s="202" t="s">
        <v>290</v>
      </c>
      <c r="K9" s="210" t="s">
        <v>291</v>
      </c>
      <c r="L9" s="130"/>
      <c r="M9" s="32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6"/>
    </row>
    <row r="10">
      <c r="A10" s="196"/>
      <c r="B10" s="208">
        <v>4.0</v>
      </c>
      <c r="C10" s="209" t="str">
        <f>IF(ISNUMBER(B10), "P06" &amp; TEXT(B10, "00"), "")</f>
        <v>P0604</v>
      </c>
      <c r="D10" s="211" t="s">
        <v>292</v>
      </c>
      <c r="E10" s="199" t="s">
        <v>293</v>
      </c>
      <c r="F10" s="84" t="str">
        <f t="shared" si="1"/>
        <v>Vietnamese White Coffee - Cà Phê Bạc Xỉu (Đá)</v>
      </c>
      <c r="G10" s="200" t="s">
        <v>294</v>
      </c>
      <c r="H10" s="131">
        <v>6.0</v>
      </c>
      <c r="I10" s="88">
        <f t="shared" si="2"/>
        <v>6.9</v>
      </c>
      <c r="J10" s="212" t="s">
        <v>295</v>
      </c>
      <c r="K10" s="213" t="s">
        <v>296</v>
      </c>
      <c r="L10" s="214"/>
      <c r="M10" s="3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</row>
    <row r="11">
      <c r="A11" s="196"/>
      <c r="B11" s="205"/>
      <c r="C11" s="205"/>
      <c r="D11" s="211" t="s">
        <v>292</v>
      </c>
      <c r="E11" s="199" t="s">
        <v>293</v>
      </c>
      <c r="F11" s="84" t="str">
        <f t="shared" si="1"/>
        <v>Vietnamese White Coffee - Cà Phê Bạc Xỉu (Đá)</v>
      </c>
      <c r="G11" s="215" t="s">
        <v>89</v>
      </c>
      <c r="H11" s="131">
        <v>7.5</v>
      </c>
      <c r="I11" s="88">
        <f t="shared" si="2"/>
        <v>8.5</v>
      </c>
      <c r="J11" s="212" t="s">
        <v>295</v>
      </c>
      <c r="K11" s="151"/>
      <c r="L11" s="214"/>
      <c r="M11" s="32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</row>
    <row r="12">
      <c r="A12" s="196"/>
      <c r="B12" s="93"/>
      <c r="C12" s="93"/>
      <c r="D12" s="211" t="s">
        <v>292</v>
      </c>
      <c r="E12" s="199" t="s">
        <v>293</v>
      </c>
      <c r="F12" s="84" t="str">
        <f t="shared" si="1"/>
        <v>Vietnamese White Coffee - Cà Phê Bạc Xỉu (Đá)</v>
      </c>
      <c r="G12" s="200" t="s">
        <v>52</v>
      </c>
      <c r="H12" s="131">
        <v>9.5</v>
      </c>
      <c r="I12" s="88">
        <f t="shared" si="2"/>
        <v>10.9</v>
      </c>
      <c r="J12" s="212" t="s">
        <v>295</v>
      </c>
      <c r="K12" s="153"/>
      <c r="L12" s="214"/>
      <c r="M12" s="32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</row>
    <row r="13" ht="15.75" customHeight="1">
      <c r="A13" s="32"/>
      <c r="B13" s="208">
        <v>5.0</v>
      </c>
      <c r="C13" s="209" t="str">
        <f>IF(ISNUMBER(B13), "P06" &amp; TEXT(B13, "00"), "")</f>
        <v>P0605</v>
      </c>
      <c r="D13" s="161" t="s">
        <v>297</v>
      </c>
      <c r="E13" s="161" t="s">
        <v>298</v>
      </c>
      <c r="F13" s="84" t="str">
        <f t="shared" si="1"/>
        <v>Vietnamese Black Coffee - Cà Phê Đen ( Đá )</v>
      </c>
      <c r="G13" s="124" t="s">
        <v>294</v>
      </c>
      <c r="H13" s="162">
        <v>6.0</v>
      </c>
      <c r="I13" s="88">
        <f t="shared" si="2"/>
        <v>6.9</v>
      </c>
      <c r="J13" s="84"/>
      <c r="K13" s="216"/>
      <c r="L13" s="125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</row>
    <row r="14" ht="15.75" customHeight="1">
      <c r="A14" s="32"/>
      <c r="B14" s="205"/>
      <c r="C14" s="205"/>
      <c r="D14" s="161" t="s">
        <v>297</v>
      </c>
      <c r="E14" s="161" t="s">
        <v>298</v>
      </c>
      <c r="F14" s="84" t="str">
        <f t="shared" si="1"/>
        <v>Vietnamese Black Coffee - Cà Phê Đen ( Đá )</v>
      </c>
      <c r="G14" s="124" t="s">
        <v>89</v>
      </c>
      <c r="H14" s="162">
        <v>7.5</v>
      </c>
      <c r="I14" s="88">
        <f t="shared" si="2"/>
        <v>8.5</v>
      </c>
      <c r="J14" s="84"/>
      <c r="K14" s="217"/>
      <c r="L14" s="125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</row>
    <row r="15" ht="15.75" customHeight="1">
      <c r="A15" s="32"/>
      <c r="B15" s="93"/>
      <c r="C15" s="93"/>
      <c r="D15" s="161" t="s">
        <v>297</v>
      </c>
      <c r="E15" s="161" t="s">
        <v>298</v>
      </c>
      <c r="F15" s="84" t="str">
        <f t="shared" si="1"/>
        <v>Vietnamese Black Coffee - Cà Phê Đen ( Đá )</v>
      </c>
      <c r="G15" s="124" t="s">
        <v>52</v>
      </c>
      <c r="H15" s="162">
        <v>9.5</v>
      </c>
      <c r="I15" s="88">
        <f t="shared" si="2"/>
        <v>10.9</v>
      </c>
      <c r="J15" s="84"/>
      <c r="K15" s="217"/>
      <c r="L15" s="125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</row>
    <row r="16" ht="15.75" customHeight="1">
      <c r="A16" s="32"/>
      <c r="B16" s="208">
        <v>6.0</v>
      </c>
      <c r="C16" s="209" t="str">
        <f>IF(ISNUMBER(B16), "P06" &amp; TEXT(B16, "00"), "")</f>
        <v>P0606</v>
      </c>
      <c r="D16" s="161" t="s">
        <v>299</v>
      </c>
      <c r="E16" s="161" t="s">
        <v>300</v>
      </c>
      <c r="F16" s="84" t="str">
        <f t="shared" si="1"/>
        <v>Condensed Milk Coffee - Cà Phê Sữa ( Đá )</v>
      </c>
      <c r="G16" s="124" t="s">
        <v>294</v>
      </c>
      <c r="H16" s="162">
        <v>6.0</v>
      </c>
      <c r="I16" s="88">
        <f t="shared" si="2"/>
        <v>6.9</v>
      </c>
      <c r="J16" s="100" t="s">
        <v>301</v>
      </c>
      <c r="K16" s="217"/>
      <c r="L16" s="125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 ht="15.75" customHeight="1">
      <c r="A17" s="32"/>
      <c r="B17" s="205"/>
      <c r="C17" s="205"/>
      <c r="D17" s="161" t="s">
        <v>299</v>
      </c>
      <c r="E17" s="161" t="s">
        <v>300</v>
      </c>
      <c r="F17" s="84" t="str">
        <f t="shared" si="1"/>
        <v>Condensed Milk Coffee - Cà Phê Sữa ( Đá )</v>
      </c>
      <c r="G17" s="124" t="s">
        <v>89</v>
      </c>
      <c r="H17" s="162">
        <v>7.5</v>
      </c>
      <c r="I17" s="88">
        <f t="shared" si="2"/>
        <v>8.5</v>
      </c>
      <c r="J17" s="100" t="s">
        <v>301</v>
      </c>
      <c r="K17" s="217"/>
      <c r="L17" s="125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</row>
    <row r="18" ht="15.75" customHeight="1">
      <c r="A18" s="32"/>
      <c r="B18" s="93"/>
      <c r="C18" s="93"/>
      <c r="D18" s="161" t="s">
        <v>299</v>
      </c>
      <c r="E18" s="161" t="s">
        <v>300</v>
      </c>
      <c r="F18" s="84" t="str">
        <f t="shared" si="1"/>
        <v>Condensed Milk Coffee - Cà Phê Sữa ( Đá )</v>
      </c>
      <c r="G18" s="124" t="s">
        <v>52</v>
      </c>
      <c r="H18" s="162">
        <v>9.5</v>
      </c>
      <c r="I18" s="88">
        <f t="shared" si="2"/>
        <v>10.9</v>
      </c>
      <c r="J18" s="100" t="s">
        <v>301</v>
      </c>
      <c r="K18" s="217"/>
      <c r="L18" s="125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 ht="15.75" customHeight="1">
      <c r="A19" s="32"/>
      <c r="B19" s="208">
        <v>7.0</v>
      </c>
      <c r="C19" s="209" t="str">
        <f>IF(ISNUMBER(B19), "P06" &amp; TEXT(B19, "00"), "")</f>
        <v>P0607</v>
      </c>
      <c r="D19" s="218" t="s">
        <v>302</v>
      </c>
      <c r="E19" s="161" t="s">
        <v>303</v>
      </c>
      <c r="F19" s="84" t="str">
        <f t="shared" si="1"/>
        <v>Iced Latte - Cà Phê Sữa Tươi Đá</v>
      </c>
      <c r="G19" s="124" t="s">
        <v>89</v>
      </c>
      <c r="H19" s="162">
        <v>8.0</v>
      </c>
      <c r="I19" s="88">
        <f t="shared" si="2"/>
        <v>8.9</v>
      </c>
      <c r="J19" s="84"/>
      <c r="K19" s="217"/>
      <c r="L19" s="125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</row>
    <row r="20" ht="15.75" customHeight="1">
      <c r="A20" s="32"/>
      <c r="B20" s="93"/>
      <c r="C20" s="93"/>
      <c r="D20" s="218" t="s">
        <v>302</v>
      </c>
      <c r="E20" s="161" t="s">
        <v>303</v>
      </c>
      <c r="F20" s="84" t="str">
        <f t="shared" si="1"/>
        <v>Iced Latte - Cà Phê Sữa Tươi Đá</v>
      </c>
      <c r="G20" s="124" t="s">
        <v>52</v>
      </c>
      <c r="H20" s="162">
        <v>9.0</v>
      </c>
      <c r="I20" s="88">
        <f t="shared" si="2"/>
        <v>10.5</v>
      </c>
      <c r="J20" s="84"/>
      <c r="K20" s="217"/>
      <c r="L20" s="125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</row>
    <row r="21" ht="15.75" customHeight="1">
      <c r="A21" s="32"/>
      <c r="B21" s="208">
        <v>8.0</v>
      </c>
      <c r="C21" s="209" t="str">
        <f>IF(ISNUMBER(B21), "P06" &amp; TEXT(B21, "00"), "")</f>
        <v>P0608</v>
      </c>
      <c r="D21" s="218" t="s">
        <v>304</v>
      </c>
      <c r="E21" s="161" t="s">
        <v>305</v>
      </c>
      <c r="F21" s="84" t="str">
        <f t="shared" si="1"/>
        <v>Iced Hazelnut Latte - Cà Phê Hazelnut</v>
      </c>
      <c r="G21" s="124" t="s">
        <v>89</v>
      </c>
      <c r="H21" s="162">
        <v>8.5</v>
      </c>
      <c r="I21" s="88">
        <f t="shared" si="2"/>
        <v>9.9</v>
      </c>
      <c r="J21" s="84"/>
      <c r="K21" s="217"/>
      <c r="L21" s="125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</row>
    <row r="22" ht="15.75" customHeight="1">
      <c r="A22" s="32"/>
      <c r="B22" s="93"/>
      <c r="C22" s="93"/>
      <c r="D22" s="218" t="s">
        <v>304</v>
      </c>
      <c r="E22" s="161" t="s">
        <v>305</v>
      </c>
      <c r="F22" s="84" t="str">
        <f t="shared" si="1"/>
        <v>Iced Hazelnut Latte - Cà Phê Hazelnut</v>
      </c>
      <c r="G22" s="124" t="s">
        <v>52</v>
      </c>
      <c r="H22" s="162">
        <v>9.5</v>
      </c>
      <c r="I22" s="88">
        <f t="shared" si="2"/>
        <v>10.9</v>
      </c>
      <c r="J22" s="84"/>
      <c r="K22" s="217"/>
      <c r="L22" s="125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</row>
    <row r="23" ht="15.75" customHeight="1">
      <c r="A23" s="32"/>
      <c r="B23" s="208">
        <v>9.0</v>
      </c>
      <c r="C23" s="209" t="str">
        <f>IF(ISNUMBER(B23), "P06" &amp; TEXT(B23, "00"), "")</f>
        <v>P0609</v>
      </c>
      <c r="D23" s="218" t="s">
        <v>306</v>
      </c>
      <c r="E23" s="161" t="s">
        <v>307</v>
      </c>
      <c r="F23" s="84" t="str">
        <f t="shared" si="1"/>
        <v>Iced Mocha - Mocha đá</v>
      </c>
      <c r="G23" s="124" t="s">
        <v>89</v>
      </c>
      <c r="H23" s="162">
        <v>9.0</v>
      </c>
      <c r="I23" s="88">
        <f t="shared" si="2"/>
        <v>10.5</v>
      </c>
      <c r="J23" s="84"/>
      <c r="K23" s="217"/>
      <c r="L23" s="125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</row>
    <row r="24" ht="15.75" customHeight="1">
      <c r="A24" s="32"/>
      <c r="B24" s="93"/>
      <c r="C24" s="93"/>
      <c r="D24" s="218" t="s">
        <v>306</v>
      </c>
      <c r="E24" s="161" t="s">
        <v>307</v>
      </c>
      <c r="F24" s="84" t="str">
        <f t="shared" si="1"/>
        <v>Iced Mocha - Mocha đá</v>
      </c>
      <c r="G24" s="124" t="s">
        <v>52</v>
      </c>
      <c r="H24" s="162">
        <v>9.5</v>
      </c>
      <c r="I24" s="88">
        <f t="shared" si="2"/>
        <v>10.9</v>
      </c>
      <c r="J24" s="84"/>
      <c r="K24" s="217"/>
      <c r="L24" s="125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</row>
    <row r="25" ht="15.75" customHeight="1">
      <c r="A25" s="32"/>
      <c r="B25" s="208">
        <v>10.0</v>
      </c>
      <c r="C25" s="209" t="str">
        <f>IF(ISNUMBER(B25), "P06" &amp; TEXT(B25, "00"), "")</f>
        <v>P0610</v>
      </c>
      <c r="D25" s="218" t="s">
        <v>308</v>
      </c>
      <c r="E25" s="161" t="s">
        <v>309</v>
      </c>
      <c r="F25" s="84" t="str">
        <f t="shared" si="1"/>
        <v>Iced Chocolate Latte - Chocolate đá</v>
      </c>
      <c r="G25" s="124" t="s">
        <v>89</v>
      </c>
      <c r="H25" s="162">
        <v>8.5</v>
      </c>
      <c r="I25" s="88">
        <f t="shared" si="2"/>
        <v>9.9</v>
      </c>
      <c r="J25" s="84"/>
      <c r="K25" s="217"/>
      <c r="L25" s="125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</row>
    <row r="26" ht="15.75" customHeight="1">
      <c r="A26" s="32"/>
      <c r="B26" s="93"/>
      <c r="C26" s="93"/>
      <c r="D26" s="218" t="s">
        <v>308</v>
      </c>
      <c r="E26" s="161" t="s">
        <v>309</v>
      </c>
      <c r="F26" s="84" t="str">
        <f t="shared" si="1"/>
        <v>Iced Chocolate Latte - Chocolate đá</v>
      </c>
      <c r="G26" s="124" t="s">
        <v>52</v>
      </c>
      <c r="H26" s="162">
        <v>9.0</v>
      </c>
      <c r="I26" s="88">
        <f t="shared" si="2"/>
        <v>10.5</v>
      </c>
      <c r="J26" s="84"/>
      <c r="K26" s="217"/>
      <c r="L26" s="125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</row>
    <row r="27" ht="15.75" customHeight="1">
      <c r="A27" s="219"/>
      <c r="B27" s="208">
        <v>11.0</v>
      </c>
      <c r="C27" s="209" t="str">
        <f>IF(ISNUMBER(B27), "P06" &amp; TEXT(B27, "00"), "")</f>
        <v>P0611</v>
      </c>
      <c r="D27" s="218" t="s">
        <v>310</v>
      </c>
      <c r="E27" s="220" t="s">
        <v>311</v>
      </c>
      <c r="F27" s="84" t="str">
        <f t="shared" si="1"/>
        <v>Iced Long Black - Cà Phê Đá</v>
      </c>
      <c r="G27" s="221" t="s">
        <v>89</v>
      </c>
      <c r="H27" s="222">
        <v>6.9</v>
      </c>
      <c r="I27" s="88">
        <f t="shared" si="2"/>
        <v>7.9</v>
      </c>
      <c r="J27" s="223"/>
      <c r="K27" s="224"/>
      <c r="L27" s="223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</row>
    <row r="28" ht="15.75" customHeight="1">
      <c r="A28" s="219"/>
      <c r="B28" s="93"/>
      <c r="C28" s="93"/>
      <c r="D28" s="218" t="s">
        <v>310</v>
      </c>
      <c r="E28" s="220" t="s">
        <v>311</v>
      </c>
      <c r="F28" s="84" t="str">
        <f t="shared" si="1"/>
        <v>Iced Long Black - Cà Phê Đá</v>
      </c>
      <c r="G28" s="221" t="s">
        <v>52</v>
      </c>
      <c r="H28" s="222">
        <v>8.9</v>
      </c>
      <c r="I28" s="88">
        <f t="shared" si="2"/>
        <v>10.5</v>
      </c>
      <c r="J28" s="223"/>
      <c r="K28" s="224"/>
      <c r="L28" s="223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</row>
    <row r="29" ht="15.75" customHeight="1">
      <c r="A29" s="219"/>
      <c r="B29" s="208">
        <v>12.0</v>
      </c>
      <c r="C29" s="209" t="str">
        <f>IF(ISNUMBER(B29), "P06" &amp; TEXT(B29, "00"), "")</f>
        <v>P0612</v>
      </c>
      <c r="D29" s="218" t="s">
        <v>312</v>
      </c>
      <c r="E29" s="220" t="s">
        <v>313</v>
      </c>
      <c r="F29" s="84" t="str">
        <f t="shared" si="1"/>
        <v>Vanilla Ice Latte - Cà Phê Đá Vanilla</v>
      </c>
      <c r="G29" s="221" t="s">
        <v>89</v>
      </c>
      <c r="H29" s="162">
        <v>8.5</v>
      </c>
      <c r="I29" s="88">
        <f t="shared" si="2"/>
        <v>9.9</v>
      </c>
      <c r="J29" s="223"/>
      <c r="K29" s="224"/>
      <c r="L29" s="223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  <c r="AG29" s="219"/>
    </row>
    <row r="30" ht="15.75" customHeight="1">
      <c r="A30" s="219"/>
      <c r="B30" s="93"/>
      <c r="C30" s="93"/>
      <c r="D30" s="218" t="s">
        <v>312</v>
      </c>
      <c r="E30" s="220" t="s">
        <v>313</v>
      </c>
      <c r="F30" s="84" t="str">
        <f t="shared" si="1"/>
        <v>Vanilla Ice Latte - Cà Phê Đá Vanilla</v>
      </c>
      <c r="G30" s="221" t="s">
        <v>52</v>
      </c>
      <c r="H30" s="162">
        <v>9.5</v>
      </c>
      <c r="I30" s="88">
        <f t="shared" si="2"/>
        <v>10.9</v>
      </c>
      <c r="J30" s="223"/>
      <c r="K30" s="224"/>
      <c r="L30" s="223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</row>
    <row r="31" ht="15.75" customHeight="1">
      <c r="A31" s="219"/>
      <c r="B31" s="208">
        <v>13.0</v>
      </c>
      <c r="C31" s="209" t="str">
        <f>IF(ISNUMBER(B31), "P06" &amp; TEXT(B31, "00"), "")</f>
        <v>P0613</v>
      </c>
      <c r="D31" s="218" t="s">
        <v>314</v>
      </c>
      <c r="E31" s="220" t="s">
        <v>314</v>
      </c>
      <c r="F31" s="84" t="str">
        <f t="shared" si="1"/>
        <v>Chai Latte - Chai Latte</v>
      </c>
      <c r="G31" s="221" t="s">
        <v>89</v>
      </c>
      <c r="H31" s="162">
        <v>8.5</v>
      </c>
      <c r="I31" s="88">
        <f t="shared" si="2"/>
        <v>9.9</v>
      </c>
      <c r="J31" s="223"/>
      <c r="K31" s="224"/>
      <c r="L31" s="223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  <c r="AG31" s="219"/>
    </row>
    <row r="32" ht="15.75" customHeight="1">
      <c r="A32" s="219"/>
      <c r="B32" s="93"/>
      <c r="C32" s="93"/>
      <c r="D32" s="218" t="s">
        <v>314</v>
      </c>
      <c r="E32" s="220" t="s">
        <v>314</v>
      </c>
      <c r="F32" s="84" t="str">
        <f t="shared" si="1"/>
        <v>Chai Latte - Chai Latte</v>
      </c>
      <c r="G32" s="221" t="s">
        <v>52</v>
      </c>
      <c r="H32" s="162">
        <v>9.5</v>
      </c>
      <c r="I32" s="88">
        <f t="shared" si="2"/>
        <v>10.9</v>
      </c>
      <c r="J32" s="223"/>
      <c r="K32" s="224"/>
      <c r="L32" s="223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</row>
    <row r="33" ht="15.75" customHeight="1">
      <c r="A33" s="219"/>
      <c r="B33" s="208">
        <v>14.0</v>
      </c>
      <c r="C33" s="209" t="str">
        <f>IF(ISNUMBER(B33), "P06" &amp; TEXT(B33, "00"), "")</f>
        <v>P0614</v>
      </c>
      <c r="D33" s="218" t="s">
        <v>315</v>
      </c>
      <c r="E33" s="220" t="s">
        <v>316</v>
      </c>
      <c r="F33" s="84" t="str">
        <f t="shared" si="1"/>
        <v>Dirty Chai Latte - Cà Phê Chai</v>
      </c>
      <c r="G33" s="221" t="s">
        <v>89</v>
      </c>
      <c r="H33" s="162">
        <v>9.0</v>
      </c>
      <c r="I33" s="88">
        <f t="shared" si="2"/>
        <v>10.5</v>
      </c>
      <c r="J33" s="223"/>
      <c r="K33" s="224"/>
      <c r="L33" s="223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  <c r="AG33" s="219"/>
    </row>
    <row r="34" ht="15.75" customHeight="1">
      <c r="B34" s="93"/>
      <c r="C34" s="93"/>
      <c r="D34" s="218" t="s">
        <v>315</v>
      </c>
      <c r="E34" s="220" t="s">
        <v>316</v>
      </c>
      <c r="F34" s="84" t="str">
        <f t="shared" si="1"/>
        <v>Dirty Chai Latte - Cà Phê Chai</v>
      </c>
      <c r="G34" s="225" t="s">
        <v>52</v>
      </c>
      <c r="H34" s="162">
        <v>9.5</v>
      </c>
      <c r="I34" s="88">
        <f t="shared" si="2"/>
        <v>10.9</v>
      </c>
      <c r="J34" s="226"/>
      <c r="K34" s="227"/>
      <c r="L34" s="228"/>
      <c r="M34" s="228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29"/>
    </row>
    <row r="35" ht="15.75" customHeight="1">
      <c r="A35" s="32"/>
      <c r="B35" s="65"/>
      <c r="C35" s="65" t="str">
        <f t="shared" ref="C35:C42" si="3">IF(ISNUMBER(B35), "P06" &amp; TEXT(B35, "00"), "")</f>
        <v/>
      </c>
      <c r="D35" s="32"/>
      <c r="E35" s="32"/>
      <c r="F35" s="32"/>
      <c r="G35" s="65"/>
      <c r="H35" s="67"/>
      <c r="I35" s="67"/>
      <c r="J35" s="4"/>
      <c r="K35" s="74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ht="15.75" customHeight="1">
      <c r="A36" s="230"/>
      <c r="B36" s="129" t="s">
        <v>153</v>
      </c>
      <c r="C36" s="129" t="str">
        <f t="shared" si="3"/>
        <v/>
      </c>
      <c r="D36" s="231"/>
      <c r="E36" s="231"/>
      <c r="F36" s="231"/>
      <c r="G36" s="232"/>
      <c r="H36" s="232"/>
      <c r="I36" s="233"/>
      <c r="J36" s="231"/>
      <c r="K36" s="234"/>
      <c r="L36" s="231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32"/>
      <c r="AD36" s="32"/>
      <c r="AE36" s="32"/>
      <c r="AF36" s="32"/>
      <c r="AG36" s="32"/>
    </row>
    <row r="37" ht="15.75" customHeight="1">
      <c r="A37" s="230"/>
      <c r="B37" s="231"/>
      <c r="C37" s="231" t="str">
        <f t="shared" si="3"/>
        <v/>
      </c>
      <c r="D37" s="235" t="s">
        <v>317</v>
      </c>
      <c r="E37" s="235" t="s">
        <v>318</v>
      </c>
      <c r="F37" s="231"/>
      <c r="G37" s="236">
        <v>0.5</v>
      </c>
      <c r="H37" s="88">
        <f t="shared" ref="H37:I37" si="4">LET(v,G37*1.15,
i,INT(v),
d,v-i,
IF(d&lt;=0.2,
i-0.1,
IF(d&lt;=0.7,
i+0.5,
i+0.9)))
</f>
        <v>0.5</v>
      </c>
      <c r="I37" s="88">
        <f t="shared" si="4"/>
        <v>0.5</v>
      </c>
      <c r="J37" s="231"/>
      <c r="K37" s="234"/>
      <c r="L37" s="231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32"/>
      <c r="AD37" s="32"/>
      <c r="AE37" s="32"/>
      <c r="AF37" s="32"/>
      <c r="AG37" s="32"/>
    </row>
    <row r="38" ht="15.75" customHeight="1">
      <c r="A38" s="230"/>
      <c r="B38" s="231"/>
      <c r="C38" s="231" t="str">
        <f t="shared" si="3"/>
        <v/>
      </c>
      <c r="D38" s="237" t="s">
        <v>319</v>
      </c>
      <c r="E38" s="238" t="s">
        <v>320</v>
      </c>
      <c r="F38" s="231"/>
      <c r="G38" s="236">
        <v>0.5</v>
      </c>
      <c r="H38" s="88">
        <f t="shared" ref="H38:I38" si="5">LET(v,G38*1.15,
i,INT(v),
d,v-i,
IF(d&lt;=0.2,
i-0.1,
IF(d&lt;=0.7,
i+0.5,
i+0.9)))
</f>
        <v>0.5</v>
      </c>
      <c r="I38" s="88">
        <f t="shared" si="5"/>
        <v>0.5</v>
      </c>
      <c r="J38" s="231"/>
      <c r="K38" s="234"/>
      <c r="L38" s="231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32"/>
      <c r="AD38" s="32"/>
      <c r="AE38" s="32"/>
      <c r="AF38" s="32"/>
      <c r="AG38" s="32"/>
    </row>
    <row r="39" ht="15.75" customHeight="1">
      <c r="A39" s="230"/>
      <c r="B39" s="231"/>
      <c r="C39" s="231" t="str">
        <f t="shared" si="3"/>
        <v/>
      </c>
      <c r="D39" s="237" t="s">
        <v>321</v>
      </c>
      <c r="E39" s="235" t="s">
        <v>322</v>
      </c>
      <c r="F39" s="231"/>
      <c r="G39" s="239">
        <v>0.5</v>
      </c>
      <c r="H39" s="88">
        <f t="shared" ref="H39:I39" si="6">LET(v,G39*1.15,
i,INT(v),
d,v-i,
IF(d&lt;=0.2,
i-0.1,
IF(d&lt;=0.7,
i+0.5,
i+0.9)))
</f>
        <v>0.5</v>
      </c>
      <c r="I39" s="88">
        <f t="shared" si="6"/>
        <v>0.5</v>
      </c>
      <c r="J39" s="231"/>
      <c r="K39" s="234"/>
      <c r="L39" s="231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32"/>
      <c r="AD39" s="32"/>
      <c r="AE39" s="32"/>
      <c r="AF39" s="32"/>
      <c r="AG39" s="32"/>
    </row>
    <row r="40" ht="15.75" customHeight="1">
      <c r="A40" s="230"/>
      <c r="B40" s="231"/>
      <c r="C40" s="231" t="str">
        <f t="shared" si="3"/>
        <v/>
      </c>
      <c r="D40" s="237" t="s">
        <v>323</v>
      </c>
      <c r="E40" s="235" t="s">
        <v>324</v>
      </c>
      <c r="F40" s="231"/>
      <c r="G40" s="236">
        <v>0.8</v>
      </c>
      <c r="H40" s="88">
        <f t="shared" ref="H40:I40" si="7">LET(v,G40*1.15,
i,INT(v),
d,v-i,
IF(d&lt;=0.2,
i-0.1,
IF(d&lt;=0.7,
i+0.5,
i+0.9)))
</f>
        <v>0.9</v>
      </c>
      <c r="I40" s="88">
        <f t="shared" si="7"/>
        <v>0.9</v>
      </c>
      <c r="J40" s="231"/>
      <c r="K40" s="234"/>
      <c r="L40" s="231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0"/>
      <c r="AB40" s="230"/>
      <c r="AC40" s="32"/>
      <c r="AD40" s="32"/>
      <c r="AE40" s="32"/>
      <c r="AF40" s="32"/>
      <c r="AG40" s="32"/>
    </row>
    <row r="41" ht="15.75" customHeight="1">
      <c r="A41" s="32"/>
      <c r="B41" s="65"/>
      <c r="C41" s="65" t="str">
        <f t="shared" si="3"/>
        <v/>
      </c>
      <c r="D41" s="32"/>
      <c r="E41" s="32"/>
      <c r="F41" s="32"/>
      <c r="G41" s="65"/>
      <c r="H41" s="67"/>
      <c r="I41" s="67"/>
      <c r="J41" s="4"/>
      <c r="K41" s="74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</row>
    <row r="42" ht="15.75" customHeight="1">
      <c r="A42" s="32"/>
      <c r="B42" s="65"/>
      <c r="C42" s="65" t="str">
        <f t="shared" si="3"/>
        <v/>
      </c>
      <c r="D42" s="194" t="s">
        <v>325</v>
      </c>
      <c r="E42" s="32"/>
      <c r="F42" s="32"/>
      <c r="G42" s="65"/>
      <c r="H42" s="67"/>
      <c r="I42" s="67"/>
      <c r="J42" s="4"/>
      <c r="K42" s="74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</row>
    <row r="43" ht="15.75" customHeight="1">
      <c r="A43" s="32"/>
      <c r="B43" s="65"/>
      <c r="C43" s="65"/>
      <c r="D43" s="32"/>
      <c r="E43" s="32"/>
      <c r="F43" s="32"/>
      <c r="G43" s="65"/>
      <c r="H43" s="67"/>
      <c r="I43" s="67"/>
      <c r="J43" s="4"/>
      <c r="K43" s="74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ht="15.75" customHeight="1">
      <c r="A44" s="32"/>
      <c r="B44" s="65"/>
      <c r="C44" s="65"/>
      <c r="D44" s="32"/>
      <c r="E44" s="32"/>
      <c r="F44" s="32"/>
      <c r="G44" s="65"/>
      <c r="H44" s="67"/>
      <c r="I44" s="67"/>
      <c r="J44" s="4"/>
      <c r="K44" s="74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</row>
    <row r="45" ht="15.75" customHeight="1">
      <c r="A45" s="32"/>
      <c r="B45" s="240" t="s">
        <v>326</v>
      </c>
      <c r="C45" s="241"/>
      <c r="D45" s="241"/>
      <c r="E45" s="241"/>
      <c r="F45" s="242"/>
      <c r="G45" s="65"/>
      <c r="H45" s="67"/>
      <c r="I45" s="67"/>
      <c r="J45" s="4"/>
      <c r="K45" s="74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</row>
    <row r="46" ht="15.75" customHeight="1">
      <c r="A46" s="32"/>
      <c r="B46" s="243"/>
      <c r="C46" s="243"/>
      <c r="D46" s="244" t="s">
        <v>327</v>
      </c>
      <c r="E46" s="241"/>
      <c r="F46" s="242"/>
      <c r="G46" s="65"/>
      <c r="H46" s="67"/>
      <c r="I46" s="67"/>
      <c r="J46" s="4"/>
      <c r="K46" s="74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</row>
    <row r="47" ht="15.75" customHeight="1">
      <c r="A47" s="32"/>
      <c r="B47" s="245"/>
      <c r="C47" s="245"/>
      <c r="D47" s="244" t="s">
        <v>328</v>
      </c>
      <c r="E47" s="241"/>
      <c r="F47" s="242"/>
      <c r="G47" s="65"/>
      <c r="H47" s="67"/>
      <c r="I47" s="67"/>
      <c r="J47" s="4"/>
      <c r="K47" s="74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</row>
    <row r="48" ht="15.75" customHeight="1">
      <c r="A48" s="32"/>
      <c r="B48" s="246"/>
      <c r="C48" s="246"/>
      <c r="D48" s="247" t="s">
        <v>329</v>
      </c>
      <c r="E48" s="241"/>
      <c r="F48" s="242"/>
      <c r="G48" s="65"/>
      <c r="H48" s="67"/>
      <c r="I48" s="67"/>
      <c r="J48" s="4"/>
      <c r="K48" s="74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</row>
    <row r="49" ht="15.75" customHeight="1">
      <c r="A49" s="32"/>
      <c r="B49" s="65"/>
      <c r="C49" s="65"/>
      <c r="D49" s="32"/>
      <c r="E49" s="32"/>
      <c r="F49" s="32"/>
      <c r="G49" s="65"/>
      <c r="H49" s="67"/>
      <c r="I49" s="67"/>
      <c r="J49" s="4"/>
      <c r="K49" s="74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</row>
    <row r="50" ht="15.75" customHeight="1">
      <c r="A50" s="32"/>
      <c r="B50" s="65"/>
      <c r="C50" s="65"/>
      <c r="D50" s="32"/>
      <c r="E50" s="32"/>
      <c r="F50" s="32"/>
      <c r="G50" s="65"/>
      <c r="H50" s="67"/>
      <c r="I50" s="67"/>
      <c r="J50" s="4"/>
      <c r="K50" s="74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</row>
    <row r="51" ht="15.75" customHeight="1">
      <c r="A51" s="32"/>
      <c r="B51" s="65"/>
      <c r="C51" s="65"/>
      <c r="D51" s="32"/>
      <c r="E51" s="32"/>
      <c r="F51" s="32"/>
      <c r="G51" s="65"/>
      <c r="H51" s="67"/>
      <c r="I51" s="67"/>
      <c r="J51" s="4"/>
      <c r="K51" s="74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</row>
    <row r="52" ht="15.75" customHeight="1">
      <c r="A52" s="32"/>
      <c r="B52" s="65"/>
      <c r="C52" s="65"/>
      <c r="D52" s="32"/>
      <c r="E52" s="32"/>
      <c r="F52" s="32"/>
      <c r="G52" s="65"/>
      <c r="H52" s="67"/>
      <c r="I52" s="67"/>
      <c r="J52" s="4"/>
      <c r="K52" s="74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</row>
    <row r="53" ht="15.75" customHeight="1">
      <c r="A53" s="32"/>
      <c r="B53" s="65"/>
      <c r="C53" s="65"/>
      <c r="D53" s="32"/>
      <c r="E53" s="32"/>
      <c r="F53" s="32"/>
      <c r="G53" s="65"/>
      <c r="H53" s="67"/>
      <c r="I53" s="67"/>
      <c r="J53" s="4"/>
      <c r="K53" s="74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</row>
    <row r="54" ht="15.75" customHeight="1">
      <c r="A54" s="32"/>
      <c r="B54" s="65"/>
      <c r="C54" s="65"/>
      <c r="D54" s="32"/>
      <c r="E54" s="32"/>
      <c r="F54" s="32"/>
      <c r="G54" s="65"/>
      <c r="H54" s="67"/>
      <c r="I54" s="67"/>
      <c r="J54" s="4"/>
      <c r="K54" s="74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</row>
    <row r="55" ht="15.75" customHeight="1">
      <c r="A55" s="32"/>
      <c r="B55" s="65"/>
      <c r="C55" s="65"/>
      <c r="D55" s="32"/>
      <c r="E55" s="32"/>
      <c r="F55" s="32"/>
      <c r="G55" s="65"/>
      <c r="H55" s="67"/>
      <c r="I55" s="67"/>
      <c r="J55" s="4"/>
      <c r="K55" s="74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</row>
    <row r="56" ht="15.75" customHeight="1">
      <c r="A56" s="32"/>
      <c r="B56" s="65"/>
      <c r="C56" s="65"/>
      <c r="D56" s="32"/>
      <c r="E56" s="32"/>
      <c r="F56" s="32"/>
      <c r="G56" s="65"/>
      <c r="H56" s="67"/>
      <c r="I56" s="67"/>
      <c r="J56" s="4"/>
      <c r="K56" s="74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ht="15.75" customHeight="1">
      <c r="A57" s="32"/>
      <c r="B57" s="65"/>
      <c r="C57" s="65"/>
      <c r="D57" s="32"/>
      <c r="E57" s="32"/>
      <c r="F57" s="32"/>
      <c r="G57" s="65"/>
      <c r="H57" s="67"/>
      <c r="I57" s="67"/>
      <c r="J57" s="4"/>
      <c r="K57" s="74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</row>
    <row r="58" ht="15.75" customHeight="1">
      <c r="A58" s="32"/>
      <c r="B58" s="65"/>
      <c r="C58" s="65"/>
      <c r="D58" s="32"/>
      <c r="E58" s="32"/>
      <c r="F58" s="32"/>
      <c r="G58" s="65"/>
      <c r="H58" s="67"/>
      <c r="I58" s="67"/>
      <c r="J58" s="4"/>
      <c r="K58" s="74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ht="15.75" customHeight="1">
      <c r="A59" s="32"/>
      <c r="B59" s="65"/>
      <c r="C59" s="65"/>
      <c r="D59" s="32"/>
      <c r="E59" s="32"/>
      <c r="F59" s="32"/>
      <c r="G59" s="65"/>
      <c r="H59" s="67"/>
      <c r="I59" s="67"/>
      <c r="J59" s="4"/>
      <c r="K59" s="74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</row>
    <row r="60" ht="15.75" customHeight="1">
      <c r="A60" s="32"/>
      <c r="B60" s="65"/>
      <c r="C60" s="65"/>
      <c r="D60" s="32"/>
      <c r="E60" s="32"/>
      <c r="F60" s="32"/>
      <c r="G60" s="65"/>
      <c r="H60" s="67"/>
      <c r="I60" s="67"/>
      <c r="J60" s="4"/>
      <c r="K60" s="74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</row>
    <row r="61" ht="15.75" customHeight="1">
      <c r="A61" s="32"/>
      <c r="B61" s="65"/>
      <c r="C61" s="65"/>
      <c r="D61" s="32"/>
      <c r="E61" s="32"/>
      <c r="F61" s="32"/>
      <c r="G61" s="65"/>
      <c r="H61" s="67"/>
      <c r="I61" s="67"/>
      <c r="J61" s="4"/>
      <c r="K61" s="74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ht="15.75" customHeight="1">
      <c r="A62" s="32"/>
      <c r="B62" s="65"/>
      <c r="C62" s="65"/>
      <c r="D62" s="32"/>
      <c r="E62" s="32"/>
      <c r="F62" s="32"/>
      <c r="G62" s="65"/>
      <c r="H62" s="67"/>
      <c r="I62" s="67"/>
      <c r="J62" s="4"/>
      <c r="K62" s="74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</row>
    <row r="63" ht="15.75" customHeight="1">
      <c r="A63" s="32"/>
      <c r="B63" s="65"/>
      <c r="C63" s="65"/>
      <c r="D63" s="32"/>
      <c r="E63" s="32"/>
      <c r="F63" s="32"/>
      <c r="G63" s="65"/>
      <c r="H63" s="67"/>
      <c r="I63" s="67"/>
      <c r="J63" s="4"/>
      <c r="K63" s="74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</row>
    <row r="64" ht="15.75" customHeight="1">
      <c r="A64" s="32"/>
      <c r="B64" s="65"/>
      <c r="C64" s="65"/>
      <c r="D64" s="32"/>
      <c r="E64" s="32"/>
      <c r="F64" s="32"/>
      <c r="G64" s="65"/>
      <c r="H64" s="67"/>
      <c r="I64" s="67"/>
      <c r="J64" s="4"/>
      <c r="K64" s="74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</row>
    <row r="65" ht="15.75" customHeight="1">
      <c r="A65" s="32"/>
      <c r="B65" s="65"/>
      <c r="C65" s="65"/>
      <c r="D65" s="32"/>
      <c r="E65" s="32"/>
      <c r="F65" s="32"/>
      <c r="G65" s="65"/>
      <c r="H65" s="67"/>
      <c r="I65" s="67"/>
      <c r="J65" s="4"/>
      <c r="K65" s="74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</row>
    <row r="66" ht="15.75" customHeight="1">
      <c r="A66" s="32"/>
      <c r="B66" s="65"/>
      <c r="C66" s="65"/>
      <c r="D66" s="32"/>
      <c r="E66" s="32"/>
      <c r="F66" s="32"/>
      <c r="G66" s="65"/>
      <c r="H66" s="67"/>
      <c r="I66" s="67"/>
      <c r="J66" s="4"/>
      <c r="K66" s="74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ht="15.75" customHeight="1">
      <c r="A67" s="32"/>
      <c r="B67" s="65"/>
      <c r="C67" s="65"/>
      <c r="D67" s="32"/>
      <c r="E67" s="32"/>
      <c r="F67" s="32"/>
      <c r="G67" s="65"/>
      <c r="H67" s="67"/>
      <c r="I67" s="67"/>
      <c r="J67" s="4"/>
      <c r="K67" s="74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</row>
    <row r="68" ht="15.75" customHeight="1">
      <c r="A68" s="32"/>
      <c r="B68" s="65"/>
      <c r="C68" s="65"/>
      <c r="D68" s="32"/>
      <c r="E68" s="32"/>
      <c r="F68" s="32"/>
      <c r="G68" s="65"/>
      <c r="H68" s="67"/>
      <c r="I68" s="67"/>
      <c r="J68" s="4"/>
      <c r="K68" s="74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ht="15.75" customHeight="1">
      <c r="A69" s="32"/>
      <c r="B69" s="65"/>
      <c r="C69" s="65"/>
      <c r="D69" s="32"/>
      <c r="E69" s="32"/>
      <c r="F69" s="32"/>
      <c r="G69" s="65"/>
      <c r="H69" s="67"/>
      <c r="I69" s="67"/>
      <c r="J69" s="4"/>
      <c r="K69" s="74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</row>
    <row r="70" ht="15.75" customHeight="1">
      <c r="A70" s="32"/>
      <c r="B70" s="65"/>
      <c r="C70" s="65"/>
      <c r="D70" s="32"/>
      <c r="E70" s="32"/>
      <c r="F70" s="32"/>
      <c r="G70" s="65"/>
      <c r="H70" s="67"/>
      <c r="I70" s="67"/>
      <c r="J70" s="4"/>
      <c r="K70" s="74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ht="15.75" customHeight="1">
      <c r="A71" s="32"/>
      <c r="B71" s="65"/>
      <c r="C71" s="65"/>
      <c r="D71" s="32"/>
      <c r="E71" s="32"/>
      <c r="F71" s="32"/>
      <c r="G71" s="65"/>
      <c r="H71" s="67"/>
      <c r="I71" s="67"/>
      <c r="J71" s="4"/>
      <c r="K71" s="74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ht="15.75" customHeight="1">
      <c r="A72" s="32"/>
      <c r="B72" s="65"/>
      <c r="C72" s="65"/>
      <c r="D72" s="32"/>
      <c r="E72" s="32"/>
      <c r="F72" s="32"/>
      <c r="G72" s="65"/>
      <c r="H72" s="67"/>
      <c r="I72" s="67"/>
      <c r="J72" s="4"/>
      <c r="K72" s="74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ht="15.75" customHeight="1">
      <c r="A73" s="32"/>
      <c r="B73" s="65"/>
      <c r="C73" s="65"/>
      <c r="D73" s="32"/>
      <c r="E73" s="32"/>
      <c r="F73" s="32"/>
      <c r="G73" s="65"/>
      <c r="H73" s="67"/>
      <c r="I73" s="67"/>
      <c r="J73" s="4"/>
      <c r="K73" s="74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</row>
    <row r="74" ht="15.75" customHeight="1">
      <c r="A74" s="32"/>
      <c r="B74" s="65"/>
      <c r="C74" s="65"/>
      <c r="D74" s="32"/>
      <c r="E74" s="32"/>
      <c r="F74" s="32"/>
      <c r="G74" s="65"/>
      <c r="H74" s="67"/>
      <c r="I74" s="67"/>
      <c r="J74" s="4"/>
      <c r="K74" s="74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ht="15.75" customHeight="1">
      <c r="A75" s="32"/>
      <c r="B75" s="65"/>
      <c r="C75" s="65"/>
      <c r="D75" s="32"/>
      <c r="E75" s="32"/>
      <c r="F75" s="32"/>
      <c r="G75" s="65"/>
      <c r="H75" s="67"/>
      <c r="I75" s="67"/>
      <c r="J75" s="4"/>
      <c r="K75" s="74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</row>
    <row r="76" ht="15.75" customHeight="1">
      <c r="A76" s="32"/>
      <c r="B76" s="65"/>
      <c r="C76" s="65"/>
      <c r="D76" s="32"/>
      <c r="E76" s="32"/>
      <c r="F76" s="32"/>
      <c r="G76" s="65"/>
      <c r="H76" s="67"/>
      <c r="I76" s="67"/>
      <c r="J76" s="4"/>
      <c r="K76" s="74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ht="15.75" customHeight="1">
      <c r="A77" s="32"/>
      <c r="B77" s="65"/>
      <c r="C77" s="65"/>
      <c r="D77" s="32"/>
      <c r="E77" s="32"/>
      <c r="F77" s="32"/>
      <c r="G77" s="65"/>
      <c r="H77" s="67"/>
      <c r="I77" s="67"/>
      <c r="J77" s="4"/>
      <c r="K77" s="74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</row>
    <row r="78" ht="15.75" customHeight="1">
      <c r="A78" s="32"/>
      <c r="B78" s="65"/>
      <c r="C78" s="65"/>
      <c r="D78" s="32"/>
      <c r="E78" s="32"/>
      <c r="F78" s="32"/>
      <c r="G78" s="65"/>
      <c r="H78" s="67"/>
      <c r="I78" s="67"/>
      <c r="J78" s="4"/>
      <c r="K78" s="74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ht="15.75" customHeight="1">
      <c r="A79" s="32"/>
      <c r="B79" s="65"/>
      <c r="C79" s="65"/>
      <c r="D79" s="32"/>
      <c r="E79" s="32"/>
      <c r="F79" s="32"/>
      <c r="G79" s="65"/>
      <c r="H79" s="67"/>
      <c r="I79" s="67"/>
      <c r="J79" s="4"/>
      <c r="K79" s="74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</row>
    <row r="80" ht="15.75" customHeight="1">
      <c r="A80" s="32"/>
      <c r="B80" s="65"/>
      <c r="C80" s="65"/>
      <c r="D80" s="32"/>
      <c r="E80" s="32"/>
      <c r="F80" s="32"/>
      <c r="G80" s="65"/>
      <c r="H80" s="67"/>
      <c r="I80" s="67"/>
      <c r="J80" s="4"/>
      <c r="K80" s="74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</row>
    <row r="81" ht="15.75" customHeight="1">
      <c r="A81" s="32"/>
      <c r="B81" s="65"/>
      <c r="C81" s="65"/>
      <c r="D81" s="32"/>
      <c r="E81" s="32"/>
      <c r="F81" s="32"/>
      <c r="G81" s="65"/>
      <c r="H81" s="67"/>
      <c r="I81" s="67"/>
      <c r="J81" s="4"/>
      <c r="K81" s="74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</row>
    <row r="82" ht="15.75" customHeight="1">
      <c r="A82" s="32"/>
      <c r="B82" s="65"/>
      <c r="C82" s="65"/>
      <c r="D82" s="32"/>
      <c r="E82" s="32"/>
      <c r="F82" s="32"/>
      <c r="G82" s="65"/>
      <c r="H82" s="67"/>
      <c r="I82" s="67"/>
      <c r="J82" s="4"/>
      <c r="K82" s="74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</row>
    <row r="83" ht="15.75" customHeight="1">
      <c r="A83" s="32"/>
      <c r="B83" s="65"/>
      <c r="C83" s="65"/>
      <c r="D83" s="32"/>
      <c r="E83" s="32"/>
      <c r="F83" s="32"/>
      <c r="G83" s="65"/>
      <c r="H83" s="67"/>
      <c r="I83" s="67"/>
      <c r="J83" s="4"/>
      <c r="K83" s="74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</row>
    <row r="84" ht="15.75" customHeight="1">
      <c r="A84" s="32"/>
      <c r="B84" s="65"/>
      <c r="C84" s="65"/>
      <c r="D84" s="32"/>
      <c r="E84" s="32"/>
      <c r="F84" s="32"/>
      <c r="G84" s="65"/>
      <c r="H84" s="67"/>
      <c r="I84" s="67"/>
      <c r="J84" s="4"/>
      <c r="K84" s="74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</row>
    <row r="85" ht="15.75" customHeight="1">
      <c r="A85" s="32"/>
      <c r="B85" s="65"/>
      <c r="C85" s="65"/>
      <c r="D85" s="32"/>
      <c r="E85" s="32"/>
      <c r="F85" s="32"/>
      <c r="G85" s="65"/>
      <c r="H85" s="67"/>
      <c r="I85" s="67"/>
      <c r="J85" s="4"/>
      <c r="K85" s="74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</row>
    <row r="86" ht="15.75" customHeight="1">
      <c r="A86" s="32"/>
      <c r="B86" s="65"/>
      <c r="C86" s="65"/>
      <c r="D86" s="32"/>
      <c r="E86" s="32"/>
      <c r="F86" s="32"/>
      <c r="G86" s="65"/>
      <c r="H86" s="67"/>
      <c r="I86" s="67"/>
      <c r="J86" s="4"/>
      <c r="K86" s="74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</row>
    <row r="87" ht="15.75" customHeight="1">
      <c r="A87" s="32"/>
      <c r="B87" s="65"/>
      <c r="C87" s="65"/>
      <c r="D87" s="32"/>
      <c r="E87" s="32"/>
      <c r="F87" s="32"/>
      <c r="G87" s="65"/>
      <c r="H87" s="67"/>
      <c r="I87" s="67"/>
      <c r="J87" s="4"/>
      <c r="K87" s="74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</row>
    <row r="88" ht="15.75" customHeight="1">
      <c r="A88" s="32"/>
      <c r="B88" s="65"/>
      <c r="C88" s="65"/>
      <c r="D88" s="32"/>
      <c r="E88" s="32"/>
      <c r="F88" s="32"/>
      <c r="G88" s="65"/>
      <c r="H88" s="67"/>
      <c r="I88" s="67"/>
      <c r="J88" s="4"/>
      <c r="K88" s="74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</row>
    <row r="89" ht="15.75" customHeight="1">
      <c r="A89" s="32"/>
      <c r="B89" s="65"/>
      <c r="C89" s="65"/>
      <c r="D89" s="32"/>
      <c r="E89" s="32"/>
      <c r="F89" s="32"/>
      <c r="G89" s="65"/>
      <c r="H89" s="67"/>
      <c r="I89" s="67"/>
      <c r="J89" s="4"/>
      <c r="K89" s="74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</row>
    <row r="90" ht="15.75" customHeight="1">
      <c r="A90" s="32"/>
      <c r="B90" s="65"/>
      <c r="C90" s="65"/>
      <c r="D90" s="32"/>
      <c r="E90" s="32"/>
      <c r="F90" s="32"/>
      <c r="G90" s="65"/>
      <c r="H90" s="67"/>
      <c r="I90" s="67"/>
      <c r="J90" s="4"/>
      <c r="K90" s="74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</row>
    <row r="91" ht="15.75" customHeight="1">
      <c r="A91" s="32"/>
      <c r="B91" s="65"/>
      <c r="C91" s="65"/>
      <c r="D91" s="32"/>
      <c r="E91" s="32"/>
      <c r="F91" s="32"/>
      <c r="G91" s="65"/>
      <c r="H91" s="67"/>
      <c r="I91" s="67"/>
      <c r="J91" s="4"/>
      <c r="K91" s="74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</row>
    <row r="92" ht="15.75" customHeight="1">
      <c r="A92" s="32"/>
      <c r="B92" s="65"/>
      <c r="C92" s="65"/>
      <c r="D92" s="32"/>
      <c r="E92" s="32"/>
      <c r="F92" s="32"/>
      <c r="G92" s="65"/>
      <c r="H92" s="67"/>
      <c r="I92" s="67"/>
      <c r="J92" s="4"/>
      <c r="K92" s="74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</row>
    <row r="93" ht="15.75" customHeight="1">
      <c r="A93" s="32"/>
      <c r="B93" s="65"/>
      <c r="C93" s="65"/>
      <c r="D93" s="32"/>
      <c r="E93" s="32"/>
      <c r="F93" s="32"/>
      <c r="G93" s="65"/>
      <c r="H93" s="67"/>
      <c r="I93" s="67"/>
      <c r="J93" s="4"/>
      <c r="K93" s="74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</row>
    <row r="94" ht="15.75" customHeight="1">
      <c r="A94" s="32"/>
      <c r="B94" s="65"/>
      <c r="C94" s="65"/>
      <c r="D94" s="32"/>
      <c r="E94" s="32"/>
      <c r="F94" s="32"/>
      <c r="G94" s="65"/>
      <c r="H94" s="67"/>
      <c r="I94" s="67"/>
      <c r="J94" s="4"/>
      <c r="K94" s="74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</row>
    <row r="95" ht="15.75" customHeight="1">
      <c r="A95" s="32"/>
      <c r="B95" s="65"/>
      <c r="C95" s="65"/>
      <c r="D95" s="32"/>
      <c r="E95" s="32"/>
      <c r="F95" s="32"/>
      <c r="G95" s="65"/>
      <c r="H95" s="67"/>
      <c r="I95" s="67"/>
      <c r="J95" s="4"/>
      <c r="K95" s="74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</row>
    <row r="96" ht="15.75" customHeight="1">
      <c r="A96" s="32"/>
      <c r="B96" s="65"/>
      <c r="C96" s="65"/>
      <c r="D96" s="32"/>
      <c r="E96" s="32"/>
      <c r="F96" s="32"/>
      <c r="G96" s="65"/>
      <c r="H96" s="67"/>
      <c r="I96" s="67"/>
      <c r="J96" s="4"/>
      <c r="K96" s="74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</row>
    <row r="97" ht="15.75" customHeight="1">
      <c r="A97" s="32"/>
      <c r="B97" s="65"/>
      <c r="C97" s="65"/>
      <c r="D97" s="32"/>
      <c r="E97" s="32"/>
      <c r="F97" s="32"/>
      <c r="G97" s="65"/>
      <c r="H97" s="67"/>
      <c r="I97" s="67"/>
      <c r="J97" s="4"/>
      <c r="K97" s="74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</row>
    <row r="98" ht="15.75" customHeight="1">
      <c r="A98" s="32"/>
      <c r="B98" s="65"/>
      <c r="C98" s="65"/>
      <c r="D98" s="32"/>
      <c r="E98" s="32"/>
      <c r="F98" s="32"/>
      <c r="G98" s="65"/>
      <c r="H98" s="67"/>
      <c r="I98" s="67"/>
      <c r="J98" s="4"/>
      <c r="K98" s="74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</row>
    <row r="99" ht="15.75" customHeight="1">
      <c r="A99" s="32"/>
      <c r="B99" s="65"/>
      <c r="C99" s="65"/>
      <c r="D99" s="32"/>
      <c r="E99" s="32"/>
      <c r="F99" s="32"/>
      <c r="G99" s="65"/>
      <c r="H99" s="67"/>
      <c r="I99" s="67"/>
      <c r="J99" s="4"/>
      <c r="K99" s="74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</row>
    <row r="100" ht="15.75" customHeight="1">
      <c r="A100" s="32"/>
      <c r="B100" s="65"/>
      <c r="C100" s="65"/>
      <c r="D100" s="32"/>
      <c r="E100" s="32"/>
      <c r="F100" s="32"/>
      <c r="G100" s="65"/>
      <c r="H100" s="67"/>
      <c r="I100" s="67"/>
      <c r="J100" s="4"/>
      <c r="K100" s="74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</row>
    <row r="101" ht="15.75" customHeight="1">
      <c r="A101" s="32"/>
      <c r="B101" s="65"/>
      <c r="C101" s="65"/>
      <c r="D101" s="32"/>
      <c r="E101" s="32"/>
      <c r="F101" s="32"/>
      <c r="G101" s="65"/>
      <c r="H101" s="67"/>
      <c r="I101" s="67"/>
      <c r="J101" s="4"/>
      <c r="K101" s="74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</row>
    <row r="102" ht="15.75" customHeight="1">
      <c r="A102" s="32"/>
      <c r="B102" s="65"/>
      <c r="C102" s="65"/>
      <c r="D102" s="32"/>
      <c r="E102" s="32"/>
      <c r="F102" s="32"/>
      <c r="G102" s="65"/>
      <c r="H102" s="67"/>
      <c r="I102" s="67"/>
      <c r="J102" s="4"/>
      <c r="K102" s="74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</row>
    <row r="103" ht="15.75" customHeight="1">
      <c r="A103" s="32"/>
      <c r="B103" s="65"/>
      <c r="C103" s="65"/>
      <c r="D103" s="32"/>
      <c r="E103" s="32"/>
      <c r="F103" s="32"/>
      <c r="G103" s="65"/>
      <c r="H103" s="67"/>
      <c r="I103" s="67"/>
      <c r="J103" s="4"/>
      <c r="K103" s="74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</row>
    <row r="104" ht="15.75" customHeight="1">
      <c r="A104" s="32"/>
      <c r="B104" s="65"/>
      <c r="C104" s="65"/>
      <c r="D104" s="32"/>
      <c r="E104" s="32"/>
      <c r="F104" s="32"/>
      <c r="G104" s="65"/>
      <c r="H104" s="67"/>
      <c r="I104" s="67"/>
      <c r="J104" s="4"/>
      <c r="K104" s="74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</row>
    <row r="105" ht="15.75" customHeight="1">
      <c r="A105" s="32"/>
      <c r="B105" s="65"/>
      <c r="C105" s="65"/>
      <c r="D105" s="32"/>
      <c r="E105" s="32"/>
      <c r="F105" s="32"/>
      <c r="G105" s="65"/>
      <c r="H105" s="67"/>
      <c r="I105" s="67"/>
      <c r="J105" s="4"/>
      <c r="K105" s="74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</row>
    <row r="106" ht="15.75" customHeight="1">
      <c r="A106" s="32"/>
      <c r="B106" s="65"/>
      <c r="C106" s="65"/>
      <c r="D106" s="32"/>
      <c r="E106" s="32"/>
      <c r="F106" s="32"/>
      <c r="G106" s="65"/>
      <c r="H106" s="67"/>
      <c r="I106" s="67"/>
      <c r="J106" s="4"/>
      <c r="K106" s="74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</row>
    <row r="107" ht="15.75" customHeight="1">
      <c r="A107" s="32"/>
      <c r="B107" s="65"/>
      <c r="C107" s="65"/>
      <c r="D107" s="32"/>
      <c r="E107" s="32"/>
      <c r="F107" s="32"/>
      <c r="G107" s="65"/>
      <c r="H107" s="67"/>
      <c r="I107" s="67"/>
      <c r="J107" s="4"/>
      <c r="K107" s="74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</row>
    <row r="108" ht="15.75" customHeight="1">
      <c r="A108" s="32"/>
      <c r="B108" s="65"/>
      <c r="C108" s="65"/>
      <c r="D108" s="32"/>
      <c r="E108" s="32"/>
      <c r="F108" s="32"/>
      <c r="G108" s="65"/>
      <c r="H108" s="67"/>
      <c r="I108" s="67"/>
      <c r="J108" s="4"/>
      <c r="K108" s="74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</row>
    <row r="109" ht="15.75" customHeight="1">
      <c r="A109" s="32"/>
      <c r="B109" s="65"/>
      <c r="C109" s="65"/>
      <c r="D109" s="32"/>
      <c r="E109" s="32"/>
      <c r="F109" s="32"/>
      <c r="G109" s="65"/>
      <c r="H109" s="67"/>
      <c r="I109" s="67"/>
      <c r="J109" s="4"/>
      <c r="K109" s="74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</row>
    <row r="110" ht="15.75" customHeight="1">
      <c r="A110" s="32"/>
      <c r="B110" s="65"/>
      <c r="C110" s="65"/>
      <c r="D110" s="32"/>
      <c r="E110" s="32"/>
      <c r="F110" s="32"/>
      <c r="G110" s="65"/>
      <c r="H110" s="67"/>
      <c r="I110" s="67"/>
      <c r="J110" s="4"/>
      <c r="K110" s="74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</row>
    <row r="111" ht="15.75" customHeight="1">
      <c r="A111" s="32"/>
      <c r="B111" s="65"/>
      <c r="C111" s="65"/>
      <c r="D111" s="32"/>
      <c r="E111" s="32"/>
      <c r="F111" s="32"/>
      <c r="G111" s="65"/>
      <c r="H111" s="67"/>
      <c r="I111" s="67"/>
      <c r="J111" s="4"/>
      <c r="K111" s="74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</row>
    <row r="112" ht="15.75" customHeight="1">
      <c r="A112" s="32"/>
      <c r="B112" s="65"/>
      <c r="C112" s="65"/>
      <c r="D112" s="32"/>
      <c r="E112" s="32"/>
      <c r="F112" s="32"/>
      <c r="G112" s="65"/>
      <c r="H112" s="67"/>
      <c r="I112" s="67"/>
      <c r="J112" s="4"/>
      <c r="K112" s="74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</row>
    <row r="113" ht="15.75" customHeight="1">
      <c r="A113" s="32"/>
      <c r="B113" s="65"/>
      <c r="C113" s="65"/>
      <c r="D113" s="32"/>
      <c r="E113" s="32"/>
      <c r="F113" s="32"/>
      <c r="G113" s="65"/>
      <c r="H113" s="67"/>
      <c r="I113" s="67"/>
      <c r="J113" s="4"/>
      <c r="K113" s="74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</row>
    <row r="114" ht="15.75" customHeight="1">
      <c r="A114" s="32"/>
      <c r="B114" s="65"/>
      <c r="C114" s="65"/>
      <c r="D114" s="32"/>
      <c r="E114" s="32"/>
      <c r="F114" s="32"/>
      <c r="G114" s="65"/>
      <c r="H114" s="67"/>
      <c r="I114" s="67"/>
      <c r="J114" s="4"/>
      <c r="K114" s="74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</row>
    <row r="115" ht="15.75" customHeight="1">
      <c r="A115" s="32"/>
      <c r="B115" s="65"/>
      <c r="C115" s="65"/>
      <c r="D115" s="32"/>
      <c r="E115" s="32"/>
      <c r="F115" s="32"/>
      <c r="G115" s="65"/>
      <c r="H115" s="67"/>
      <c r="I115" s="67"/>
      <c r="J115" s="4"/>
      <c r="K115" s="74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</row>
    <row r="116" ht="15.75" customHeight="1">
      <c r="A116" s="32"/>
      <c r="B116" s="65"/>
      <c r="C116" s="65"/>
      <c r="D116" s="32"/>
      <c r="E116" s="32"/>
      <c r="F116" s="32"/>
      <c r="G116" s="65"/>
      <c r="H116" s="67"/>
      <c r="I116" s="67"/>
      <c r="J116" s="4"/>
      <c r="K116" s="74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</row>
    <row r="117" ht="15.75" customHeight="1">
      <c r="A117" s="32"/>
      <c r="B117" s="65"/>
      <c r="C117" s="65"/>
      <c r="D117" s="32"/>
      <c r="E117" s="32"/>
      <c r="F117" s="32"/>
      <c r="G117" s="65"/>
      <c r="H117" s="67"/>
      <c r="I117" s="67"/>
      <c r="J117" s="4"/>
      <c r="K117" s="74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</row>
    <row r="118" ht="15.75" customHeight="1">
      <c r="A118" s="32"/>
      <c r="B118" s="65"/>
      <c r="C118" s="65"/>
      <c r="D118" s="32"/>
      <c r="E118" s="32"/>
      <c r="F118" s="32"/>
      <c r="G118" s="65"/>
      <c r="H118" s="67"/>
      <c r="I118" s="67"/>
      <c r="J118" s="4"/>
      <c r="K118" s="74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</row>
    <row r="119" ht="15.75" customHeight="1">
      <c r="A119" s="32"/>
      <c r="B119" s="65"/>
      <c r="C119" s="65"/>
      <c r="D119" s="32"/>
      <c r="E119" s="32"/>
      <c r="F119" s="32"/>
      <c r="G119" s="65"/>
      <c r="H119" s="67"/>
      <c r="I119" s="67"/>
      <c r="J119" s="4"/>
      <c r="K119" s="74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</row>
    <row r="120" ht="15.75" customHeight="1">
      <c r="A120" s="32"/>
      <c r="B120" s="65"/>
      <c r="C120" s="65"/>
      <c r="D120" s="32"/>
      <c r="E120" s="32"/>
      <c r="F120" s="32"/>
      <c r="G120" s="65"/>
      <c r="H120" s="67"/>
      <c r="I120" s="67"/>
      <c r="J120" s="4"/>
      <c r="K120" s="74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</row>
    <row r="121" ht="15.75" customHeight="1">
      <c r="A121" s="32"/>
      <c r="B121" s="65"/>
      <c r="C121" s="65"/>
      <c r="D121" s="32"/>
      <c r="E121" s="32"/>
      <c r="F121" s="32"/>
      <c r="G121" s="65"/>
      <c r="H121" s="67"/>
      <c r="I121" s="67"/>
      <c r="J121" s="4"/>
      <c r="K121" s="74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</row>
    <row r="122" ht="15.75" customHeight="1">
      <c r="A122" s="32"/>
      <c r="B122" s="65"/>
      <c r="C122" s="65"/>
      <c r="D122" s="32"/>
      <c r="E122" s="32"/>
      <c r="F122" s="32"/>
      <c r="G122" s="65"/>
      <c r="H122" s="67"/>
      <c r="I122" s="67"/>
      <c r="J122" s="4"/>
      <c r="K122" s="74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</row>
    <row r="123" ht="15.75" customHeight="1">
      <c r="A123" s="32"/>
      <c r="B123" s="65"/>
      <c r="C123" s="65"/>
      <c r="D123" s="32"/>
      <c r="E123" s="32"/>
      <c r="F123" s="32"/>
      <c r="G123" s="65"/>
      <c r="H123" s="67"/>
      <c r="I123" s="67"/>
      <c r="J123" s="4"/>
      <c r="K123" s="74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</row>
    <row r="124" ht="15.75" customHeight="1">
      <c r="A124" s="32"/>
      <c r="B124" s="65"/>
      <c r="C124" s="65"/>
      <c r="D124" s="32"/>
      <c r="E124" s="32"/>
      <c r="F124" s="32"/>
      <c r="G124" s="65"/>
      <c r="H124" s="67"/>
      <c r="I124" s="67"/>
      <c r="J124" s="4"/>
      <c r="K124" s="74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</row>
    <row r="125" ht="15.75" customHeight="1">
      <c r="A125" s="32"/>
      <c r="B125" s="65"/>
      <c r="C125" s="65"/>
      <c r="D125" s="32"/>
      <c r="E125" s="32"/>
      <c r="F125" s="32"/>
      <c r="G125" s="65"/>
      <c r="H125" s="67"/>
      <c r="I125" s="67"/>
      <c r="J125" s="4"/>
      <c r="K125" s="74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</row>
    <row r="126" ht="15.75" customHeight="1">
      <c r="A126" s="32"/>
      <c r="B126" s="65"/>
      <c r="C126" s="65"/>
      <c r="D126" s="32"/>
      <c r="E126" s="32"/>
      <c r="F126" s="32"/>
      <c r="G126" s="65"/>
      <c r="H126" s="67"/>
      <c r="I126" s="67"/>
      <c r="J126" s="4"/>
      <c r="K126" s="74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</row>
    <row r="127" ht="15.75" customHeight="1">
      <c r="A127" s="32"/>
      <c r="B127" s="65"/>
      <c r="C127" s="65"/>
      <c r="D127" s="32"/>
      <c r="E127" s="32"/>
      <c r="F127" s="32"/>
      <c r="G127" s="65"/>
      <c r="H127" s="67"/>
      <c r="I127" s="67"/>
      <c r="J127" s="4"/>
      <c r="K127" s="74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</row>
    <row r="128" ht="15.75" customHeight="1">
      <c r="A128" s="32"/>
      <c r="B128" s="65"/>
      <c r="C128" s="65"/>
      <c r="D128" s="32"/>
      <c r="E128" s="32"/>
      <c r="F128" s="32"/>
      <c r="G128" s="65"/>
      <c r="H128" s="67"/>
      <c r="I128" s="67"/>
      <c r="J128" s="4"/>
      <c r="K128" s="74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</row>
    <row r="129" ht="15.75" customHeight="1">
      <c r="A129" s="32"/>
      <c r="B129" s="65"/>
      <c r="C129" s="65"/>
      <c r="D129" s="32"/>
      <c r="E129" s="32"/>
      <c r="F129" s="32"/>
      <c r="G129" s="65"/>
      <c r="H129" s="67"/>
      <c r="I129" s="67"/>
      <c r="J129" s="4"/>
      <c r="K129" s="74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</row>
    <row r="130" ht="15.75" customHeight="1">
      <c r="A130" s="32"/>
      <c r="B130" s="65"/>
      <c r="C130" s="65"/>
      <c r="D130" s="32"/>
      <c r="E130" s="32"/>
      <c r="F130" s="32"/>
      <c r="G130" s="65"/>
      <c r="H130" s="67"/>
      <c r="I130" s="67"/>
      <c r="J130" s="4"/>
      <c r="K130" s="74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</row>
    <row r="131" ht="15.75" customHeight="1">
      <c r="A131" s="32"/>
      <c r="B131" s="65"/>
      <c r="C131" s="65"/>
      <c r="D131" s="32"/>
      <c r="E131" s="32"/>
      <c r="F131" s="32"/>
      <c r="G131" s="65"/>
      <c r="H131" s="67"/>
      <c r="I131" s="67"/>
      <c r="J131" s="4"/>
      <c r="K131" s="74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</row>
    <row r="132" ht="15.75" customHeight="1">
      <c r="A132" s="32"/>
      <c r="B132" s="65"/>
      <c r="C132" s="65"/>
      <c r="D132" s="32"/>
      <c r="E132" s="32"/>
      <c r="F132" s="32"/>
      <c r="G132" s="65"/>
      <c r="H132" s="67"/>
      <c r="I132" s="67"/>
      <c r="J132" s="4"/>
      <c r="K132" s="74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</row>
    <row r="133" ht="15.75" customHeight="1">
      <c r="A133" s="32"/>
      <c r="B133" s="65"/>
      <c r="C133" s="65"/>
      <c r="D133" s="32"/>
      <c r="E133" s="32"/>
      <c r="F133" s="32"/>
      <c r="G133" s="65"/>
      <c r="H133" s="67"/>
      <c r="I133" s="67"/>
      <c r="J133" s="4"/>
      <c r="K133" s="74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</row>
    <row r="134" ht="15.75" customHeight="1">
      <c r="A134" s="32"/>
      <c r="B134" s="65"/>
      <c r="C134" s="65"/>
      <c r="D134" s="32"/>
      <c r="E134" s="32"/>
      <c r="F134" s="32"/>
      <c r="G134" s="65"/>
      <c r="H134" s="67"/>
      <c r="I134" s="67"/>
      <c r="J134" s="4"/>
      <c r="K134" s="74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</row>
    <row r="135" ht="15.75" customHeight="1">
      <c r="A135" s="32"/>
      <c r="B135" s="65"/>
      <c r="C135" s="65"/>
      <c r="D135" s="32"/>
      <c r="E135" s="32"/>
      <c r="F135" s="32"/>
      <c r="G135" s="65"/>
      <c r="H135" s="67"/>
      <c r="I135" s="67"/>
      <c r="J135" s="4"/>
      <c r="K135" s="74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</row>
    <row r="136" ht="15.75" customHeight="1">
      <c r="A136" s="32"/>
      <c r="B136" s="65"/>
      <c r="C136" s="65"/>
      <c r="D136" s="32"/>
      <c r="E136" s="32"/>
      <c r="F136" s="32"/>
      <c r="G136" s="65"/>
      <c r="H136" s="67"/>
      <c r="I136" s="67"/>
      <c r="J136" s="4"/>
      <c r="K136" s="74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</row>
    <row r="137" ht="15.75" customHeight="1">
      <c r="A137" s="32"/>
      <c r="B137" s="65"/>
      <c r="C137" s="65"/>
      <c r="D137" s="32"/>
      <c r="E137" s="32"/>
      <c r="F137" s="32"/>
      <c r="G137" s="65"/>
      <c r="H137" s="67"/>
      <c r="I137" s="67"/>
      <c r="J137" s="4"/>
      <c r="K137" s="74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</row>
    <row r="138" ht="15.75" customHeight="1">
      <c r="A138" s="32"/>
      <c r="B138" s="65"/>
      <c r="C138" s="65"/>
      <c r="D138" s="32"/>
      <c r="E138" s="32"/>
      <c r="F138" s="32"/>
      <c r="G138" s="65"/>
      <c r="H138" s="67"/>
      <c r="I138" s="67"/>
      <c r="J138" s="4"/>
      <c r="K138" s="74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</row>
    <row r="139" ht="15.75" customHeight="1">
      <c r="A139" s="32"/>
      <c r="B139" s="65"/>
      <c r="C139" s="65"/>
      <c r="D139" s="32"/>
      <c r="E139" s="32"/>
      <c r="F139" s="32"/>
      <c r="G139" s="65"/>
      <c r="H139" s="67"/>
      <c r="I139" s="67"/>
      <c r="J139" s="4"/>
      <c r="K139" s="74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</row>
    <row r="140" ht="15.75" customHeight="1">
      <c r="A140" s="32"/>
      <c r="B140" s="65"/>
      <c r="C140" s="65"/>
      <c r="D140" s="32"/>
      <c r="E140" s="32"/>
      <c r="F140" s="32"/>
      <c r="G140" s="65"/>
      <c r="H140" s="67"/>
      <c r="I140" s="67"/>
      <c r="J140" s="4"/>
      <c r="K140" s="74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</row>
    <row r="141" ht="15.75" customHeight="1">
      <c r="A141" s="32"/>
      <c r="B141" s="65"/>
      <c r="C141" s="65"/>
      <c r="D141" s="32"/>
      <c r="E141" s="32"/>
      <c r="F141" s="32"/>
      <c r="G141" s="65"/>
      <c r="H141" s="67"/>
      <c r="I141" s="67"/>
      <c r="J141" s="4"/>
      <c r="K141" s="74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</row>
    <row r="142" ht="15.75" customHeight="1">
      <c r="A142" s="32"/>
      <c r="B142" s="65"/>
      <c r="C142" s="65"/>
      <c r="D142" s="32"/>
      <c r="E142" s="32"/>
      <c r="F142" s="32"/>
      <c r="G142" s="65"/>
      <c r="H142" s="67"/>
      <c r="I142" s="67"/>
      <c r="J142" s="4"/>
      <c r="K142" s="74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</row>
    <row r="143" ht="15.75" customHeight="1">
      <c r="A143" s="32"/>
      <c r="B143" s="65"/>
      <c r="C143" s="65"/>
      <c r="D143" s="32"/>
      <c r="E143" s="32"/>
      <c r="F143" s="32"/>
      <c r="G143" s="65"/>
      <c r="H143" s="67"/>
      <c r="I143" s="67"/>
      <c r="J143" s="4"/>
      <c r="K143" s="74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</row>
    <row r="144" ht="15.75" customHeight="1">
      <c r="A144" s="32"/>
      <c r="B144" s="65"/>
      <c r="C144" s="65"/>
      <c r="D144" s="32"/>
      <c r="E144" s="32"/>
      <c r="F144" s="32"/>
      <c r="G144" s="65"/>
      <c r="H144" s="67"/>
      <c r="I144" s="67"/>
      <c r="J144" s="4"/>
      <c r="K144" s="74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</row>
    <row r="145" ht="15.75" customHeight="1">
      <c r="A145" s="32"/>
      <c r="B145" s="65"/>
      <c r="C145" s="65"/>
      <c r="D145" s="32"/>
      <c r="E145" s="32"/>
      <c r="F145" s="32"/>
      <c r="G145" s="65"/>
      <c r="H145" s="67"/>
      <c r="I145" s="67"/>
      <c r="J145" s="4"/>
      <c r="K145" s="74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</row>
    <row r="146" ht="15.75" customHeight="1">
      <c r="A146" s="32"/>
      <c r="B146" s="65"/>
      <c r="C146" s="65"/>
      <c r="D146" s="32"/>
      <c r="E146" s="32"/>
      <c r="F146" s="32"/>
      <c r="G146" s="65"/>
      <c r="H146" s="67"/>
      <c r="I146" s="67"/>
      <c r="J146" s="4"/>
      <c r="K146" s="74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</row>
    <row r="147" ht="15.75" customHeight="1">
      <c r="A147" s="32"/>
      <c r="B147" s="65"/>
      <c r="C147" s="65"/>
      <c r="D147" s="32"/>
      <c r="E147" s="32"/>
      <c r="F147" s="32"/>
      <c r="G147" s="65"/>
      <c r="H147" s="67"/>
      <c r="I147" s="67"/>
      <c r="J147" s="4"/>
      <c r="K147" s="74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</row>
    <row r="148" ht="15.75" customHeight="1">
      <c r="A148" s="32"/>
      <c r="B148" s="65"/>
      <c r="C148" s="65"/>
      <c r="D148" s="32"/>
      <c r="E148" s="32"/>
      <c r="F148" s="32"/>
      <c r="G148" s="65"/>
      <c r="H148" s="67"/>
      <c r="I148" s="67"/>
      <c r="J148" s="4"/>
      <c r="K148" s="74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</row>
    <row r="149" ht="15.75" customHeight="1">
      <c r="A149" s="32"/>
      <c r="B149" s="65"/>
      <c r="C149" s="65"/>
      <c r="D149" s="32"/>
      <c r="E149" s="32"/>
      <c r="F149" s="32"/>
      <c r="G149" s="65"/>
      <c r="H149" s="67"/>
      <c r="I149" s="67"/>
      <c r="J149" s="4"/>
      <c r="K149" s="74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</row>
    <row r="150" ht="15.75" customHeight="1">
      <c r="A150" s="32"/>
      <c r="B150" s="65"/>
      <c r="C150" s="65"/>
      <c r="D150" s="32"/>
      <c r="E150" s="32"/>
      <c r="F150" s="32"/>
      <c r="G150" s="65"/>
      <c r="H150" s="67"/>
      <c r="I150" s="67"/>
      <c r="J150" s="4"/>
      <c r="K150" s="74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</row>
    <row r="151" ht="15.75" customHeight="1">
      <c r="A151" s="32"/>
      <c r="B151" s="65"/>
      <c r="C151" s="65"/>
      <c r="D151" s="32"/>
      <c r="E151" s="32"/>
      <c r="F151" s="32"/>
      <c r="G151" s="65"/>
      <c r="H151" s="67"/>
      <c r="I151" s="67"/>
      <c r="J151" s="4"/>
      <c r="K151" s="74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</row>
    <row r="152" ht="15.75" customHeight="1">
      <c r="A152" s="32"/>
      <c r="B152" s="65"/>
      <c r="C152" s="65"/>
      <c r="D152" s="32"/>
      <c r="E152" s="32"/>
      <c r="F152" s="32"/>
      <c r="G152" s="65"/>
      <c r="H152" s="67"/>
      <c r="I152" s="67"/>
      <c r="J152" s="4"/>
      <c r="K152" s="74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</row>
    <row r="153" ht="15.75" customHeight="1">
      <c r="A153" s="32"/>
      <c r="B153" s="65"/>
      <c r="C153" s="65"/>
      <c r="D153" s="32"/>
      <c r="E153" s="32"/>
      <c r="F153" s="32"/>
      <c r="G153" s="65"/>
      <c r="H153" s="67"/>
      <c r="I153" s="67"/>
      <c r="J153" s="4"/>
      <c r="K153" s="74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</row>
    <row r="154" ht="15.75" customHeight="1">
      <c r="A154" s="32"/>
      <c r="B154" s="65"/>
      <c r="C154" s="65"/>
      <c r="D154" s="32"/>
      <c r="E154" s="32"/>
      <c r="F154" s="32"/>
      <c r="G154" s="65"/>
      <c r="H154" s="67"/>
      <c r="I154" s="67"/>
      <c r="J154" s="4"/>
      <c r="K154" s="74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</row>
    <row r="155" ht="15.75" customHeight="1">
      <c r="A155" s="32"/>
      <c r="B155" s="65"/>
      <c r="C155" s="65"/>
      <c r="D155" s="32"/>
      <c r="E155" s="32"/>
      <c r="F155" s="32"/>
      <c r="G155" s="65"/>
      <c r="H155" s="67"/>
      <c r="I155" s="67"/>
      <c r="J155" s="4"/>
      <c r="K155" s="74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</row>
    <row r="156" ht="15.75" customHeight="1">
      <c r="A156" s="32"/>
      <c r="B156" s="65"/>
      <c r="C156" s="65"/>
      <c r="D156" s="32"/>
      <c r="E156" s="32"/>
      <c r="F156" s="32"/>
      <c r="G156" s="65"/>
      <c r="H156" s="67"/>
      <c r="I156" s="67"/>
      <c r="J156" s="4"/>
      <c r="K156" s="74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</row>
    <row r="157" ht="15.75" customHeight="1">
      <c r="A157" s="32"/>
      <c r="B157" s="65"/>
      <c r="C157" s="65"/>
      <c r="D157" s="32"/>
      <c r="E157" s="32"/>
      <c r="F157" s="32"/>
      <c r="G157" s="65"/>
      <c r="H157" s="67"/>
      <c r="I157" s="67"/>
      <c r="J157" s="4"/>
      <c r="K157" s="74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</row>
    <row r="158" ht="15.75" customHeight="1">
      <c r="A158" s="32"/>
      <c r="B158" s="65"/>
      <c r="C158" s="65"/>
      <c r="D158" s="32"/>
      <c r="E158" s="32"/>
      <c r="F158" s="32"/>
      <c r="G158" s="65"/>
      <c r="H158" s="67"/>
      <c r="I158" s="67"/>
      <c r="J158" s="4"/>
      <c r="K158" s="74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</row>
    <row r="159" ht="15.75" customHeight="1">
      <c r="A159" s="32"/>
      <c r="B159" s="65"/>
      <c r="C159" s="65"/>
      <c r="D159" s="32"/>
      <c r="E159" s="32"/>
      <c r="F159" s="32"/>
      <c r="G159" s="65"/>
      <c r="H159" s="67"/>
      <c r="I159" s="67"/>
      <c r="J159" s="4"/>
      <c r="K159" s="74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</row>
    <row r="160" ht="15.75" customHeight="1">
      <c r="A160" s="32"/>
      <c r="B160" s="65"/>
      <c r="C160" s="65"/>
      <c r="D160" s="32"/>
      <c r="E160" s="32"/>
      <c r="F160" s="32"/>
      <c r="G160" s="65"/>
      <c r="H160" s="67"/>
      <c r="I160" s="67"/>
      <c r="J160" s="4"/>
      <c r="K160" s="74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</row>
    <row r="161" ht="15.75" customHeight="1">
      <c r="A161" s="32"/>
      <c r="B161" s="65"/>
      <c r="C161" s="65"/>
      <c r="D161" s="32"/>
      <c r="E161" s="32"/>
      <c r="F161" s="32"/>
      <c r="G161" s="65"/>
      <c r="H161" s="67"/>
      <c r="I161" s="67"/>
      <c r="J161" s="4"/>
      <c r="K161" s="74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</row>
    <row r="162" ht="15.75" customHeight="1">
      <c r="A162" s="32"/>
      <c r="B162" s="65"/>
      <c r="C162" s="65"/>
      <c r="D162" s="32"/>
      <c r="E162" s="32"/>
      <c r="F162" s="32"/>
      <c r="G162" s="65"/>
      <c r="H162" s="67"/>
      <c r="I162" s="67"/>
      <c r="J162" s="4"/>
      <c r="K162" s="74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</row>
    <row r="163" ht="15.75" customHeight="1">
      <c r="A163" s="32"/>
      <c r="B163" s="65"/>
      <c r="C163" s="65"/>
      <c r="D163" s="32"/>
      <c r="E163" s="32"/>
      <c r="F163" s="32"/>
      <c r="G163" s="65"/>
      <c r="H163" s="67"/>
      <c r="I163" s="67"/>
      <c r="J163" s="4"/>
      <c r="K163" s="74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</row>
    <row r="164" ht="15.75" customHeight="1">
      <c r="A164" s="32"/>
      <c r="B164" s="65"/>
      <c r="C164" s="65"/>
      <c r="D164" s="32"/>
      <c r="E164" s="32"/>
      <c r="F164" s="32"/>
      <c r="G164" s="65"/>
      <c r="H164" s="67"/>
      <c r="I164" s="67"/>
      <c r="J164" s="4"/>
      <c r="K164" s="74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</row>
    <row r="165" ht="15.75" customHeight="1">
      <c r="A165" s="32"/>
      <c r="B165" s="65"/>
      <c r="C165" s="65"/>
      <c r="D165" s="32"/>
      <c r="E165" s="32"/>
      <c r="F165" s="32"/>
      <c r="G165" s="65"/>
      <c r="H165" s="67"/>
      <c r="I165" s="67"/>
      <c r="J165" s="4"/>
      <c r="K165" s="74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</row>
    <row r="166" ht="15.75" customHeight="1">
      <c r="A166" s="32"/>
      <c r="B166" s="65"/>
      <c r="C166" s="65"/>
      <c r="D166" s="32"/>
      <c r="E166" s="32"/>
      <c r="F166" s="32"/>
      <c r="G166" s="65"/>
      <c r="H166" s="67"/>
      <c r="I166" s="67"/>
      <c r="J166" s="4"/>
      <c r="K166" s="74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</row>
    <row r="167" ht="15.75" customHeight="1">
      <c r="A167" s="32"/>
      <c r="B167" s="65"/>
      <c r="C167" s="65"/>
      <c r="D167" s="32"/>
      <c r="E167" s="32"/>
      <c r="F167" s="32"/>
      <c r="G167" s="65"/>
      <c r="H167" s="67"/>
      <c r="I167" s="67"/>
      <c r="J167" s="4"/>
      <c r="K167" s="74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</row>
    <row r="168" ht="15.75" customHeight="1">
      <c r="A168" s="32"/>
      <c r="B168" s="65"/>
      <c r="C168" s="65"/>
      <c r="D168" s="32"/>
      <c r="E168" s="32"/>
      <c r="F168" s="32"/>
      <c r="G168" s="65"/>
      <c r="H168" s="67"/>
      <c r="I168" s="67"/>
      <c r="J168" s="4"/>
      <c r="K168" s="74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</row>
    <row r="169" ht="15.75" customHeight="1">
      <c r="A169" s="32"/>
      <c r="B169" s="65"/>
      <c r="C169" s="65"/>
      <c r="D169" s="32"/>
      <c r="E169" s="32"/>
      <c r="F169" s="32"/>
      <c r="G169" s="65"/>
      <c r="H169" s="67"/>
      <c r="I169" s="67"/>
      <c r="J169" s="4"/>
      <c r="K169" s="74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</row>
    <row r="170" ht="15.75" customHeight="1">
      <c r="A170" s="32"/>
      <c r="B170" s="65"/>
      <c r="C170" s="65"/>
      <c r="D170" s="32"/>
      <c r="E170" s="32"/>
      <c r="F170" s="32"/>
      <c r="G170" s="65"/>
      <c r="H170" s="67"/>
      <c r="I170" s="67"/>
      <c r="J170" s="4"/>
      <c r="K170" s="74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</row>
    <row r="171" ht="15.75" customHeight="1">
      <c r="A171" s="32"/>
      <c r="B171" s="65"/>
      <c r="C171" s="65"/>
      <c r="D171" s="32"/>
      <c r="E171" s="32"/>
      <c r="F171" s="32"/>
      <c r="G171" s="65"/>
      <c r="H171" s="67"/>
      <c r="I171" s="67"/>
      <c r="J171" s="4"/>
      <c r="K171" s="74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</row>
    <row r="172" ht="15.75" customHeight="1">
      <c r="A172" s="32"/>
      <c r="B172" s="65"/>
      <c r="C172" s="65"/>
      <c r="D172" s="32"/>
      <c r="E172" s="32"/>
      <c r="F172" s="32"/>
      <c r="G172" s="65"/>
      <c r="H172" s="67"/>
      <c r="I172" s="67"/>
      <c r="J172" s="4"/>
      <c r="K172" s="74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</row>
    <row r="173" ht="15.75" customHeight="1">
      <c r="A173" s="32"/>
      <c r="B173" s="65"/>
      <c r="C173" s="65"/>
      <c r="D173" s="32"/>
      <c r="E173" s="32"/>
      <c r="F173" s="32"/>
      <c r="G173" s="65"/>
      <c r="H173" s="67"/>
      <c r="I173" s="67"/>
      <c r="J173" s="4"/>
      <c r="K173" s="74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</row>
    <row r="174" ht="15.75" customHeight="1">
      <c r="A174" s="32"/>
      <c r="B174" s="65"/>
      <c r="C174" s="65"/>
      <c r="D174" s="32"/>
      <c r="E174" s="32"/>
      <c r="F174" s="32"/>
      <c r="G174" s="65"/>
      <c r="H174" s="67"/>
      <c r="I174" s="67"/>
      <c r="J174" s="4"/>
      <c r="K174" s="74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</row>
    <row r="175" ht="15.75" customHeight="1">
      <c r="A175" s="32"/>
      <c r="B175" s="65"/>
      <c r="C175" s="65"/>
      <c r="D175" s="32"/>
      <c r="E175" s="32"/>
      <c r="F175" s="32"/>
      <c r="G175" s="65"/>
      <c r="H175" s="67"/>
      <c r="I175" s="67"/>
      <c r="J175" s="4"/>
      <c r="K175" s="74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</row>
    <row r="176" ht="15.75" customHeight="1">
      <c r="A176" s="32"/>
      <c r="B176" s="65"/>
      <c r="C176" s="65"/>
      <c r="D176" s="32"/>
      <c r="E176" s="32"/>
      <c r="F176" s="32"/>
      <c r="G176" s="65"/>
      <c r="H176" s="67"/>
      <c r="I176" s="67"/>
      <c r="J176" s="4"/>
      <c r="K176" s="74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</row>
    <row r="177" ht="15.75" customHeight="1">
      <c r="A177" s="32"/>
      <c r="B177" s="65"/>
      <c r="C177" s="65"/>
      <c r="D177" s="32"/>
      <c r="E177" s="32"/>
      <c r="F177" s="32"/>
      <c r="G177" s="65"/>
      <c r="H177" s="67"/>
      <c r="I177" s="67"/>
      <c r="J177" s="4"/>
      <c r="K177" s="74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</row>
    <row r="178" ht="15.75" customHeight="1">
      <c r="A178" s="32"/>
      <c r="B178" s="65"/>
      <c r="C178" s="65"/>
      <c r="D178" s="32"/>
      <c r="E178" s="32"/>
      <c r="F178" s="32"/>
      <c r="G178" s="65"/>
      <c r="H178" s="67"/>
      <c r="I178" s="67"/>
      <c r="J178" s="4"/>
      <c r="K178" s="74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</row>
    <row r="179" ht="15.75" customHeight="1">
      <c r="A179" s="32"/>
      <c r="B179" s="65"/>
      <c r="C179" s="65"/>
      <c r="D179" s="32"/>
      <c r="E179" s="32"/>
      <c r="F179" s="32"/>
      <c r="G179" s="65"/>
      <c r="H179" s="67"/>
      <c r="I179" s="67"/>
      <c r="J179" s="4"/>
      <c r="K179" s="74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</row>
    <row r="180" ht="15.75" customHeight="1">
      <c r="A180" s="32"/>
      <c r="B180" s="65"/>
      <c r="C180" s="65"/>
      <c r="D180" s="32"/>
      <c r="E180" s="32"/>
      <c r="F180" s="32"/>
      <c r="G180" s="65"/>
      <c r="H180" s="67"/>
      <c r="I180" s="67"/>
      <c r="J180" s="4"/>
      <c r="K180" s="74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</row>
    <row r="181" ht="15.75" customHeight="1">
      <c r="A181" s="32"/>
      <c r="B181" s="65"/>
      <c r="C181" s="65"/>
      <c r="D181" s="32"/>
      <c r="E181" s="32"/>
      <c r="F181" s="32"/>
      <c r="G181" s="65"/>
      <c r="H181" s="67"/>
      <c r="I181" s="67"/>
      <c r="J181" s="4"/>
      <c r="K181" s="74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</row>
    <row r="182" ht="15.75" customHeight="1">
      <c r="A182" s="32"/>
      <c r="B182" s="65"/>
      <c r="C182" s="65"/>
      <c r="D182" s="32"/>
      <c r="E182" s="32"/>
      <c r="F182" s="32"/>
      <c r="G182" s="65"/>
      <c r="H182" s="67"/>
      <c r="I182" s="67"/>
      <c r="J182" s="4"/>
      <c r="K182" s="74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</row>
    <row r="183" ht="15.75" customHeight="1">
      <c r="A183" s="32"/>
      <c r="B183" s="65"/>
      <c r="C183" s="65"/>
      <c r="D183" s="32"/>
      <c r="E183" s="32"/>
      <c r="F183" s="32"/>
      <c r="G183" s="65"/>
      <c r="H183" s="67"/>
      <c r="I183" s="67"/>
      <c r="J183" s="4"/>
      <c r="K183" s="74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</row>
    <row r="184" ht="15.75" customHeight="1">
      <c r="A184" s="32"/>
      <c r="B184" s="65"/>
      <c r="C184" s="65"/>
      <c r="D184" s="32"/>
      <c r="E184" s="32"/>
      <c r="F184" s="32"/>
      <c r="G184" s="65"/>
      <c r="H184" s="67"/>
      <c r="I184" s="67"/>
      <c r="J184" s="4"/>
      <c r="K184" s="74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</row>
    <row r="185" ht="15.75" customHeight="1">
      <c r="A185" s="32"/>
      <c r="B185" s="65"/>
      <c r="C185" s="65"/>
      <c r="D185" s="32"/>
      <c r="E185" s="32"/>
      <c r="F185" s="32"/>
      <c r="G185" s="65"/>
      <c r="H185" s="67"/>
      <c r="I185" s="67"/>
      <c r="J185" s="4"/>
      <c r="K185" s="74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</row>
    <row r="186" ht="15.75" customHeight="1">
      <c r="A186" s="32"/>
      <c r="B186" s="65"/>
      <c r="C186" s="65"/>
      <c r="D186" s="32"/>
      <c r="E186" s="32"/>
      <c r="F186" s="32"/>
      <c r="G186" s="65"/>
      <c r="H186" s="67"/>
      <c r="I186" s="67"/>
      <c r="J186" s="4"/>
      <c r="K186" s="74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</row>
    <row r="187" ht="15.75" customHeight="1">
      <c r="A187" s="32"/>
      <c r="B187" s="65"/>
      <c r="C187" s="65"/>
      <c r="D187" s="32"/>
      <c r="E187" s="32"/>
      <c r="F187" s="32"/>
      <c r="G187" s="65"/>
      <c r="H187" s="67"/>
      <c r="I187" s="67"/>
      <c r="J187" s="4"/>
      <c r="K187" s="74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</row>
    <row r="188" ht="15.75" customHeight="1">
      <c r="A188" s="32"/>
      <c r="B188" s="65"/>
      <c r="C188" s="65"/>
      <c r="D188" s="32"/>
      <c r="E188" s="32"/>
      <c r="F188" s="32"/>
      <c r="G188" s="65"/>
      <c r="H188" s="67"/>
      <c r="I188" s="67"/>
      <c r="J188" s="4"/>
      <c r="K188" s="74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</row>
    <row r="189" ht="15.75" customHeight="1">
      <c r="A189" s="32"/>
      <c r="B189" s="65"/>
      <c r="C189" s="65"/>
      <c r="D189" s="32"/>
      <c r="E189" s="32"/>
      <c r="F189" s="32"/>
      <c r="G189" s="65"/>
      <c r="H189" s="67"/>
      <c r="I189" s="67"/>
      <c r="J189" s="4"/>
      <c r="K189" s="74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</row>
    <row r="190" ht="15.75" customHeight="1">
      <c r="A190" s="32"/>
      <c r="B190" s="65"/>
      <c r="C190" s="65"/>
      <c r="D190" s="32"/>
      <c r="E190" s="32"/>
      <c r="F190" s="32"/>
      <c r="G190" s="65"/>
      <c r="H190" s="67"/>
      <c r="I190" s="67"/>
      <c r="J190" s="4"/>
      <c r="K190" s="74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</row>
    <row r="191" ht="15.75" customHeight="1">
      <c r="A191" s="32"/>
      <c r="B191" s="65"/>
      <c r="C191" s="65"/>
      <c r="D191" s="32"/>
      <c r="E191" s="32"/>
      <c r="F191" s="32"/>
      <c r="G191" s="65"/>
      <c r="H191" s="67"/>
      <c r="I191" s="67"/>
      <c r="J191" s="4"/>
      <c r="K191" s="74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</row>
    <row r="192" ht="15.75" customHeight="1">
      <c r="A192" s="32"/>
      <c r="B192" s="65"/>
      <c r="C192" s="65"/>
      <c r="D192" s="32"/>
      <c r="E192" s="32"/>
      <c r="F192" s="32"/>
      <c r="G192" s="65"/>
      <c r="H192" s="67"/>
      <c r="I192" s="67"/>
      <c r="J192" s="4"/>
      <c r="K192" s="74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</row>
    <row r="193" ht="15.75" customHeight="1">
      <c r="A193" s="32"/>
      <c r="B193" s="65"/>
      <c r="C193" s="65"/>
      <c r="D193" s="32"/>
      <c r="E193" s="32"/>
      <c r="F193" s="32"/>
      <c r="G193" s="65"/>
      <c r="H193" s="67"/>
      <c r="I193" s="67"/>
      <c r="J193" s="4"/>
      <c r="K193" s="74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</row>
    <row r="194" ht="15.75" customHeight="1">
      <c r="A194" s="32"/>
      <c r="B194" s="65"/>
      <c r="C194" s="65"/>
      <c r="D194" s="32"/>
      <c r="E194" s="32"/>
      <c r="F194" s="32"/>
      <c r="G194" s="65"/>
      <c r="H194" s="67"/>
      <c r="I194" s="67"/>
      <c r="J194" s="4"/>
      <c r="K194" s="74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</row>
    <row r="195" ht="15.75" customHeight="1">
      <c r="A195" s="32"/>
      <c r="B195" s="65"/>
      <c r="C195" s="65"/>
      <c r="D195" s="32"/>
      <c r="E195" s="32"/>
      <c r="F195" s="32"/>
      <c r="G195" s="65"/>
      <c r="H195" s="67"/>
      <c r="I195" s="67"/>
      <c r="J195" s="4"/>
      <c r="K195" s="74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</row>
    <row r="196" ht="15.75" customHeight="1">
      <c r="A196" s="32"/>
      <c r="B196" s="65"/>
      <c r="C196" s="65"/>
      <c r="D196" s="32"/>
      <c r="E196" s="32"/>
      <c r="F196" s="32"/>
      <c r="G196" s="65"/>
      <c r="H196" s="67"/>
      <c r="I196" s="67"/>
      <c r="J196" s="4"/>
      <c r="K196" s="74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</row>
    <row r="197" ht="15.75" customHeight="1">
      <c r="A197" s="32"/>
      <c r="B197" s="65"/>
      <c r="C197" s="65"/>
      <c r="D197" s="32"/>
      <c r="E197" s="32"/>
      <c r="F197" s="32"/>
      <c r="G197" s="65"/>
      <c r="H197" s="67"/>
      <c r="I197" s="67"/>
      <c r="J197" s="4"/>
      <c r="K197" s="74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</row>
    <row r="198" ht="15.75" customHeight="1">
      <c r="A198" s="32"/>
      <c r="B198" s="65"/>
      <c r="C198" s="65"/>
      <c r="D198" s="32"/>
      <c r="E198" s="32"/>
      <c r="F198" s="32"/>
      <c r="G198" s="65"/>
      <c r="H198" s="67"/>
      <c r="I198" s="67"/>
      <c r="J198" s="4"/>
      <c r="K198" s="74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</row>
    <row r="199" ht="15.75" customHeight="1">
      <c r="A199" s="32"/>
      <c r="B199" s="65"/>
      <c r="C199" s="65"/>
      <c r="D199" s="32"/>
      <c r="E199" s="32"/>
      <c r="F199" s="32"/>
      <c r="G199" s="65"/>
      <c r="H199" s="67"/>
      <c r="I199" s="67"/>
      <c r="J199" s="4"/>
      <c r="K199" s="74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</row>
    <row r="200" ht="15.75" customHeight="1">
      <c r="A200" s="32"/>
      <c r="B200" s="65"/>
      <c r="C200" s="65"/>
      <c r="D200" s="32"/>
      <c r="E200" s="32"/>
      <c r="F200" s="32"/>
      <c r="G200" s="65"/>
      <c r="H200" s="67"/>
      <c r="I200" s="67"/>
      <c r="J200" s="4"/>
      <c r="K200" s="74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</row>
    <row r="201" ht="15.75" customHeight="1">
      <c r="A201" s="32"/>
      <c r="B201" s="65"/>
      <c r="C201" s="65"/>
      <c r="D201" s="32"/>
      <c r="E201" s="32"/>
      <c r="F201" s="32"/>
      <c r="G201" s="65"/>
      <c r="H201" s="67"/>
      <c r="I201" s="67"/>
      <c r="J201" s="4"/>
      <c r="K201" s="74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</row>
    <row r="202" ht="15.75" customHeight="1">
      <c r="A202" s="32"/>
      <c r="B202" s="65"/>
      <c r="C202" s="65"/>
      <c r="D202" s="32"/>
      <c r="E202" s="32"/>
      <c r="F202" s="32"/>
      <c r="G202" s="65"/>
      <c r="H202" s="67"/>
      <c r="I202" s="67"/>
      <c r="J202" s="4"/>
      <c r="K202" s="74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</row>
    <row r="203" ht="15.75" customHeight="1">
      <c r="A203" s="32"/>
      <c r="B203" s="65"/>
      <c r="C203" s="65"/>
      <c r="D203" s="32"/>
      <c r="E203" s="32"/>
      <c r="F203" s="32"/>
      <c r="G203" s="65"/>
      <c r="H203" s="67"/>
      <c r="I203" s="67"/>
      <c r="J203" s="4"/>
      <c r="K203" s="74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</row>
    <row r="204" ht="15.75" customHeight="1">
      <c r="A204" s="32"/>
      <c r="B204" s="65"/>
      <c r="C204" s="65"/>
      <c r="D204" s="32"/>
      <c r="E204" s="32"/>
      <c r="F204" s="32"/>
      <c r="G204" s="65"/>
      <c r="H204" s="67"/>
      <c r="I204" s="67"/>
      <c r="J204" s="4"/>
      <c r="K204" s="74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</row>
    <row r="205" ht="15.75" customHeight="1">
      <c r="A205" s="32"/>
      <c r="B205" s="65"/>
      <c r="C205" s="65"/>
      <c r="D205" s="32"/>
      <c r="E205" s="32"/>
      <c r="F205" s="32"/>
      <c r="G205" s="65"/>
      <c r="H205" s="67"/>
      <c r="I205" s="67"/>
      <c r="J205" s="4"/>
      <c r="K205" s="74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</row>
    <row r="206" ht="15.75" customHeight="1">
      <c r="A206" s="32"/>
      <c r="B206" s="65"/>
      <c r="C206" s="65"/>
      <c r="D206" s="32"/>
      <c r="E206" s="32"/>
      <c r="F206" s="32"/>
      <c r="G206" s="65"/>
      <c r="H206" s="67"/>
      <c r="I206" s="67"/>
      <c r="J206" s="4"/>
      <c r="K206" s="74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</row>
    <row r="207" ht="15.75" customHeight="1">
      <c r="A207" s="32"/>
      <c r="B207" s="65"/>
      <c r="C207" s="65"/>
      <c r="D207" s="32"/>
      <c r="E207" s="32"/>
      <c r="F207" s="32"/>
      <c r="G207" s="65"/>
      <c r="H207" s="67"/>
      <c r="I207" s="67"/>
      <c r="J207" s="4"/>
      <c r="K207" s="74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</row>
    <row r="208" ht="15.75" customHeight="1">
      <c r="A208" s="32"/>
      <c r="B208" s="65"/>
      <c r="C208" s="65"/>
      <c r="D208" s="32"/>
      <c r="E208" s="32"/>
      <c r="F208" s="32"/>
      <c r="G208" s="65"/>
      <c r="H208" s="67"/>
      <c r="I208" s="67"/>
      <c r="J208" s="4"/>
      <c r="K208" s="74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</row>
    <row r="209" ht="15.75" customHeight="1">
      <c r="A209" s="32"/>
      <c r="B209" s="65"/>
      <c r="C209" s="65"/>
      <c r="D209" s="32"/>
      <c r="E209" s="32"/>
      <c r="F209" s="32"/>
      <c r="G209" s="65"/>
      <c r="H209" s="67"/>
      <c r="I209" s="67"/>
      <c r="J209" s="4"/>
      <c r="K209" s="74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</row>
    <row r="210" ht="15.75" customHeight="1">
      <c r="A210" s="32"/>
      <c r="B210" s="65"/>
      <c r="C210" s="65"/>
      <c r="D210" s="32"/>
      <c r="E210" s="32"/>
      <c r="F210" s="32"/>
      <c r="G210" s="65"/>
      <c r="H210" s="67"/>
      <c r="I210" s="67"/>
      <c r="J210" s="4"/>
      <c r="K210" s="74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</row>
    <row r="211" ht="15.75" customHeight="1">
      <c r="A211" s="32"/>
      <c r="B211" s="65"/>
      <c r="C211" s="65"/>
      <c r="D211" s="32"/>
      <c r="E211" s="32"/>
      <c r="F211" s="32"/>
      <c r="G211" s="65"/>
      <c r="H211" s="67"/>
      <c r="I211" s="67"/>
      <c r="J211" s="4"/>
      <c r="K211" s="74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</row>
    <row r="212" ht="15.75" customHeight="1">
      <c r="A212" s="32"/>
      <c r="B212" s="65"/>
      <c r="C212" s="65"/>
      <c r="D212" s="32"/>
      <c r="E212" s="32"/>
      <c r="F212" s="32"/>
      <c r="G212" s="65"/>
      <c r="H212" s="67"/>
      <c r="I212" s="67"/>
      <c r="J212" s="4"/>
      <c r="K212" s="74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</row>
    <row r="213" ht="15.75" customHeight="1">
      <c r="A213" s="32"/>
      <c r="B213" s="65"/>
      <c r="C213" s="65"/>
      <c r="D213" s="32"/>
      <c r="E213" s="32"/>
      <c r="F213" s="32"/>
      <c r="G213" s="65"/>
      <c r="H213" s="67"/>
      <c r="I213" s="67"/>
      <c r="J213" s="4"/>
      <c r="K213" s="74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</row>
    <row r="214" ht="15.75" customHeight="1">
      <c r="A214" s="32"/>
      <c r="B214" s="65"/>
      <c r="C214" s="65"/>
      <c r="D214" s="32"/>
      <c r="E214" s="32"/>
      <c r="F214" s="32"/>
      <c r="G214" s="65"/>
      <c r="H214" s="67"/>
      <c r="I214" s="67"/>
      <c r="J214" s="4"/>
      <c r="K214" s="74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</row>
    <row r="215" ht="15.75" customHeight="1">
      <c r="A215" s="32"/>
      <c r="B215" s="65"/>
      <c r="C215" s="65"/>
      <c r="D215" s="32"/>
      <c r="E215" s="32"/>
      <c r="F215" s="32"/>
      <c r="G215" s="65"/>
      <c r="H215" s="67"/>
      <c r="I215" s="67"/>
      <c r="J215" s="4"/>
      <c r="K215" s="74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</row>
    <row r="216" ht="15.75" customHeight="1">
      <c r="A216" s="32"/>
      <c r="B216" s="65"/>
      <c r="C216" s="65"/>
      <c r="D216" s="32"/>
      <c r="E216" s="32"/>
      <c r="F216" s="32"/>
      <c r="G216" s="65"/>
      <c r="H216" s="67"/>
      <c r="I216" s="67"/>
      <c r="J216" s="4"/>
      <c r="K216" s="74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</row>
    <row r="217" ht="15.75" customHeight="1">
      <c r="A217" s="32"/>
      <c r="B217" s="65"/>
      <c r="C217" s="65"/>
      <c r="D217" s="32"/>
      <c r="E217" s="32"/>
      <c r="F217" s="32"/>
      <c r="G217" s="65"/>
      <c r="H217" s="67"/>
      <c r="I217" s="67"/>
      <c r="J217" s="4"/>
      <c r="K217" s="74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</row>
    <row r="218" ht="15.75" customHeight="1">
      <c r="A218" s="32"/>
      <c r="B218" s="65"/>
      <c r="C218" s="65"/>
      <c r="D218" s="32"/>
      <c r="E218" s="32"/>
      <c r="F218" s="32"/>
      <c r="G218" s="65"/>
      <c r="H218" s="67"/>
      <c r="I218" s="67"/>
      <c r="J218" s="4"/>
      <c r="K218" s="74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</row>
    <row r="219" ht="15.75" customHeight="1">
      <c r="A219" s="32"/>
      <c r="B219" s="65"/>
      <c r="C219" s="65"/>
      <c r="D219" s="32"/>
      <c r="E219" s="32"/>
      <c r="F219" s="32"/>
      <c r="G219" s="65"/>
      <c r="H219" s="67"/>
      <c r="I219" s="67"/>
      <c r="J219" s="4"/>
      <c r="K219" s="74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</row>
    <row r="220" ht="15.75" customHeight="1">
      <c r="A220" s="32"/>
      <c r="B220" s="65"/>
      <c r="C220" s="65"/>
      <c r="D220" s="32"/>
      <c r="E220" s="32"/>
      <c r="F220" s="32"/>
      <c r="G220" s="65"/>
      <c r="H220" s="67"/>
      <c r="I220" s="67"/>
      <c r="J220" s="4"/>
      <c r="K220" s="74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</row>
    <row r="221" ht="15.75" customHeight="1">
      <c r="A221" s="32"/>
      <c r="B221" s="65"/>
      <c r="C221" s="65"/>
      <c r="D221" s="32"/>
      <c r="E221" s="32"/>
      <c r="F221" s="32"/>
      <c r="G221" s="65"/>
      <c r="H221" s="67"/>
      <c r="I221" s="67"/>
      <c r="J221" s="4"/>
      <c r="K221" s="74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</row>
    <row r="222" ht="15.75" customHeight="1">
      <c r="A222" s="32"/>
      <c r="B222" s="65"/>
      <c r="C222" s="65"/>
      <c r="D222" s="32"/>
      <c r="E222" s="32"/>
      <c r="F222" s="32"/>
      <c r="G222" s="65"/>
      <c r="H222" s="67"/>
      <c r="I222" s="67"/>
      <c r="J222" s="4"/>
      <c r="K222" s="74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</row>
    <row r="223" ht="15.75" customHeight="1">
      <c r="A223" s="32"/>
      <c r="B223" s="65"/>
      <c r="C223" s="65"/>
      <c r="D223" s="32"/>
      <c r="E223" s="32"/>
      <c r="F223" s="32"/>
      <c r="G223" s="65"/>
      <c r="H223" s="67"/>
      <c r="I223" s="67"/>
      <c r="J223" s="4"/>
      <c r="K223" s="74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</row>
    <row r="224" ht="15.75" customHeight="1">
      <c r="A224" s="32"/>
      <c r="B224" s="65"/>
      <c r="C224" s="65"/>
      <c r="D224" s="32"/>
      <c r="E224" s="32"/>
      <c r="F224" s="32"/>
      <c r="G224" s="65"/>
      <c r="H224" s="67"/>
      <c r="I224" s="67"/>
      <c r="J224" s="4"/>
      <c r="K224" s="74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</row>
    <row r="225" ht="15.75" customHeight="1">
      <c r="A225" s="32"/>
      <c r="B225" s="65"/>
      <c r="C225" s="65"/>
      <c r="D225" s="32"/>
      <c r="E225" s="32"/>
      <c r="F225" s="32"/>
      <c r="G225" s="65"/>
      <c r="H225" s="67"/>
      <c r="I225" s="67"/>
      <c r="J225" s="4"/>
      <c r="K225" s="74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</row>
    <row r="226" ht="15.75" customHeight="1">
      <c r="A226" s="32"/>
      <c r="B226" s="65"/>
      <c r="C226" s="65"/>
      <c r="D226" s="32"/>
      <c r="E226" s="32"/>
      <c r="F226" s="32"/>
      <c r="G226" s="65"/>
      <c r="H226" s="67"/>
      <c r="I226" s="67"/>
      <c r="J226" s="4"/>
      <c r="K226" s="74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</row>
    <row r="227" ht="15.75" customHeight="1">
      <c r="A227" s="32"/>
      <c r="B227" s="65"/>
      <c r="C227" s="65"/>
      <c r="D227" s="32"/>
      <c r="E227" s="32"/>
      <c r="F227" s="32"/>
      <c r="G227" s="65"/>
      <c r="H227" s="67"/>
      <c r="I227" s="67"/>
      <c r="J227" s="4"/>
      <c r="K227" s="74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</row>
    <row r="228" ht="15.75" customHeight="1">
      <c r="A228" s="32"/>
      <c r="B228" s="65"/>
      <c r="C228" s="65"/>
      <c r="D228" s="32"/>
      <c r="E228" s="32"/>
      <c r="F228" s="32"/>
      <c r="G228" s="65"/>
      <c r="H228" s="67"/>
      <c r="I228" s="67"/>
      <c r="J228" s="4"/>
      <c r="K228" s="74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</row>
    <row r="229" ht="15.75" customHeight="1">
      <c r="A229" s="32"/>
      <c r="B229" s="65"/>
      <c r="C229" s="65"/>
      <c r="D229" s="32"/>
      <c r="E229" s="32"/>
      <c r="F229" s="32"/>
      <c r="G229" s="65"/>
      <c r="H229" s="67"/>
      <c r="I229" s="67"/>
      <c r="J229" s="4"/>
      <c r="K229" s="74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</row>
    <row r="230" ht="15.75" customHeight="1">
      <c r="A230" s="32"/>
      <c r="B230" s="65"/>
      <c r="C230" s="65"/>
      <c r="D230" s="32"/>
      <c r="E230" s="32"/>
      <c r="F230" s="32"/>
      <c r="G230" s="65"/>
      <c r="H230" s="67"/>
      <c r="I230" s="67"/>
      <c r="J230" s="4"/>
      <c r="K230" s="74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</row>
    <row r="231" ht="15.75" customHeight="1">
      <c r="A231" s="32"/>
      <c r="B231" s="65"/>
      <c r="C231" s="65"/>
      <c r="D231" s="32"/>
      <c r="E231" s="32"/>
      <c r="F231" s="32"/>
      <c r="G231" s="65"/>
      <c r="H231" s="67"/>
      <c r="I231" s="67"/>
      <c r="J231" s="4"/>
      <c r="K231" s="74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</row>
    <row r="232" ht="15.75" customHeight="1">
      <c r="A232" s="32"/>
      <c r="B232" s="65"/>
      <c r="C232" s="65"/>
      <c r="D232" s="32"/>
      <c r="E232" s="32"/>
      <c r="F232" s="32"/>
      <c r="G232" s="65"/>
      <c r="H232" s="67"/>
      <c r="I232" s="67"/>
      <c r="J232" s="4"/>
      <c r="K232" s="74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</row>
    <row r="233" ht="15.75" customHeight="1">
      <c r="A233" s="32"/>
      <c r="B233" s="65"/>
      <c r="C233" s="65"/>
      <c r="D233" s="32"/>
      <c r="E233" s="32"/>
      <c r="F233" s="32"/>
      <c r="G233" s="65"/>
      <c r="H233" s="67"/>
      <c r="I233" s="67"/>
      <c r="J233" s="4"/>
      <c r="K233" s="74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</row>
    <row r="234" ht="15.75" customHeight="1">
      <c r="A234" s="32"/>
      <c r="B234" s="65"/>
      <c r="C234" s="65"/>
      <c r="D234" s="32"/>
      <c r="E234" s="32"/>
      <c r="F234" s="32"/>
      <c r="G234" s="65"/>
      <c r="H234" s="67"/>
      <c r="I234" s="67"/>
      <c r="J234" s="4"/>
      <c r="K234" s="74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</row>
    <row r="235" ht="15.75" customHeight="1">
      <c r="A235" s="32"/>
      <c r="B235" s="65"/>
      <c r="C235" s="65"/>
      <c r="D235" s="32"/>
      <c r="E235" s="32"/>
      <c r="F235" s="32"/>
      <c r="G235" s="65"/>
      <c r="H235" s="67"/>
      <c r="I235" s="67"/>
      <c r="J235" s="4"/>
      <c r="K235" s="74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</row>
    <row r="236" ht="15.75" customHeight="1">
      <c r="A236" s="32"/>
      <c r="B236" s="65"/>
      <c r="C236" s="65"/>
      <c r="D236" s="32"/>
      <c r="E236" s="32"/>
      <c r="F236" s="32"/>
      <c r="G236" s="65"/>
      <c r="H236" s="67"/>
      <c r="I236" s="67"/>
      <c r="J236" s="4"/>
      <c r="K236" s="74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</row>
    <row r="237" ht="15.75" customHeight="1">
      <c r="A237" s="32"/>
      <c r="B237" s="65"/>
      <c r="C237" s="65"/>
      <c r="D237" s="32"/>
      <c r="E237" s="32"/>
      <c r="F237" s="32"/>
      <c r="G237" s="65"/>
      <c r="H237" s="67"/>
      <c r="I237" s="67"/>
      <c r="J237" s="4"/>
      <c r="K237" s="74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</row>
    <row r="238" ht="15.75" customHeight="1">
      <c r="A238" s="32"/>
      <c r="B238" s="65"/>
      <c r="C238" s="65"/>
      <c r="D238" s="32"/>
      <c r="E238" s="32"/>
      <c r="F238" s="32"/>
      <c r="G238" s="65"/>
      <c r="H238" s="67"/>
      <c r="I238" s="67"/>
      <c r="J238" s="4"/>
      <c r="K238" s="74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</row>
    <row r="239" ht="15.75" customHeight="1">
      <c r="A239" s="32"/>
      <c r="B239" s="65"/>
      <c r="C239" s="65"/>
      <c r="D239" s="32"/>
      <c r="E239" s="32"/>
      <c r="F239" s="32"/>
      <c r="G239" s="65"/>
      <c r="H239" s="67"/>
      <c r="I239" s="67"/>
      <c r="J239" s="4"/>
      <c r="K239" s="74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</row>
    <row r="240" ht="15.75" customHeight="1">
      <c r="A240" s="32"/>
      <c r="B240" s="65"/>
      <c r="C240" s="65"/>
      <c r="D240" s="32"/>
      <c r="E240" s="32"/>
      <c r="F240" s="32"/>
      <c r="G240" s="65"/>
      <c r="H240" s="67"/>
      <c r="I240" s="67"/>
      <c r="J240" s="4"/>
      <c r="K240" s="74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</row>
    <row r="241" ht="15.75" customHeight="1">
      <c r="A241" s="32"/>
      <c r="B241" s="65"/>
      <c r="C241" s="65"/>
      <c r="D241" s="32"/>
      <c r="E241" s="32"/>
      <c r="F241" s="32"/>
      <c r="G241" s="65"/>
      <c r="H241" s="67"/>
      <c r="I241" s="67"/>
      <c r="J241" s="4"/>
      <c r="K241" s="74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</row>
    <row r="242" ht="15.75" customHeight="1">
      <c r="A242" s="32"/>
      <c r="B242" s="65"/>
      <c r="C242" s="65"/>
      <c r="D242" s="32"/>
      <c r="E242" s="32"/>
      <c r="F242" s="32"/>
      <c r="G242" s="65"/>
      <c r="H242" s="67"/>
      <c r="I242" s="67"/>
      <c r="J242" s="4"/>
      <c r="K242" s="74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</row>
    <row r="243" ht="15.75" customHeight="1">
      <c r="A243" s="32"/>
      <c r="B243" s="65"/>
      <c r="C243" s="65"/>
      <c r="D243" s="32"/>
      <c r="E243" s="32"/>
      <c r="F243" s="32"/>
      <c r="G243" s="65"/>
      <c r="H243" s="67"/>
      <c r="I243" s="67"/>
      <c r="J243" s="4"/>
      <c r="K243" s="74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</row>
    <row r="244" ht="15.75" customHeight="1">
      <c r="A244" s="32"/>
      <c r="B244" s="65"/>
      <c r="C244" s="65"/>
      <c r="D244" s="32"/>
      <c r="E244" s="32"/>
      <c r="F244" s="32"/>
      <c r="G244" s="65"/>
      <c r="H244" s="67"/>
      <c r="I244" s="67"/>
      <c r="J244" s="4"/>
      <c r="K244" s="74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</row>
    <row r="245" ht="15.75" customHeight="1">
      <c r="A245" s="32"/>
      <c r="B245" s="65"/>
      <c r="C245" s="65"/>
      <c r="D245" s="32"/>
      <c r="E245" s="32"/>
      <c r="F245" s="32"/>
      <c r="G245" s="65"/>
      <c r="H245" s="67"/>
      <c r="I245" s="67"/>
      <c r="J245" s="4"/>
      <c r="K245" s="74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</row>
    <row r="246" ht="15.75" customHeight="1">
      <c r="A246" s="32"/>
      <c r="B246" s="65"/>
      <c r="C246" s="65"/>
      <c r="D246" s="32"/>
      <c r="E246" s="32"/>
      <c r="F246" s="32"/>
      <c r="G246" s="65"/>
      <c r="H246" s="67"/>
      <c r="I246" s="67"/>
      <c r="J246" s="4"/>
      <c r="K246" s="74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</row>
    <row r="247" ht="15.75" customHeight="1">
      <c r="A247" s="32"/>
      <c r="B247" s="65"/>
      <c r="C247" s="65"/>
      <c r="D247" s="32"/>
      <c r="E247" s="32"/>
      <c r="F247" s="32"/>
      <c r="G247" s="65"/>
      <c r="H247" s="67"/>
      <c r="I247" s="67"/>
      <c r="J247" s="4"/>
      <c r="K247" s="74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</row>
    <row r="248" ht="15.75" customHeight="1">
      <c r="A248" s="32"/>
      <c r="B248" s="65"/>
      <c r="C248" s="65"/>
      <c r="D248" s="32"/>
      <c r="E248" s="32"/>
      <c r="F248" s="32"/>
      <c r="G248" s="65"/>
      <c r="H248" s="67"/>
      <c r="I248" s="67"/>
      <c r="J248" s="4"/>
      <c r="K248" s="74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</row>
    <row r="249" ht="15.75" customHeight="1">
      <c r="A249" s="32"/>
      <c r="B249" s="65"/>
      <c r="C249" s="65"/>
      <c r="D249" s="32"/>
      <c r="E249" s="32"/>
      <c r="F249" s="32"/>
      <c r="G249" s="65"/>
      <c r="H249" s="67"/>
      <c r="I249" s="67"/>
      <c r="J249" s="4"/>
      <c r="K249" s="74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</row>
    <row r="250" ht="15.75" customHeight="1">
      <c r="A250" s="32"/>
      <c r="B250" s="65"/>
      <c r="C250" s="65"/>
      <c r="D250" s="32"/>
      <c r="E250" s="32"/>
      <c r="F250" s="32"/>
      <c r="G250" s="65"/>
      <c r="H250" s="67"/>
      <c r="I250" s="67"/>
      <c r="J250" s="4"/>
      <c r="K250" s="74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</row>
    <row r="251" ht="15.75" customHeight="1">
      <c r="A251" s="32"/>
      <c r="B251" s="65"/>
      <c r="C251" s="65"/>
      <c r="D251" s="32"/>
      <c r="E251" s="32"/>
      <c r="F251" s="32"/>
      <c r="G251" s="65"/>
      <c r="H251" s="67"/>
      <c r="I251" s="67"/>
      <c r="J251" s="4"/>
      <c r="K251" s="74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</row>
    <row r="252" ht="15.75" customHeight="1">
      <c r="A252" s="32"/>
      <c r="B252" s="65"/>
      <c r="C252" s="65"/>
      <c r="D252" s="32"/>
      <c r="E252" s="32"/>
      <c r="F252" s="32"/>
      <c r="G252" s="65"/>
      <c r="H252" s="67"/>
      <c r="I252" s="67"/>
      <c r="J252" s="4"/>
      <c r="K252" s="74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</row>
    <row r="253" ht="15.75" customHeight="1">
      <c r="A253" s="32"/>
      <c r="B253" s="65"/>
      <c r="C253" s="65"/>
      <c r="D253" s="32"/>
      <c r="E253" s="32"/>
      <c r="F253" s="32"/>
      <c r="G253" s="65"/>
      <c r="H253" s="67"/>
      <c r="I253" s="67"/>
      <c r="J253" s="4"/>
      <c r="K253" s="74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</row>
    <row r="254" ht="15.75" customHeight="1">
      <c r="A254" s="32"/>
      <c r="B254" s="65"/>
      <c r="C254" s="65"/>
      <c r="D254" s="32"/>
      <c r="E254" s="32"/>
      <c r="F254" s="32"/>
      <c r="G254" s="65"/>
      <c r="H254" s="67"/>
      <c r="I254" s="67"/>
      <c r="J254" s="4"/>
      <c r="K254" s="74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</row>
    <row r="255" ht="15.75" customHeight="1">
      <c r="A255" s="32"/>
      <c r="B255" s="65"/>
      <c r="C255" s="65"/>
      <c r="D255" s="32"/>
      <c r="E255" s="32"/>
      <c r="F255" s="32"/>
      <c r="G255" s="65"/>
      <c r="H255" s="67"/>
      <c r="I255" s="67"/>
      <c r="J255" s="4"/>
      <c r="K255" s="74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</row>
    <row r="256" ht="15.75" customHeight="1">
      <c r="A256" s="32"/>
      <c r="B256" s="65"/>
      <c r="C256" s="65"/>
      <c r="D256" s="32"/>
      <c r="E256" s="32"/>
      <c r="F256" s="32"/>
      <c r="G256" s="65"/>
      <c r="H256" s="67"/>
      <c r="I256" s="67"/>
      <c r="J256" s="4"/>
      <c r="K256" s="74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</row>
    <row r="257" ht="15.75" customHeight="1">
      <c r="A257" s="32"/>
      <c r="B257" s="65"/>
      <c r="C257" s="65"/>
      <c r="D257" s="32"/>
      <c r="E257" s="32"/>
      <c r="F257" s="32"/>
      <c r="G257" s="65"/>
      <c r="H257" s="67"/>
      <c r="I257" s="67"/>
      <c r="J257" s="4"/>
      <c r="K257" s="74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</row>
    <row r="258" ht="15.75" customHeight="1">
      <c r="A258" s="32"/>
      <c r="B258" s="65"/>
      <c r="C258" s="65"/>
      <c r="D258" s="32"/>
      <c r="E258" s="32"/>
      <c r="F258" s="32"/>
      <c r="G258" s="65"/>
      <c r="H258" s="67"/>
      <c r="I258" s="67"/>
      <c r="J258" s="4"/>
      <c r="K258" s="74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</row>
    <row r="259" ht="15.75" customHeight="1">
      <c r="A259" s="32"/>
      <c r="B259" s="65"/>
      <c r="C259" s="65"/>
      <c r="D259" s="32"/>
      <c r="E259" s="32"/>
      <c r="F259" s="32"/>
      <c r="G259" s="65"/>
      <c r="H259" s="67"/>
      <c r="I259" s="67"/>
      <c r="J259" s="4"/>
      <c r="K259" s="74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</row>
    <row r="260" ht="15.75" customHeight="1">
      <c r="A260" s="32"/>
      <c r="B260" s="65"/>
      <c r="C260" s="65"/>
      <c r="D260" s="32"/>
      <c r="E260" s="32"/>
      <c r="F260" s="32"/>
      <c r="G260" s="65"/>
      <c r="H260" s="67"/>
      <c r="I260" s="67"/>
      <c r="J260" s="4"/>
      <c r="K260" s="74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</row>
    <row r="261" ht="15.75" customHeight="1">
      <c r="A261" s="32"/>
      <c r="B261" s="65"/>
      <c r="C261" s="65"/>
      <c r="D261" s="32"/>
      <c r="E261" s="32"/>
      <c r="F261" s="32"/>
      <c r="G261" s="65"/>
      <c r="H261" s="67"/>
      <c r="I261" s="67"/>
      <c r="J261" s="4"/>
      <c r="K261" s="74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</row>
    <row r="262" ht="15.75" customHeight="1">
      <c r="A262" s="32"/>
      <c r="B262" s="65"/>
      <c r="C262" s="65"/>
      <c r="D262" s="32"/>
      <c r="E262" s="32"/>
      <c r="F262" s="32"/>
      <c r="G262" s="65"/>
      <c r="H262" s="67"/>
      <c r="I262" s="67"/>
      <c r="J262" s="4"/>
      <c r="K262" s="74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</row>
    <row r="263" ht="15.75" customHeight="1">
      <c r="A263" s="32"/>
      <c r="B263" s="65"/>
      <c r="C263" s="65"/>
      <c r="D263" s="32"/>
      <c r="E263" s="32"/>
      <c r="F263" s="32"/>
      <c r="G263" s="65"/>
      <c r="H263" s="67"/>
      <c r="I263" s="67"/>
      <c r="J263" s="4"/>
      <c r="K263" s="74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</row>
    <row r="264" ht="15.75" customHeight="1">
      <c r="A264" s="32"/>
      <c r="B264" s="65"/>
      <c r="C264" s="65"/>
      <c r="D264" s="32"/>
      <c r="E264" s="32"/>
      <c r="F264" s="32"/>
      <c r="G264" s="65"/>
      <c r="H264" s="67"/>
      <c r="I264" s="67"/>
      <c r="J264" s="4"/>
      <c r="K264" s="74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</row>
    <row r="265" ht="15.75" customHeight="1">
      <c r="A265" s="32"/>
      <c r="B265" s="65"/>
      <c r="C265" s="65"/>
      <c r="D265" s="32"/>
      <c r="E265" s="32"/>
      <c r="F265" s="32"/>
      <c r="G265" s="65"/>
      <c r="H265" s="67"/>
      <c r="I265" s="67"/>
      <c r="J265" s="4"/>
      <c r="K265" s="74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</row>
    <row r="266" ht="15.75" customHeight="1">
      <c r="A266" s="32"/>
      <c r="B266" s="65"/>
      <c r="C266" s="65"/>
      <c r="D266" s="32"/>
      <c r="E266" s="32"/>
      <c r="F266" s="32"/>
      <c r="G266" s="65"/>
      <c r="H266" s="67"/>
      <c r="I266" s="67"/>
      <c r="J266" s="4"/>
      <c r="K266" s="74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</row>
    <row r="267" ht="15.75" customHeight="1">
      <c r="A267" s="32"/>
      <c r="B267" s="65"/>
      <c r="C267" s="65"/>
      <c r="D267" s="32"/>
      <c r="E267" s="32"/>
      <c r="F267" s="32"/>
      <c r="G267" s="65"/>
      <c r="H267" s="67"/>
      <c r="I267" s="67"/>
      <c r="J267" s="4"/>
      <c r="K267" s="74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</row>
    <row r="268" ht="15.75" customHeight="1">
      <c r="A268" s="32"/>
      <c r="B268" s="65"/>
      <c r="C268" s="65"/>
      <c r="D268" s="32"/>
      <c r="E268" s="32"/>
      <c r="F268" s="32"/>
      <c r="G268" s="65"/>
      <c r="H268" s="67"/>
      <c r="I268" s="67"/>
      <c r="J268" s="4"/>
      <c r="K268" s="74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</row>
    <row r="269" ht="15.75" customHeight="1">
      <c r="A269" s="32"/>
      <c r="B269" s="65"/>
      <c r="C269" s="65"/>
      <c r="D269" s="32"/>
      <c r="E269" s="32"/>
      <c r="F269" s="32"/>
      <c r="G269" s="65"/>
      <c r="H269" s="67"/>
      <c r="I269" s="67"/>
      <c r="J269" s="4"/>
      <c r="K269" s="74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</row>
    <row r="270" ht="15.75" customHeight="1">
      <c r="A270" s="32"/>
      <c r="B270" s="65"/>
      <c r="C270" s="65"/>
      <c r="D270" s="32"/>
      <c r="E270" s="32"/>
      <c r="F270" s="32"/>
      <c r="G270" s="65"/>
      <c r="H270" s="67"/>
      <c r="I270" s="67"/>
      <c r="J270" s="4"/>
      <c r="K270" s="74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</row>
    <row r="271" ht="15.75" customHeight="1">
      <c r="A271" s="32"/>
      <c r="B271" s="65"/>
      <c r="C271" s="65"/>
      <c r="D271" s="32"/>
      <c r="E271" s="32"/>
      <c r="F271" s="32"/>
      <c r="G271" s="65"/>
      <c r="H271" s="67"/>
      <c r="I271" s="67"/>
      <c r="J271" s="4"/>
      <c r="K271" s="74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</row>
    <row r="272" ht="15.75" customHeight="1">
      <c r="A272" s="32"/>
      <c r="B272" s="65"/>
      <c r="C272" s="65"/>
      <c r="D272" s="32"/>
      <c r="E272" s="32"/>
      <c r="F272" s="32"/>
      <c r="G272" s="65"/>
      <c r="H272" s="67"/>
      <c r="I272" s="67"/>
      <c r="J272" s="4"/>
      <c r="K272" s="74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</row>
    <row r="273" ht="15.75" customHeight="1">
      <c r="A273" s="32"/>
      <c r="B273" s="65"/>
      <c r="C273" s="65"/>
      <c r="D273" s="32"/>
      <c r="E273" s="32"/>
      <c r="F273" s="32"/>
      <c r="G273" s="65"/>
      <c r="H273" s="67"/>
      <c r="I273" s="67"/>
      <c r="J273" s="4"/>
      <c r="K273" s="74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</row>
    <row r="274" ht="15.75" customHeight="1">
      <c r="A274" s="32"/>
      <c r="B274" s="65"/>
      <c r="C274" s="65"/>
      <c r="D274" s="32"/>
      <c r="E274" s="32"/>
      <c r="F274" s="32"/>
      <c r="G274" s="65"/>
      <c r="H274" s="67"/>
      <c r="I274" s="67"/>
      <c r="J274" s="4"/>
      <c r="K274" s="74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</row>
    <row r="275" ht="15.75" customHeight="1">
      <c r="A275" s="32"/>
      <c r="B275" s="65"/>
      <c r="C275" s="65"/>
      <c r="D275" s="32"/>
      <c r="E275" s="32"/>
      <c r="F275" s="32"/>
      <c r="G275" s="65"/>
      <c r="H275" s="67"/>
      <c r="I275" s="67"/>
      <c r="J275" s="4"/>
      <c r="K275" s="74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</row>
    <row r="276" ht="15.75" customHeight="1">
      <c r="A276" s="32"/>
      <c r="B276" s="65"/>
      <c r="C276" s="65"/>
      <c r="D276" s="32"/>
      <c r="E276" s="32"/>
      <c r="F276" s="32"/>
      <c r="G276" s="65"/>
      <c r="H276" s="67"/>
      <c r="I276" s="67"/>
      <c r="J276" s="4"/>
      <c r="K276" s="74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</row>
    <row r="277" ht="15.75" customHeight="1">
      <c r="A277" s="32"/>
      <c r="B277" s="65"/>
      <c r="C277" s="65"/>
      <c r="D277" s="32"/>
      <c r="E277" s="32"/>
      <c r="F277" s="32"/>
      <c r="G277" s="65"/>
      <c r="H277" s="67"/>
      <c r="I277" s="67"/>
      <c r="J277" s="4"/>
      <c r="K277" s="74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</row>
    <row r="278" ht="15.75" customHeight="1">
      <c r="A278" s="32"/>
      <c r="B278" s="65"/>
      <c r="C278" s="65"/>
      <c r="D278" s="32"/>
      <c r="E278" s="32"/>
      <c r="F278" s="32"/>
      <c r="G278" s="65"/>
      <c r="H278" s="67"/>
      <c r="I278" s="67"/>
      <c r="J278" s="4"/>
      <c r="K278" s="74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</row>
    <row r="279" ht="15.75" customHeight="1">
      <c r="A279" s="32"/>
      <c r="B279" s="65"/>
      <c r="C279" s="65"/>
      <c r="D279" s="32"/>
      <c r="E279" s="32"/>
      <c r="F279" s="32"/>
      <c r="G279" s="65"/>
      <c r="H279" s="67"/>
      <c r="I279" s="67"/>
      <c r="J279" s="4"/>
      <c r="K279" s="74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</row>
    <row r="280" ht="15.75" customHeight="1">
      <c r="A280" s="32"/>
      <c r="B280" s="65"/>
      <c r="C280" s="65"/>
      <c r="D280" s="32"/>
      <c r="E280" s="32"/>
      <c r="F280" s="32"/>
      <c r="G280" s="65"/>
      <c r="H280" s="67"/>
      <c r="I280" s="67"/>
      <c r="J280" s="4"/>
      <c r="K280" s="74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</row>
    <row r="281" ht="15.75" customHeight="1">
      <c r="A281" s="32"/>
      <c r="B281" s="65"/>
      <c r="C281" s="65"/>
      <c r="D281" s="32"/>
      <c r="E281" s="32"/>
      <c r="F281" s="32"/>
      <c r="G281" s="65"/>
      <c r="H281" s="67"/>
      <c r="I281" s="67"/>
      <c r="J281" s="4"/>
      <c r="K281" s="74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</row>
    <row r="282" ht="15.75" customHeight="1">
      <c r="A282" s="32"/>
      <c r="B282" s="65"/>
      <c r="C282" s="65"/>
      <c r="D282" s="32"/>
      <c r="E282" s="32"/>
      <c r="F282" s="32"/>
      <c r="G282" s="65"/>
      <c r="H282" s="67"/>
      <c r="I282" s="67"/>
      <c r="J282" s="4"/>
      <c r="K282" s="74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</row>
    <row r="283" ht="15.75" customHeight="1">
      <c r="A283" s="32"/>
      <c r="B283" s="65"/>
      <c r="C283" s="65"/>
      <c r="D283" s="32"/>
      <c r="E283" s="32"/>
      <c r="F283" s="32"/>
      <c r="G283" s="65"/>
      <c r="H283" s="67"/>
      <c r="I283" s="67"/>
      <c r="J283" s="4"/>
      <c r="K283" s="74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</row>
    <row r="284" ht="15.75" customHeight="1">
      <c r="A284" s="32"/>
      <c r="B284" s="65"/>
      <c r="C284" s="65"/>
      <c r="D284" s="32"/>
      <c r="E284" s="32"/>
      <c r="F284" s="32"/>
      <c r="G284" s="65"/>
      <c r="H284" s="67"/>
      <c r="I284" s="67"/>
      <c r="J284" s="4"/>
      <c r="K284" s="74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</row>
    <row r="285" ht="15.75" customHeight="1">
      <c r="A285" s="32"/>
      <c r="B285" s="65"/>
      <c r="C285" s="65"/>
      <c r="D285" s="32"/>
      <c r="E285" s="32"/>
      <c r="F285" s="32"/>
      <c r="G285" s="65"/>
      <c r="H285" s="67"/>
      <c r="I285" s="67"/>
      <c r="J285" s="4"/>
      <c r="K285" s="74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</row>
    <row r="286" ht="15.75" customHeight="1">
      <c r="A286" s="32"/>
      <c r="B286" s="65"/>
      <c r="C286" s="65"/>
      <c r="D286" s="32"/>
      <c r="E286" s="32"/>
      <c r="F286" s="32"/>
      <c r="G286" s="65"/>
      <c r="H286" s="67"/>
      <c r="I286" s="67"/>
      <c r="J286" s="4"/>
      <c r="K286" s="74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</row>
    <row r="287" ht="15.75" customHeight="1">
      <c r="A287" s="32"/>
      <c r="B287" s="65"/>
      <c r="C287" s="65"/>
      <c r="D287" s="32"/>
      <c r="E287" s="32"/>
      <c r="F287" s="32"/>
      <c r="G287" s="65"/>
      <c r="H287" s="67"/>
      <c r="I287" s="67"/>
      <c r="J287" s="4"/>
      <c r="K287" s="74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</row>
    <row r="288" ht="15.75" customHeight="1">
      <c r="A288" s="32"/>
      <c r="B288" s="65"/>
      <c r="C288" s="65"/>
      <c r="D288" s="32"/>
      <c r="E288" s="32"/>
      <c r="F288" s="32"/>
      <c r="G288" s="65"/>
      <c r="H288" s="67"/>
      <c r="I288" s="67"/>
      <c r="J288" s="4"/>
      <c r="K288" s="74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</row>
    <row r="289" ht="15.75" customHeight="1">
      <c r="A289" s="32"/>
      <c r="B289" s="65"/>
      <c r="C289" s="65"/>
      <c r="D289" s="32"/>
      <c r="E289" s="32"/>
      <c r="F289" s="32"/>
      <c r="G289" s="65"/>
      <c r="H289" s="67"/>
      <c r="I289" s="67"/>
      <c r="J289" s="4"/>
      <c r="K289" s="74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</row>
    <row r="290" ht="15.75" customHeight="1">
      <c r="A290" s="32"/>
      <c r="B290" s="65"/>
      <c r="C290" s="65"/>
      <c r="D290" s="32"/>
      <c r="E290" s="32"/>
      <c r="F290" s="32"/>
      <c r="G290" s="65"/>
      <c r="H290" s="67"/>
      <c r="I290" s="67"/>
      <c r="J290" s="4"/>
      <c r="K290" s="74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</row>
    <row r="291" ht="15.75" customHeight="1">
      <c r="A291" s="32"/>
      <c r="B291" s="65"/>
      <c r="C291" s="65"/>
      <c r="D291" s="32"/>
      <c r="E291" s="32"/>
      <c r="F291" s="32"/>
      <c r="G291" s="65"/>
      <c r="H291" s="67"/>
      <c r="I291" s="67"/>
      <c r="J291" s="4"/>
      <c r="K291" s="74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</row>
    <row r="292" ht="15.75" customHeight="1">
      <c r="A292" s="32"/>
      <c r="B292" s="65"/>
      <c r="C292" s="65"/>
      <c r="D292" s="32"/>
      <c r="E292" s="32"/>
      <c r="F292" s="32"/>
      <c r="G292" s="65"/>
      <c r="H292" s="67"/>
      <c r="I292" s="67"/>
      <c r="J292" s="4"/>
      <c r="K292" s="74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</row>
    <row r="293" ht="15.75" customHeight="1">
      <c r="A293" s="32"/>
      <c r="B293" s="65"/>
      <c r="C293" s="65"/>
      <c r="D293" s="32"/>
      <c r="E293" s="32"/>
      <c r="F293" s="32"/>
      <c r="G293" s="65"/>
      <c r="H293" s="67"/>
      <c r="I293" s="67"/>
      <c r="J293" s="4"/>
      <c r="K293" s="74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</row>
    <row r="294" ht="15.75" customHeight="1">
      <c r="A294" s="32"/>
      <c r="B294" s="65"/>
      <c r="C294" s="65"/>
      <c r="D294" s="32"/>
      <c r="E294" s="32"/>
      <c r="F294" s="32"/>
      <c r="G294" s="65"/>
      <c r="H294" s="67"/>
      <c r="I294" s="67"/>
      <c r="J294" s="4"/>
      <c r="K294" s="74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</row>
    <row r="295" ht="15.75" customHeight="1">
      <c r="A295" s="32"/>
      <c r="B295" s="65"/>
      <c r="C295" s="65"/>
      <c r="D295" s="32"/>
      <c r="E295" s="32"/>
      <c r="F295" s="32"/>
      <c r="G295" s="65"/>
      <c r="H295" s="67"/>
      <c r="I295" s="67"/>
      <c r="J295" s="4"/>
      <c r="K295" s="74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</row>
    <row r="296" ht="15.75" customHeight="1">
      <c r="A296" s="32"/>
      <c r="B296" s="65"/>
      <c r="C296" s="65"/>
      <c r="D296" s="32"/>
      <c r="E296" s="32"/>
      <c r="F296" s="32"/>
      <c r="G296" s="65"/>
      <c r="H296" s="67"/>
      <c r="I296" s="67"/>
      <c r="J296" s="4"/>
      <c r="K296" s="74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</row>
    <row r="297" ht="15.75" customHeight="1">
      <c r="A297" s="32"/>
      <c r="B297" s="65"/>
      <c r="C297" s="65"/>
      <c r="D297" s="32"/>
      <c r="E297" s="32"/>
      <c r="F297" s="32"/>
      <c r="G297" s="65"/>
      <c r="H297" s="67"/>
      <c r="I297" s="67"/>
      <c r="J297" s="4"/>
      <c r="K297" s="74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</row>
    <row r="298" ht="15.75" customHeight="1">
      <c r="A298" s="32"/>
      <c r="B298" s="65"/>
      <c r="C298" s="65"/>
      <c r="D298" s="32"/>
      <c r="E298" s="32"/>
      <c r="F298" s="32"/>
      <c r="G298" s="65"/>
      <c r="H298" s="67"/>
      <c r="I298" s="67"/>
      <c r="J298" s="4"/>
      <c r="K298" s="74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</row>
    <row r="299" ht="15.75" customHeight="1">
      <c r="A299" s="32"/>
      <c r="B299" s="65"/>
      <c r="C299" s="65"/>
      <c r="D299" s="32"/>
      <c r="E299" s="32"/>
      <c r="F299" s="32"/>
      <c r="G299" s="65"/>
      <c r="H299" s="67"/>
      <c r="I299" s="67"/>
      <c r="J299" s="4"/>
      <c r="K299" s="74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</row>
    <row r="300" ht="15.75" customHeight="1">
      <c r="A300" s="32"/>
      <c r="B300" s="65"/>
      <c r="C300" s="65"/>
      <c r="D300" s="32"/>
      <c r="E300" s="32"/>
      <c r="F300" s="32"/>
      <c r="G300" s="65"/>
      <c r="H300" s="67"/>
      <c r="I300" s="67"/>
      <c r="J300" s="4"/>
      <c r="K300" s="74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</row>
    <row r="301" ht="15.75" customHeight="1">
      <c r="A301" s="32"/>
      <c r="B301" s="65"/>
      <c r="C301" s="65"/>
      <c r="D301" s="32"/>
      <c r="E301" s="32"/>
      <c r="F301" s="32"/>
      <c r="G301" s="65"/>
      <c r="H301" s="67"/>
      <c r="I301" s="67"/>
      <c r="J301" s="4"/>
      <c r="K301" s="74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</row>
    <row r="302" ht="15.75" customHeight="1">
      <c r="A302" s="32"/>
      <c r="B302" s="65"/>
      <c r="C302" s="65"/>
      <c r="D302" s="32"/>
      <c r="E302" s="32"/>
      <c r="F302" s="32"/>
      <c r="G302" s="65"/>
      <c r="H302" s="67"/>
      <c r="I302" s="67"/>
      <c r="J302" s="4"/>
      <c r="K302" s="74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</row>
    <row r="303" ht="15.75" customHeight="1">
      <c r="A303" s="32"/>
      <c r="B303" s="65"/>
      <c r="C303" s="65"/>
      <c r="D303" s="32"/>
      <c r="E303" s="32"/>
      <c r="F303" s="32"/>
      <c r="G303" s="65"/>
      <c r="H303" s="67"/>
      <c r="I303" s="67"/>
      <c r="J303" s="4"/>
      <c r="K303" s="74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</row>
    <row r="304" ht="15.75" customHeight="1">
      <c r="A304" s="32"/>
      <c r="B304" s="65"/>
      <c r="C304" s="65"/>
      <c r="D304" s="32"/>
      <c r="E304" s="32"/>
      <c r="F304" s="32"/>
      <c r="G304" s="65"/>
      <c r="H304" s="67"/>
      <c r="I304" s="67"/>
      <c r="J304" s="4"/>
      <c r="K304" s="74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</row>
    <row r="305" ht="15.75" customHeight="1">
      <c r="A305" s="32"/>
      <c r="B305" s="65"/>
      <c r="C305" s="65"/>
      <c r="D305" s="32"/>
      <c r="E305" s="32"/>
      <c r="F305" s="32"/>
      <c r="G305" s="65"/>
      <c r="H305" s="67"/>
      <c r="I305" s="67"/>
      <c r="J305" s="4"/>
      <c r="K305" s="74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</row>
    <row r="306" ht="15.75" customHeight="1">
      <c r="A306" s="32"/>
      <c r="B306" s="65"/>
      <c r="C306" s="65"/>
      <c r="D306" s="32"/>
      <c r="E306" s="32"/>
      <c r="F306" s="32"/>
      <c r="G306" s="65"/>
      <c r="H306" s="67"/>
      <c r="I306" s="67"/>
      <c r="J306" s="4"/>
      <c r="K306" s="74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</row>
    <row r="307" ht="15.75" customHeight="1">
      <c r="A307" s="32"/>
      <c r="B307" s="65"/>
      <c r="C307" s="65"/>
      <c r="D307" s="32"/>
      <c r="E307" s="32"/>
      <c r="F307" s="32"/>
      <c r="G307" s="65"/>
      <c r="H307" s="67"/>
      <c r="I307" s="67"/>
      <c r="J307" s="4"/>
      <c r="K307" s="74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</row>
    <row r="308" ht="15.75" customHeight="1">
      <c r="A308" s="32"/>
      <c r="B308" s="65"/>
      <c r="C308" s="65"/>
      <c r="D308" s="32"/>
      <c r="E308" s="32"/>
      <c r="F308" s="32"/>
      <c r="G308" s="65"/>
      <c r="H308" s="67"/>
      <c r="I308" s="67"/>
      <c r="J308" s="4"/>
      <c r="K308" s="74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</row>
    <row r="309" ht="15.75" customHeight="1">
      <c r="A309" s="32"/>
      <c r="B309" s="65"/>
      <c r="C309" s="65"/>
      <c r="D309" s="32"/>
      <c r="E309" s="32"/>
      <c r="F309" s="32"/>
      <c r="G309" s="65"/>
      <c r="H309" s="67"/>
      <c r="I309" s="67"/>
      <c r="J309" s="4"/>
      <c r="K309" s="74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</row>
    <row r="310" ht="15.75" customHeight="1">
      <c r="A310" s="32"/>
      <c r="B310" s="65"/>
      <c r="C310" s="65"/>
      <c r="D310" s="32"/>
      <c r="E310" s="32"/>
      <c r="F310" s="32"/>
      <c r="G310" s="65"/>
      <c r="H310" s="67"/>
      <c r="I310" s="67"/>
      <c r="J310" s="4"/>
      <c r="K310" s="74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</row>
    <row r="311" ht="15.75" customHeight="1">
      <c r="A311" s="32"/>
      <c r="B311" s="65"/>
      <c r="C311" s="65"/>
      <c r="D311" s="32"/>
      <c r="E311" s="32"/>
      <c r="F311" s="32"/>
      <c r="G311" s="65"/>
      <c r="H311" s="67"/>
      <c r="I311" s="67"/>
      <c r="J311" s="4"/>
      <c r="K311" s="74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</row>
    <row r="312" ht="15.75" customHeight="1">
      <c r="A312" s="32"/>
      <c r="B312" s="65"/>
      <c r="C312" s="65"/>
      <c r="D312" s="32"/>
      <c r="E312" s="32"/>
      <c r="F312" s="32"/>
      <c r="G312" s="65"/>
      <c r="H312" s="67"/>
      <c r="I312" s="67"/>
      <c r="J312" s="4"/>
      <c r="K312" s="74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</row>
    <row r="313" ht="15.75" customHeight="1">
      <c r="A313" s="32"/>
      <c r="B313" s="65"/>
      <c r="C313" s="65"/>
      <c r="D313" s="32"/>
      <c r="E313" s="32"/>
      <c r="F313" s="32"/>
      <c r="G313" s="65"/>
      <c r="H313" s="67"/>
      <c r="I313" s="67"/>
      <c r="J313" s="4"/>
      <c r="K313" s="74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</row>
    <row r="314" ht="15.75" customHeight="1">
      <c r="A314" s="32"/>
      <c r="B314" s="65"/>
      <c r="C314" s="65"/>
      <c r="D314" s="32"/>
      <c r="E314" s="32"/>
      <c r="F314" s="32"/>
      <c r="G314" s="65"/>
      <c r="H314" s="67"/>
      <c r="I314" s="67"/>
      <c r="J314" s="4"/>
      <c r="K314" s="74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</row>
    <row r="315" ht="15.75" customHeight="1">
      <c r="A315" s="32"/>
      <c r="B315" s="65"/>
      <c r="C315" s="65"/>
      <c r="D315" s="32"/>
      <c r="E315" s="32"/>
      <c r="F315" s="32"/>
      <c r="G315" s="65"/>
      <c r="H315" s="67"/>
      <c r="I315" s="67"/>
      <c r="J315" s="4"/>
      <c r="K315" s="74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</row>
    <row r="316" ht="15.75" customHeight="1">
      <c r="A316" s="32"/>
      <c r="B316" s="65"/>
      <c r="C316" s="65"/>
      <c r="D316" s="32"/>
      <c r="E316" s="32"/>
      <c r="F316" s="32"/>
      <c r="G316" s="65"/>
      <c r="H316" s="67"/>
      <c r="I316" s="67"/>
      <c r="J316" s="4"/>
      <c r="K316" s="74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</row>
    <row r="317" ht="15.75" customHeight="1">
      <c r="A317" s="32"/>
      <c r="B317" s="65"/>
      <c r="C317" s="65"/>
      <c r="D317" s="32"/>
      <c r="E317" s="32"/>
      <c r="F317" s="32"/>
      <c r="G317" s="65"/>
      <c r="H317" s="67"/>
      <c r="I317" s="67"/>
      <c r="J317" s="4"/>
      <c r="K317" s="74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</row>
    <row r="318" ht="15.75" customHeight="1">
      <c r="A318" s="32"/>
      <c r="B318" s="65"/>
      <c r="C318" s="65"/>
      <c r="D318" s="32"/>
      <c r="E318" s="32"/>
      <c r="F318" s="32"/>
      <c r="G318" s="65"/>
      <c r="H318" s="67"/>
      <c r="I318" s="67"/>
      <c r="J318" s="4"/>
      <c r="K318" s="74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</row>
    <row r="319" ht="15.75" customHeight="1">
      <c r="A319" s="32"/>
      <c r="B319" s="65"/>
      <c r="C319" s="65"/>
      <c r="D319" s="32"/>
      <c r="E319" s="32"/>
      <c r="F319" s="32"/>
      <c r="G319" s="65"/>
      <c r="H319" s="67"/>
      <c r="I319" s="67"/>
      <c r="J319" s="4"/>
      <c r="K319" s="74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</row>
    <row r="320" ht="15.75" customHeight="1">
      <c r="A320" s="32"/>
      <c r="B320" s="65"/>
      <c r="C320" s="65"/>
      <c r="D320" s="32"/>
      <c r="E320" s="32"/>
      <c r="F320" s="32"/>
      <c r="G320" s="65"/>
      <c r="H320" s="67"/>
      <c r="I320" s="67"/>
      <c r="J320" s="4"/>
      <c r="K320" s="74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</row>
    <row r="321" ht="15.75" customHeight="1">
      <c r="A321" s="32"/>
      <c r="B321" s="65"/>
      <c r="C321" s="65"/>
      <c r="D321" s="32"/>
      <c r="E321" s="32"/>
      <c r="F321" s="32"/>
      <c r="G321" s="65"/>
      <c r="H321" s="67"/>
      <c r="I321" s="67"/>
      <c r="J321" s="4"/>
      <c r="K321" s="74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</row>
    <row r="322" ht="15.75" customHeight="1">
      <c r="A322" s="32"/>
      <c r="B322" s="65"/>
      <c r="C322" s="65"/>
      <c r="D322" s="32"/>
      <c r="E322" s="32"/>
      <c r="F322" s="32"/>
      <c r="G322" s="65"/>
      <c r="H322" s="67"/>
      <c r="I322" s="67"/>
      <c r="J322" s="4"/>
      <c r="K322" s="74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</row>
    <row r="323" ht="15.75" customHeight="1">
      <c r="A323" s="32"/>
      <c r="B323" s="65"/>
      <c r="C323" s="65"/>
      <c r="D323" s="32"/>
      <c r="E323" s="32"/>
      <c r="F323" s="32"/>
      <c r="G323" s="65"/>
      <c r="H323" s="67"/>
      <c r="I323" s="67"/>
      <c r="J323" s="4"/>
      <c r="K323" s="74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</row>
    <row r="324" ht="15.75" customHeight="1">
      <c r="A324" s="32"/>
      <c r="B324" s="65"/>
      <c r="C324" s="65"/>
      <c r="D324" s="32"/>
      <c r="E324" s="32"/>
      <c r="F324" s="32"/>
      <c r="G324" s="65"/>
      <c r="H324" s="67"/>
      <c r="I324" s="67"/>
      <c r="J324" s="4"/>
      <c r="K324" s="74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</row>
    <row r="325" ht="15.75" customHeight="1">
      <c r="A325" s="32"/>
      <c r="B325" s="65"/>
      <c r="C325" s="65"/>
      <c r="D325" s="32"/>
      <c r="E325" s="32"/>
      <c r="F325" s="32"/>
      <c r="G325" s="65"/>
      <c r="H325" s="67"/>
      <c r="I325" s="67"/>
      <c r="J325" s="4"/>
      <c r="K325" s="74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</row>
    <row r="326" ht="15.75" customHeight="1">
      <c r="A326" s="32"/>
      <c r="B326" s="65"/>
      <c r="C326" s="65"/>
      <c r="D326" s="32"/>
      <c r="E326" s="32"/>
      <c r="F326" s="32"/>
      <c r="G326" s="65"/>
      <c r="H326" s="67"/>
      <c r="I326" s="67"/>
      <c r="J326" s="4"/>
      <c r="K326" s="74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</row>
    <row r="327" ht="15.75" customHeight="1">
      <c r="A327" s="32"/>
      <c r="B327" s="65"/>
      <c r="C327" s="65"/>
      <c r="D327" s="32"/>
      <c r="E327" s="32"/>
      <c r="F327" s="32"/>
      <c r="G327" s="65"/>
      <c r="H327" s="67"/>
      <c r="I327" s="67"/>
      <c r="J327" s="4"/>
      <c r="K327" s="74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</row>
    <row r="328" ht="15.75" customHeight="1">
      <c r="A328" s="32"/>
      <c r="B328" s="65"/>
      <c r="C328" s="65"/>
      <c r="D328" s="32"/>
      <c r="E328" s="32"/>
      <c r="F328" s="32"/>
      <c r="G328" s="65"/>
      <c r="H328" s="67"/>
      <c r="I328" s="67"/>
      <c r="J328" s="4"/>
      <c r="K328" s="74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</row>
    <row r="329" ht="15.75" customHeight="1">
      <c r="A329" s="32"/>
      <c r="B329" s="65"/>
      <c r="C329" s="65"/>
      <c r="D329" s="32"/>
      <c r="E329" s="32"/>
      <c r="F329" s="32"/>
      <c r="G329" s="65"/>
      <c r="H329" s="67"/>
      <c r="I329" s="67"/>
      <c r="J329" s="4"/>
      <c r="K329" s="74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</row>
    <row r="330" ht="15.75" customHeight="1">
      <c r="A330" s="32"/>
      <c r="B330" s="65"/>
      <c r="C330" s="65"/>
      <c r="D330" s="32"/>
      <c r="E330" s="32"/>
      <c r="F330" s="32"/>
      <c r="G330" s="65"/>
      <c r="H330" s="67"/>
      <c r="I330" s="67"/>
      <c r="J330" s="4"/>
      <c r="K330" s="74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</row>
    <row r="331" ht="15.75" customHeight="1">
      <c r="A331" s="32"/>
      <c r="B331" s="65"/>
      <c r="C331" s="65"/>
      <c r="D331" s="32"/>
      <c r="E331" s="32"/>
      <c r="F331" s="32"/>
      <c r="G331" s="65"/>
      <c r="H331" s="67"/>
      <c r="I331" s="67"/>
      <c r="J331" s="4"/>
      <c r="K331" s="74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</row>
    <row r="332" ht="15.75" customHeight="1">
      <c r="A332" s="32"/>
      <c r="B332" s="65"/>
      <c r="C332" s="65"/>
      <c r="D332" s="32"/>
      <c r="E332" s="32"/>
      <c r="F332" s="32"/>
      <c r="G332" s="65"/>
      <c r="H332" s="67"/>
      <c r="I332" s="67"/>
      <c r="J332" s="4"/>
      <c r="K332" s="74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</row>
    <row r="333" ht="15.75" customHeight="1">
      <c r="A333" s="32"/>
      <c r="B333" s="65"/>
      <c r="C333" s="65"/>
      <c r="D333" s="32"/>
      <c r="E333" s="32"/>
      <c r="F333" s="32"/>
      <c r="G333" s="65"/>
      <c r="H333" s="67"/>
      <c r="I333" s="67"/>
      <c r="J333" s="4"/>
      <c r="K333" s="74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</row>
    <row r="334" ht="15.75" customHeight="1">
      <c r="A334" s="32"/>
      <c r="B334" s="65"/>
      <c r="C334" s="65"/>
      <c r="D334" s="32"/>
      <c r="E334" s="32"/>
      <c r="F334" s="32"/>
      <c r="G334" s="65"/>
      <c r="H334" s="67"/>
      <c r="I334" s="67"/>
      <c r="J334" s="4"/>
      <c r="K334" s="74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</row>
    <row r="335" ht="15.75" customHeight="1">
      <c r="A335" s="32"/>
      <c r="B335" s="65"/>
      <c r="C335" s="65"/>
      <c r="D335" s="32"/>
      <c r="E335" s="32"/>
      <c r="F335" s="32"/>
      <c r="G335" s="65"/>
      <c r="H335" s="67"/>
      <c r="I335" s="67"/>
      <c r="J335" s="4"/>
      <c r="K335" s="74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</row>
    <row r="336" ht="15.75" customHeight="1">
      <c r="A336" s="32"/>
      <c r="B336" s="65"/>
      <c r="C336" s="65"/>
      <c r="D336" s="32"/>
      <c r="E336" s="32"/>
      <c r="F336" s="32"/>
      <c r="G336" s="65"/>
      <c r="H336" s="67"/>
      <c r="I336" s="67"/>
      <c r="J336" s="4"/>
      <c r="K336" s="74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</row>
    <row r="337" ht="15.75" customHeight="1">
      <c r="A337" s="32"/>
      <c r="B337" s="65"/>
      <c r="C337" s="65"/>
      <c r="D337" s="32"/>
      <c r="E337" s="32"/>
      <c r="F337" s="32"/>
      <c r="G337" s="65"/>
      <c r="H337" s="67"/>
      <c r="I337" s="67"/>
      <c r="J337" s="4"/>
      <c r="K337" s="74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</row>
    <row r="338" ht="15.75" customHeight="1">
      <c r="A338" s="32"/>
      <c r="B338" s="65"/>
      <c r="C338" s="65"/>
      <c r="D338" s="32"/>
      <c r="E338" s="32"/>
      <c r="F338" s="32"/>
      <c r="G338" s="65"/>
      <c r="H338" s="67"/>
      <c r="I338" s="67"/>
      <c r="J338" s="4"/>
      <c r="K338" s="74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</row>
    <row r="339" ht="15.75" customHeight="1">
      <c r="A339" s="32"/>
      <c r="B339" s="65"/>
      <c r="C339" s="65"/>
      <c r="D339" s="32"/>
      <c r="E339" s="32"/>
      <c r="F339" s="32"/>
      <c r="G339" s="65"/>
      <c r="H339" s="67"/>
      <c r="I339" s="67"/>
      <c r="J339" s="4"/>
      <c r="K339" s="74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</row>
    <row r="340" ht="15.75" customHeight="1">
      <c r="A340" s="32"/>
      <c r="B340" s="65"/>
      <c r="C340" s="65"/>
      <c r="D340" s="32"/>
      <c r="E340" s="32"/>
      <c r="F340" s="32"/>
      <c r="G340" s="65"/>
      <c r="H340" s="67"/>
      <c r="I340" s="67"/>
      <c r="J340" s="4"/>
      <c r="K340" s="74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</row>
    <row r="341" ht="15.75" customHeight="1">
      <c r="A341" s="32"/>
      <c r="B341" s="65"/>
      <c r="C341" s="65"/>
      <c r="D341" s="32"/>
      <c r="E341" s="32"/>
      <c r="F341" s="32"/>
      <c r="G341" s="65"/>
      <c r="H341" s="67"/>
      <c r="I341" s="67"/>
      <c r="J341" s="4"/>
      <c r="K341" s="74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</row>
    <row r="342" ht="15.75" customHeight="1">
      <c r="A342" s="32"/>
      <c r="B342" s="65"/>
      <c r="C342" s="65"/>
      <c r="D342" s="32"/>
      <c r="E342" s="32"/>
      <c r="F342" s="32"/>
      <c r="G342" s="65"/>
      <c r="H342" s="67"/>
      <c r="I342" s="67"/>
      <c r="J342" s="4"/>
      <c r="K342" s="74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</row>
    <row r="343" ht="15.75" customHeight="1">
      <c r="A343" s="32"/>
      <c r="B343" s="65"/>
      <c r="C343" s="65"/>
      <c r="D343" s="32"/>
      <c r="E343" s="32"/>
      <c r="F343" s="32"/>
      <c r="G343" s="65"/>
      <c r="H343" s="67"/>
      <c r="I343" s="67"/>
      <c r="J343" s="4"/>
      <c r="K343" s="74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</row>
    <row r="344" ht="15.75" customHeight="1">
      <c r="A344" s="32"/>
      <c r="B344" s="65"/>
      <c r="C344" s="65"/>
      <c r="D344" s="32"/>
      <c r="E344" s="32"/>
      <c r="F344" s="32"/>
      <c r="G344" s="65"/>
      <c r="H344" s="67"/>
      <c r="I344" s="67"/>
      <c r="J344" s="4"/>
      <c r="K344" s="74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</row>
    <row r="345" ht="15.75" customHeight="1">
      <c r="A345" s="32"/>
      <c r="B345" s="65"/>
      <c r="C345" s="65"/>
      <c r="D345" s="32"/>
      <c r="E345" s="32"/>
      <c r="F345" s="32"/>
      <c r="G345" s="65"/>
      <c r="H345" s="67"/>
      <c r="I345" s="67"/>
      <c r="J345" s="4"/>
      <c r="K345" s="74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</row>
    <row r="346" ht="15.75" customHeight="1">
      <c r="A346" s="32"/>
      <c r="B346" s="65"/>
      <c r="C346" s="65"/>
      <c r="D346" s="32"/>
      <c r="E346" s="32"/>
      <c r="F346" s="32"/>
      <c r="G346" s="65"/>
      <c r="H346" s="67"/>
      <c r="I346" s="67"/>
      <c r="J346" s="4"/>
      <c r="K346" s="74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</row>
    <row r="347" ht="15.75" customHeight="1">
      <c r="A347" s="32"/>
      <c r="B347" s="65"/>
      <c r="C347" s="65"/>
      <c r="D347" s="32"/>
      <c r="E347" s="32"/>
      <c r="F347" s="32"/>
      <c r="G347" s="65"/>
      <c r="H347" s="67"/>
      <c r="I347" s="67"/>
      <c r="J347" s="4"/>
      <c r="K347" s="74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</row>
    <row r="348" ht="15.75" customHeight="1">
      <c r="A348" s="32"/>
      <c r="B348" s="65"/>
      <c r="C348" s="65"/>
      <c r="D348" s="32"/>
      <c r="E348" s="32"/>
      <c r="F348" s="32"/>
      <c r="G348" s="65"/>
      <c r="H348" s="67"/>
      <c r="I348" s="67"/>
      <c r="J348" s="4"/>
      <c r="K348" s="74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</row>
    <row r="349" ht="15.75" customHeight="1">
      <c r="A349" s="32"/>
      <c r="B349" s="65"/>
      <c r="C349" s="65"/>
      <c r="D349" s="32"/>
      <c r="E349" s="32"/>
      <c r="F349" s="32"/>
      <c r="G349" s="65"/>
      <c r="H349" s="67"/>
      <c r="I349" s="67"/>
      <c r="J349" s="4"/>
      <c r="K349" s="74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</row>
    <row r="350" ht="15.75" customHeight="1">
      <c r="A350" s="32"/>
      <c r="B350" s="65"/>
      <c r="C350" s="65"/>
      <c r="D350" s="32"/>
      <c r="E350" s="32"/>
      <c r="F350" s="32"/>
      <c r="G350" s="65"/>
      <c r="H350" s="67"/>
      <c r="I350" s="67"/>
      <c r="J350" s="4"/>
      <c r="K350" s="74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</row>
    <row r="351" ht="15.75" customHeight="1">
      <c r="A351" s="32"/>
      <c r="B351" s="65"/>
      <c r="C351" s="65"/>
      <c r="D351" s="32"/>
      <c r="E351" s="32"/>
      <c r="F351" s="32"/>
      <c r="G351" s="65"/>
      <c r="H351" s="67"/>
      <c r="I351" s="67"/>
      <c r="J351" s="4"/>
      <c r="K351" s="74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</row>
    <row r="352" ht="15.75" customHeight="1">
      <c r="A352" s="32"/>
      <c r="B352" s="65"/>
      <c r="C352" s="65"/>
      <c r="D352" s="32"/>
      <c r="E352" s="32"/>
      <c r="F352" s="32"/>
      <c r="G352" s="65"/>
      <c r="H352" s="67"/>
      <c r="I352" s="67"/>
      <c r="J352" s="4"/>
      <c r="K352" s="74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</row>
    <row r="353" ht="15.75" customHeight="1">
      <c r="A353" s="32"/>
      <c r="B353" s="65"/>
      <c r="C353" s="65"/>
      <c r="D353" s="32"/>
      <c r="E353" s="32"/>
      <c r="F353" s="32"/>
      <c r="G353" s="65"/>
      <c r="H353" s="67"/>
      <c r="I353" s="67"/>
      <c r="J353" s="4"/>
      <c r="K353" s="74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</row>
    <row r="354" ht="15.75" customHeight="1">
      <c r="A354" s="32"/>
      <c r="B354" s="65"/>
      <c r="C354" s="65"/>
      <c r="D354" s="32"/>
      <c r="E354" s="32"/>
      <c r="F354" s="32"/>
      <c r="G354" s="65"/>
      <c r="H354" s="67"/>
      <c r="I354" s="67"/>
      <c r="J354" s="4"/>
      <c r="K354" s="74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</row>
    <row r="355" ht="15.75" customHeight="1">
      <c r="A355" s="32"/>
      <c r="B355" s="65"/>
      <c r="C355" s="65"/>
      <c r="D355" s="32"/>
      <c r="E355" s="32"/>
      <c r="F355" s="32"/>
      <c r="G355" s="65"/>
      <c r="H355" s="67"/>
      <c r="I355" s="67"/>
      <c r="J355" s="4"/>
      <c r="K355" s="74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</row>
    <row r="356" ht="15.75" customHeight="1">
      <c r="A356" s="32"/>
      <c r="B356" s="65"/>
      <c r="C356" s="65"/>
      <c r="D356" s="32"/>
      <c r="E356" s="32"/>
      <c r="F356" s="32"/>
      <c r="G356" s="65"/>
      <c r="H356" s="67"/>
      <c r="I356" s="67"/>
      <c r="J356" s="4"/>
      <c r="K356" s="74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</row>
    <row r="357" ht="15.75" customHeight="1">
      <c r="A357" s="32"/>
      <c r="B357" s="65"/>
      <c r="C357" s="65"/>
      <c r="D357" s="32"/>
      <c r="E357" s="32"/>
      <c r="F357" s="32"/>
      <c r="G357" s="65"/>
      <c r="H357" s="67"/>
      <c r="I357" s="67"/>
      <c r="J357" s="4"/>
      <c r="K357" s="74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</row>
    <row r="358" ht="15.75" customHeight="1">
      <c r="A358" s="32"/>
      <c r="B358" s="65"/>
      <c r="C358" s="65"/>
      <c r="D358" s="32"/>
      <c r="E358" s="32"/>
      <c r="F358" s="32"/>
      <c r="G358" s="65"/>
      <c r="H358" s="67"/>
      <c r="I358" s="67"/>
      <c r="J358" s="4"/>
      <c r="K358" s="74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</row>
    <row r="359" ht="15.75" customHeight="1">
      <c r="A359" s="32"/>
      <c r="B359" s="65"/>
      <c r="C359" s="65"/>
      <c r="D359" s="32"/>
      <c r="E359" s="32"/>
      <c r="F359" s="32"/>
      <c r="G359" s="65"/>
      <c r="H359" s="67"/>
      <c r="I359" s="67"/>
      <c r="J359" s="4"/>
      <c r="K359" s="74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</row>
    <row r="360" ht="15.75" customHeight="1">
      <c r="A360" s="32"/>
      <c r="B360" s="65"/>
      <c r="C360" s="65"/>
      <c r="D360" s="32"/>
      <c r="E360" s="32"/>
      <c r="F360" s="32"/>
      <c r="G360" s="65"/>
      <c r="H360" s="67"/>
      <c r="I360" s="67"/>
      <c r="J360" s="4"/>
      <c r="K360" s="74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</row>
    <row r="361" ht="15.75" customHeight="1">
      <c r="A361" s="32"/>
      <c r="B361" s="65"/>
      <c r="C361" s="65"/>
      <c r="D361" s="32"/>
      <c r="E361" s="32"/>
      <c r="F361" s="32"/>
      <c r="G361" s="65"/>
      <c r="H361" s="67"/>
      <c r="I361" s="67"/>
      <c r="J361" s="4"/>
      <c r="K361" s="74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</row>
    <row r="362" ht="15.75" customHeight="1">
      <c r="A362" s="32"/>
      <c r="B362" s="65"/>
      <c r="C362" s="65"/>
      <c r="D362" s="32"/>
      <c r="E362" s="32"/>
      <c r="F362" s="32"/>
      <c r="G362" s="65"/>
      <c r="H362" s="67"/>
      <c r="I362" s="67"/>
      <c r="J362" s="4"/>
      <c r="K362" s="74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</row>
    <row r="363" ht="15.75" customHeight="1">
      <c r="A363" s="32"/>
      <c r="B363" s="65"/>
      <c r="C363" s="65"/>
      <c r="D363" s="32"/>
      <c r="E363" s="32"/>
      <c r="F363" s="32"/>
      <c r="G363" s="65"/>
      <c r="H363" s="67"/>
      <c r="I363" s="67"/>
      <c r="J363" s="4"/>
      <c r="K363" s="74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</row>
    <row r="364" ht="15.75" customHeight="1">
      <c r="A364" s="32"/>
      <c r="B364" s="65"/>
      <c r="C364" s="65"/>
      <c r="D364" s="32"/>
      <c r="E364" s="32"/>
      <c r="F364" s="32"/>
      <c r="G364" s="65"/>
      <c r="H364" s="67"/>
      <c r="I364" s="67"/>
      <c r="J364" s="4"/>
      <c r="K364" s="74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</row>
    <row r="365" ht="15.75" customHeight="1">
      <c r="A365" s="32"/>
      <c r="B365" s="65"/>
      <c r="C365" s="65"/>
      <c r="D365" s="32"/>
      <c r="E365" s="32"/>
      <c r="F365" s="32"/>
      <c r="G365" s="65"/>
      <c r="H365" s="67"/>
      <c r="I365" s="67"/>
      <c r="J365" s="4"/>
      <c r="K365" s="74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</row>
    <row r="366" ht="15.75" customHeight="1">
      <c r="A366" s="32"/>
      <c r="B366" s="65"/>
      <c r="C366" s="65"/>
      <c r="D366" s="32"/>
      <c r="E366" s="32"/>
      <c r="F366" s="32"/>
      <c r="G366" s="65"/>
      <c r="H366" s="67"/>
      <c r="I366" s="67"/>
      <c r="J366" s="4"/>
      <c r="K366" s="74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</row>
    <row r="367" ht="15.75" customHeight="1">
      <c r="A367" s="32"/>
      <c r="B367" s="65"/>
      <c r="C367" s="65"/>
      <c r="D367" s="32"/>
      <c r="E367" s="32"/>
      <c r="F367" s="32"/>
      <c r="G367" s="65"/>
      <c r="H367" s="67"/>
      <c r="I367" s="67"/>
      <c r="J367" s="4"/>
      <c r="K367" s="74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</row>
    <row r="368" ht="15.75" customHeight="1">
      <c r="A368" s="32"/>
      <c r="B368" s="65"/>
      <c r="C368" s="65"/>
      <c r="D368" s="32"/>
      <c r="E368" s="32"/>
      <c r="F368" s="32"/>
      <c r="G368" s="65"/>
      <c r="H368" s="67"/>
      <c r="I368" s="67"/>
      <c r="J368" s="4"/>
      <c r="K368" s="74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</row>
    <row r="369" ht="15.75" customHeight="1">
      <c r="A369" s="32"/>
      <c r="B369" s="65"/>
      <c r="C369" s="65"/>
      <c r="D369" s="32"/>
      <c r="E369" s="32"/>
      <c r="F369" s="32"/>
      <c r="G369" s="65"/>
      <c r="H369" s="67"/>
      <c r="I369" s="67"/>
      <c r="J369" s="4"/>
      <c r="K369" s="74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</row>
    <row r="370" ht="15.75" customHeight="1">
      <c r="A370" s="32"/>
      <c r="B370" s="65"/>
      <c r="C370" s="65"/>
      <c r="D370" s="32"/>
      <c r="E370" s="32"/>
      <c r="F370" s="32"/>
      <c r="G370" s="65"/>
      <c r="H370" s="67"/>
      <c r="I370" s="67"/>
      <c r="J370" s="4"/>
      <c r="K370" s="74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</row>
    <row r="371" ht="15.75" customHeight="1">
      <c r="A371" s="32"/>
      <c r="B371" s="65"/>
      <c r="C371" s="65"/>
      <c r="D371" s="32"/>
      <c r="E371" s="32"/>
      <c r="F371" s="32"/>
      <c r="G371" s="65"/>
      <c r="H371" s="67"/>
      <c r="I371" s="67"/>
      <c r="J371" s="4"/>
      <c r="K371" s="74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</row>
    <row r="372" ht="15.75" customHeight="1">
      <c r="A372" s="32"/>
      <c r="B372" s="65"/>
      <c r="C372" s="65"/>
      <c r="D372" s="32"/>
      <c r="E372" s="32"/>
      <c r="F372" s="32"/>
      <c r="G372" s="65"/>
      <c r="H372" s="67"/>
      <c r="I372" s="67"/>
      <c r="J372" s="4"/>
      <c r="K372" s="74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</row>
    <row r="373" ht="15.75" customHeight="1">
      <c r="A373" s="32"/>
      <c r="B373" s="65"/>
      <c r="C373" s="65"/>
      <c r="D373" s="32"/>
      <c r="E373" s="32"/>
      <c r="F373" s="32"/>
      <c r="G373" s="65"/>
      <c r="H373" s="67"/>
      <c r="I373" s="67"/>
      <c r="J373" s="4"/>
      <c r="K373" s="74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</row>
    <row r="374" ht="15.75" customHeight="1">
      <c r="A374" s="32"/>
      <c r="B374" s="65"/>
      <c r="C374" s="65"/>
      <c r="D374" s="32"/>
      <c r="E374" s="32"/>
      <c r="F374" s="32"/>
      <c r="G374" s="65"/>
      <c r="H374" s="67"/>
      <c r="I374" s="67"/>
      <c r="J374" s="4"/>
      <c r="K374" s="74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</row>
    <row r="375" ht="15.75" customHeight="1">
      <c r="A375" s="32"/>
      <c r="B375" s="65"/>
      <c r="C375" s="65"/>
      <c r="D375" s="32"/>
      <c r="E375" s="32"/>
      <c r="F375" s="32"/>
      <c r="G375" s="65"/>
      <c r="H375" s="67"/>
      <c r="I375" s="67"/>
      <c r="J375" s="4"/>
      <c r="K375" s="74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</row>
    <row r="376" ht="15.75" customHeight="1">
      <c r="A376" s="32"/>
      <c r="B376" s="65"/>
      <c r="C376" s="65"/>
      <c r="D376" s="32"/>
      <c r="E376" s="32"/>
      <c r="F376" s="32"/>
      <c r="G376" s="65"/>
      <c r="H376" s="67"/>
      <c r="I376" s="67"/>
      <c r="J376" s="4"/>
      <c r="K376" s="74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</row>
    <row r="377" ht="15.75" customHeight="1">
      <c r="A377" s="32"/>
      <c r="B377" s="65"/>
      <c r="C377" s="65"/>
      <c r="D377" s="32"/>
      <c r="E377" s="32"/>
      <c r="F377" s="32"/>
      <c r="G377" s="65"/>
      <c r="H377" s="67"/>
      <c r="I377" s="67"/>
      <c r="J377" s="4"/>
      <c r="K377" s="74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</row>
    <row r="378" ht="15.75" customHeight="1">
      <c r="A378" s="32"/>
      <c r="B378" s="65"/>
      <c r="C378" s="65"/>
      <c r="D378" s="32"/>
      <c r="E378" s="32"/>
      <c r="F378" s="32"/>
      <c r="G378" s="65"/>
      <c r="H378" s="67"/>
      <c r="I378" s="67"/>
      <c r="J378" s="4"/>
      <c r="K378" s="74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</row>
    <row r="379" ht="15.75" customHeight="1">
      <c r="A379" s="32"/>
      <c r="B379" s="65"/>
      <c r="C379" s="65"/>
      <c r="D379" s="32"/>
      <c r="E379" s="32"/>
      <c r="F379" s="32"/>
      <c r="G379" s="65"/>
      <c r="H379" s="67"/>
      <c r="I379" s="67"/>
      <c r="J379" s="4"/>
      <c r="K379" s="74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</row>
    <row r="380" ht="15.75" customHeight="1">
      <c r="A380" s="32"/>
      <c r="B380" s="65"/>
      <c r="C380" s="65"/>
      <c r="D380" s="32"/>
      <c r="E380" s="32"/>
      <c r="F380" s="32"/>
      <c r="G380" s="65"/>
      <c r="H380" s="67"/>
      <c r="I380" s="67"/>
      <c r="J380" s="4"/>
      <c r="K380" s="74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</row>
    <row r="381" ht="15.75" customHeight="1">
      <c r="A381" s="32"/>
      <c r="B381" s="65"/>
      <c r="C381" s="65"/>
      <c r="D381" s="32"/>
      <c r="E381" s="32"/>
      <c r="F381" s="32"/>
      <c r="G381" s="65"/>
      <c r="H381" s="67"/>
      <c r="I381" s="67"/>
      <c r="J381" s="4"/>
      <c r="K381" s="74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</row>
    <row r="382" ht="15.75" customHeight="1">
      <c r="A382" s="32"/>
      <c r="B382" s="65"/>
      <c r="C382" s="65"/>
      <c r="D382" s="32"/>
      <c r="E382" s="32"/>
      <c r="F382" s="32"/>
      <c r="G382" s="65"/>
      <c r="H382" s="67"/>
      <c r="I382" s="67"/>
      <c r="J382" s="4"/>
      <c r="K382" s="74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</row>
    <row r="383" ht="15.75" customHeight="1">
      <c r="A383" s="32"/>
      <c r="B383" s="65"/>
      <c r="C383" s="65"/>
      <c r="D383" s="32"/>
      <c r="E383" s="32"/>
      <c r="F383" s="32"/>
      <c r="G383" s="65"/>
      <c r="H383" s="67"/>
      <c r="I383" s="67"/>
      <c r="J383" s="4"/>
      <c r="K383" s="74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</row>
    <row r="384" ht="15.75" customHeight="1">
      <c r="A384" s="32"/>
      <c r="B384" s="65"/>
      <c r="C384" s="65"/>
      <c r="D384" s="32"/>
      <c r="E384" s="32"/>
      <c r="F384" s="32"/>
      <c r="G384" s="65"/>
      <c r="H384" s="67"/>
      <c r="I384" s="67"/>
      <c r="J384" s="4"/>
      <c r="K384" s="74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</row>
    <row r="385" ht="15.75" customHeight="1">
      <c r="A385" s="32"/>
      <c r="B385" s="65"/>
      <c r="C385" s="65"/>
      <c r="D385" s="32"/>
      <c r="E385" s="32"/>
      <c r="F385" s="32"/>
      <c r="G385" s="65"/>
      <c r="H385" s="67"/>
      <c r="I385" s="67"/>
      <c r="J385" s="4"/>
      <c r="K385" s="74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</row>
    <row r="386" ht="15.75" customHeight="1">
      <c r="A386" s="32"/>
      <c r="B386" s="65"/>
      <c r="C386" s="65"/>
      <c r="D386" s="32"/>
      <c r="E386" s="32"/>
      <c r="F386" s="32"/>
      <c r="G386" s="65"/>
      <c r="H386" s="67"/>
      <c r="I386" s="67"/>
      <c r="J386" s="4"/>
      <c r="K386" s="74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</row>
    <row r="387" ht="15.75" customHeight="1">
      <c r="A387" s="32"/>
      <c r="B387" s="65"/>
      <c r="C387" s="65"/>
      <c r="D387" s="32"/>
      <c r="E387" s="32"/>
      <c r="F387" s="32"/>
      <c r="G387" s="65"/>
      <c r="H387" s="67"/>
      <c r="I387" s="67"/>
      <c r="J387" s="4"/>
      <c r="K387" s="74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</row>
    <row r="388" ht="15.75" customHeight="1">
      <c r="A388" s="32"/>
      <c r="B388" s="65"/>
      <c r="C388" s="65"/>
      <c r="D388" s="32"/>
      <c r="E388" s="32"/>
      <c r="F388" s="32"/>
      <c r="G388" s="65"/>
      <c r="H388" s="67"/>
      <c r="I388" s="67"/>
      <c r="J388" s="4"/>
      <c r="K388" s="74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</row>
    <row r="389" ht="15.75" customHeight="1">
      <c r="A389" s="32"/>
      <c r="B389" s="65"/>
      <c r="C389" s="65"/>
      <c r="D389" s="32"/>
      <c r="E389" s="32"/>
      <c r="F389" s="32"/>
      <c r="G389" s="65"/>
      <c r="H389" s="67"/>
      <c r="I389" s="67"/>
      <c r="J389" s="4"/>
      <c r="K389" s="74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</row>
    <row r="390" ht="15.75" customHeight="1">
      <c r="A390" s="32"/>
      <c r="B390" s="65"/>
      <c r="C390" s="65"/>
      <c r="D390" s="32"/>
      <c r="E390" s="32"/>
      <c r="F390" s="32"/>
      <c r="G390" s="65"/>
      <c r="H390" s="67"/>
      <c r="I390" s="67"/>
      <c r="J390" s="4"/>
      <c r="K390" s="74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</row>
    <row r="391" ht="15.75" customHeight="1">
      <c r="A391" s="32"/>
      <c r="B391" s="65"/>
      <c r="C391" s="65"/>
      <c r="D391" s="32"/>
      <c r="E391" s="32"/>
      <c r="F391" s="32"/>
      <c r="G391" s="65"/>
      <c r="H391" s="67"/>
      <c r="I391" s="67"/>
      <c r="J391" s="4"/>
      <c r="K391" s="74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</row>
    <row r="392" ht="15.75" customHeight="1">
      <c r="A392" s="32"/>
      <c r="B392" s="65"/>
      <c r="C392" s="65"/>
      <c r="D392" s="32"/>
      <c r="E392" s="32"/>
      <c r="F392" s="32"/>
      <c r="G392" s="65"/>
      <c r="H392" s="67"/>
      <c r="I392" s="67"/>
      <c r="J392" s="4"/>
      <c r="K392" s="74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</row>
    <row r="393" ht="15.75" customHeight="1">
      <c r="A393" s="32"/>
      <c r="B393" s="65"/>
      <c r="C393" s="65"/>
      <c r="D393" s="32"/>
      <c r="E393" s="32"/>
      <c r="F393" s="32"/>
      <c r="G393" s="65"/>
      <c r="H393" s="67"/>
      <c r="I393" s="67"/>
      <c r="J393" s="4"/>
      <c r="K393" s="74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</row>
    <row r="394" ht="15.75" customHeight="1">
      <c r="A394" s="32"/>
      <c r="B394" s="65"/>
      <c r="C394" s="65"/>
      <c r="D394" s="32"/>
      <c r="E394" s="32"/>
      <c r="F394" s="32"/>
      <c r="G394" s="65"/>
      <c r="H394" s="67"/>
      <c r="I394" s="67"/>
      <c r="J394" s="4"/>
      <c r="K394" s="74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</row>
    <row r="395" ht="15.75" customHeight="1">
      <c r="A395" s="32"/>
      <c r="B395" s="65"/>
      <c r="C395" s="65"/>
      <c r="D395" s="32"/>
      <c r="E395" s="32"/>
      <c r="F395" s="32"/>
      <c r="G395" s="65"/>
      <c r="H395" s="67"/>
      <c r="I395" s="67"/>
      <c r="J395" s="4"/>
      <c r="K395" s="74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</row>
    <row r="396" ht="15.75" customHeight="1">
      <c r="A396" s="32"/>
      <c r="B396" s="65"/>
      <c r="C396" s="65"/>
      <c r="D396" s="32"/>
      <c r="E396" s="32"/>
      <c r="F396" s="32"/>
      <c r="G396" s="65"/>
      <c r="H396" s="67"/>
      <c r="I396" s="67"/>
      <c r="J396" s="4"/>
      <c r="K396" s="74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</row>
    <row r="397" ht="15.75" customHeight="1">
      <c r="A397" s="32"/>
      <c r="B397" s="65"/>
      <c r="C397" s="65"/>
      <c r="D397" s="32"/>
      <c r="E397" s="32"/>
      <c r="F397" s="32"/>
      <c r="G397" s="65"/>
      <c r="H397" s="67"/>
      <c r="I397" s="67"/>
      <c r="J397" s="4"/>
      <c r="K397" s="74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</row>
    <row r="398" ht="15.75" customHeight="1">
      <c r="A398" s="32"/>
      <c r="B398" s="65"/>
      <c r="C398" s="65"/>
      <c r="D398" s="32"/>
      <c r="E398" s="32"/>
      <c r="F398" s="32"/>
      <c r="G398" s="65"/>
      <c r="H398" s="67"/>
      <c r="I398" s="67"/>
      <c r="J398" s="4"/>
      <c r="K398" s="74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</row>
    <row r="399" ht="15.75" customHeight="1">
      <c r="A399" s="32"/>
      <c r="B399" s="65"/>
      <c r="C399" s="65"/>
      <c r="D399" s="32"/>
      <c r="E399" s="32"/>
      <c r="F399" s="32"/>
      <c r="G399" s="65"/>
      <c r="H399" s="67"/>
      <c r="I399" s="67"/>
      <c r="J399" s="4"/>
      <c r="K399" s="74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</row>
    <row r="400" ht="15.75" customHeight="1">
      <c r="A400" s="32"/>
      <c r="B400" s="65"/>
      <c r="C400" s="65"/>
      <c r="D400" s="32"/>
      <c r="E400" s="32"/>
      <c r="F400" s="32"/>
      <c r="G400" s="65"/>
      <c r="H400" s="67"/>
      <c r="I400" s="67"/>
      <c r="J400" s="4"/>
      <c r="K400" s="74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</row>
    <row r="401" ht="15.75" customHeight="1">
      <c r="A401" s="32"/>
      <c r="B401" s="65"/>
      <c r="C401" s="65"/>
      <c r="D401" s="32"/>
      <c r="E401" s="32"/>
      <c r="F401" s="32"/>
      <c r="G401" s="65"/>
      <c r="H401" s="67"/>
      <c r="I401" s="67"/>
      <c r="J401" s="4"/>
      <c r="K401" s="74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</row>
    <row r="402" ht="15.75" customHeight="1">
      <c r="A402" s="32"/>
      <c r="B402" s="65"/>
      <c r="C402" s="65"/>
      <c r="D402" s="32"/>
      <c r="E402" s="32"/>
      <c r="F402" s="32"/>
      <c r="G402" s="65"/>
      <c r="H402" s="67"/>
      <c r="I402" s="67"/>
      <c r="J402" s="4"/>
      <c r="K402" s="74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</row>
    <row r="403" ht="15.75" customHeight="1">
      <c r="A403" s="32"/>
      <c r="B403" s="65"/>
      <c r="C403" s="65"/>
      <c r="D403" s="32"/>
      <c r="E403" s="32"/>
      <c r="F403" s="32"/>
      <c r="G403" s="65"/>
      <c r="H403" s="67"/>
      <c r="I403" s="67"/>
      <c r="J403" s="4"/>
      <c r="K403" s="74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</row>
    <row r="404" ht="15.75" customHeight="1">
      <c r="A404" s="32"/>
      <c r="B404" s="65"/>
      <c r="C404" s="65"/>
      <c r="D404" s="32"/>
      <c r="E404" s="32"/>
      <c r="F404" s="32"/>
      <c r="G404" s="65"/>
      <c r="H404" s="67"/>
      <c r="I404" s="67"/>
      <c r="J404" s="4"/>
      <c r="K404" s="74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</row>
    <row r="405" ht="15.75" customHeight="1">
      <c r="A405" s="32"/>
      <c r="B405" s="65"/>
      <c r="C405" s="65"/>
      <c r="D405" s="32"/>
      <c r="E405" s="32"/>
      <c r="F405" s="32"/>
      <c r="G405" s="65"/>
      <c r="H405" s="67"/>
      <c r="I405" s="67"/>
      <c r="J405" s="4"/>
      <c r="K405" s="74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</row>
    <row r="406" ht="15.75" customHeight="1">
      <c r="A406" s="32"/>
      <c r="B406" s="65"/>
      <c r="C406" s="65"/>
      <c r="D406" s="32"/>
      <c r="E406" s="32"/>
      <c r="F406" s="32"/>
      <c r="G406" s="65"/>
      <c r="H406" s="67"/>
      <c r="I406" s="67"/>
      <c r="J406" s="4"/>
      <c r="K406" s="74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</row>
    <row r="407" ht="15.75" customHeight="1">
      <c r="A407" s="32"/>
      <c r="B407" s="65"/>
      <c r="C407" s="65"/>
      <c r="D407" s="32"/>
      <c r="E407" s="32"/>
      <c r="F407" s="32"/>
      <c r="G407" s="65"/>
      <c r="H407" s="67"/>
      <c r="I407" s="67"/>
      <c r="J407" s="4"/>
      <c r="K407" s="74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</row>
    <row r="408" ht="15.75" customHeight="1">
      <c r="A408" s="32"/>
      <c r="B408" s="65"/>
      <c r="C408" s="65"/>
      <c r="D408" s="32"/>
      <c r="E408" s="32"/>
      <c r="F408" s="32"/>
      <c r="G408" s="65"/>
      <c r="H408" s="67"/>
      <c r="I408" s="67"/>
      <c r="J408" s="4"/>
      <c r="K408" s="74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</row>
    <row r="409" ht="15.75" customHeight="1">
      <c r="A409" s="32"/>
      <c r="B409" s="65"/>
      <c r="C409" s="65"/>
      <c r="D409" s="32"/>
      <c r="E409" s="32"/>
      <c r="F409" s="32"/>
      <c r="G409" s="65"/>
      <c r="H409" s="67"/>
      <c r="I409" s="67"/>
      <c r="J409" s="4"/>
      <c r="K409" s="74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</row>
    <row r="410" ht="15.75" customHeight="1">
      <c r="A410" s="32"/>
      <c r="B410" s="65"/>
      <c r="C410" s="65"/>
      <c r="D410" s="32"/>
      <c r="E410" s="32"/>
      <c r="F410" s="32"/>
      <c r="G410" s="65"/>
      <c r="H410" s="67"/>
      <c r="I410" s="67"/>
      <c r="J410" s="4"/>
      <c r="K410" s="74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</row>
    <row r="411" ht="15.75" customHeight="1">
      <c r="A411" s="32"/>
      <c r="B411" s="65"/>
      <c r="C411" s="65"/>
      <c r="D411" s="32"/>
      <c r="E411" s="32"/>
      <c r="F411" s="32"/>
      <c r="G411" s="65"/>
      <c r="H411" s="67"/>
      <c r="I411" s="67"/>
      <c r="J411" s="4"/>
      <c r="K411" s="74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</row>
    <row r="412" ht="15.75" customHeight="1">
      <c r="A412" s="32"/>
      <c r="B412" s="65"/>
      <c r="C412" s="65"/>
      <c r="D412" s="32"/>
      <c r="E412" s="32"/>
      <c r="F412" s="32"/>
      <c r="G412" s="65"/>
      <c r="H412" s="67"/>
      <c r="I412" s="67"/>
      <c r="J412" s="4"/>
      <c r="K412" s="74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</row>
    <row r="413" ht="15.75" customHeight="1">
      <c r="A413" s="32"/>
      <c r="B413" s="65"/>
      <c r="C413" s="65"/>
      <c r="D413" s="32"/>
      <c r="E413" s="32"/>
      <c r="F413" s="32"/>
      <c r="G413" s="65"/>
      <c r="H413" s="67"/>
      <c r="I413" s="67"/>
      <c r="J413" s="4"/>
      <c r="K413" s="74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</row>
    <row r="414" ht="15.75" customHeight="1">
      <c r="A414" s="32"/>
      <c r="B414" s="65"/>
      <c r="C414" s="65"/>
      <c r="D414" s="32"/>
      <c r="E414" s="32"/>
      <c r="F414" s="32"/>
      <c r="G414" s="65"/>
      <c r="H414" s="67"/>
      <c r="I414" s="67"/>
      <c r="J414" s="4"/>
      <c r="K414" s="74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</row>
    <row r="415" ht="15.75" customHeight="1">
      <c r="A415" s="32"/>
      <c r="B415" s="65"/>
      <c r="C415" s="65"/>
      <c r="D415" s="32"/>
      <c r="E415" s="32"/>
      <c r="F415" s="32"/>
      <c r="G415" s="65"/>
      <c r="H415" s="67"/>
      <c r="I415" s="67"/>
      <c r="J415" s="4"/>
      <c r="K415" s="74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</row>
    <row r="416" ht="15.75" customHeight="1">
      <c r="A416" s="32"/>
      <c r="B416" s="65"/>
      <c r="C416" s="65"/>
      <c r="D416" s="32"/>
      <c r="E416" s="32"/>
      <c r="F416" s="32"/>
      <c r="G416" s="65"/>
      <c r="H416" s="67"/>
      <c r="I416" s="67"/>
      <c r="J416" s="4"/>
      <c r="K416" s="74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</row>
    <row r="417" ht="15.75" customHeight="1">
      <c r="A417" s="32"/>
      <c r="B417" s="65"/>
      <c r="C417" s="65"/>
      <c r="D417" s="32"/>
      <c r="E417" s="32"/>
      <c r="F417" s="32"/>
      <c r="G417" s="65"/>
      <c r="H417" s="67"/>
      <c r="I417" s="67"/>
      <c r="J417" s="4"/>
      <c r="K417" s="74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</row>
    <row r="418" ht="15.75" customHeight="1">
      <c r="A418" s="32"/>
      <c r="B418" s="65"/>
      <c r="C418" s="65"/>
      <c r="D418" s="32"/>
      <c r="E418" s="32"/>
      <c r="F418" s="32"/>
      <c r="G418" s="65"/>
      <c r="H418" s="67"/>
      <c r="I418" s="67"/>
      <c r="J418" s="4"/>
      <c r="K418" s="74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</row>
    <row r="419" ht="15.75" customHeight="1">
      <c r="A419" s="32"/>
      <c r="B419" s="65"/>
      <c r="C419" s="65"/>
      <c r="D419" s="32"/>
      <c r="E419" s="32"/>
      <c r="F419" s="32"/>
      <c r="G419" s="65"/>
      <c r="H419" s="67"/>
      <c r="I419" s="67"/>
      <c r="J419" s="4"/>
      <c r="K419" s="74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</row>
    <row r="420" ht="15.75" customHeight="1">
      <c r="A420" s="32"/>
      <c r="B420" s="65"/>
      <c r="C420" s="65"/>
      <c r="D420" s="32"/>
      <c r="E420" s="32"/>
      <c r="F420" s="32"/>
      <c r="G420" s="65"/>
      <c r="H420" s="67"/>
      <c r="I420" s="67"/>
      <c r="J420" s="4"/>
      <c r="K420" s="74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</row>
    <row r="421" ht="15.75" customHeight="1">
      <c r="A421" s="32"/>
      <c r="B421" s="65"/>
      <c r="C421" s="65"/>
      <c r="D421" s="32"/>
      <c r="E421" s="32"/>
      <c r="F421" s="32"/>
      <c r="G421" s="65"/>
      <c r="H421" s="67"/>
      <c r="I421" s="67"/>
      <c r="J421" s="4"/>
      <c r="K421" s="74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</row>
    <row r="422" ht="15.75" customHeight="1">
      <c r="A422" s="32"/>
      <c r="B422" s="65"/>
      <c r="C422" s="65"/>
      <c r="D422" s="32"/>
      <c r="E422" s="32"/>
      <c r="F422" s="32"/>
      <c r="G422" s="65"/>
      <c r="H422" s="67"/>
      <c r="I422" s="67"/>
      <c r="J422" s="4"/>
      <c r="K422" s="74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</row>
    <row r="423" ht="15.75" customHeight="1">
      <c r="A423" s="32"/>
      <c r="B423" s="65"/>
      <c r="C423" s="65"/>
      <c r="D423" s="32"/>
      <c r="E423" s="32"/>
      <c r="F423" s="32"/>
      <c r="G423" s="65"/>
      <c r="H423" s="67"/>
      <c r="I423" s="67"/>
      <c r="J423" s="4"/>
      <c r="K423" s="74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</row>
    <row r="424" ht="15.75" customHeight="1">
      <c r="A424" s="32"/>
      <c r="B424" s="65"/>
      <c r="C424" s="65"/>
      <c r="D424" s="32"/>
      <c r="E424" s="32"/>
      <c r="F424" s="32"/>
      <c r="G424" s="65"/>
      <c r="H424" s="67"/>
      <c r="I424" s="67"/>
      <c r="J424" s="4"/>
      <c r="K424" s="74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</row>
    <row r="425" ht="15.75" customHeight="1">
      <c r="A425" s="32"/>
      <c r="B425" s="65"/>
      <c r="C425" s="65"/>
      <c r="D425" s="32"/>
      <c r="E425" s="32"/>
      <c r="F425" s="32"/>
      <c r="G425" s="65"/>
      <c r="H425" s="67"/>
      <c r="I425" s="67"/>
      <c r="J425" s="4"/>
      <c r="K425" s="74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</row>
    <row r="426" ht="15.75" customHeight="1">
      <c r="A426" s="32"/>
      <c r="B426" s="65"/>
      <c r="C426" s="65"/>
      <c r="D426" s="32"/>
      <c r="E426" s="32"/>
      <c r="F426" s="32"/>
      <c r="G426" s="65"/>
      <c r="H426" s="67"/>
      <c r="I426" s="67"/>
      <c r="J426" s="4"/>
      <c r="K426" s="74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</row>
    <row r="427" ht="15.75" customHeight="1">
      <c r="A427" s="32"/>
      <c r="B427" s="65"/>
      <c r="C427" s="65"/>
      <c r="D427" s="32"/>
      <c r="E427" s="32"/>
      <c r="F427" s="32"/>
      <c r="G427" s="65"/>
      <c r="H427" s="67"/>
      <c r="I427" s="67"/>
      <c r="J427" s="4"/>
      <c r="K427" s="74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</row>
    <row r="428" ht="15.75" customHeight="1">
      <c r="A428" s="32"/>
      <c r="B428" s="65"/>
      <c r="C428" s="65"/>
      <c r="D428" s="32"/>
      <c r="E428" s="32"/>
      <c r="F428" s="32"/>
      <c r="G428" s="65"/>
      <c r="H428" s="67"/>
      <c r="I428" s="67"/>
      <c r="J428" s="4"/>
      <c r="K428" s="74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</row>
    <row r="429" ht="15.75" customHeight="1">
      <c r="A429" s="32"/>
      <c r="B429" s="65"/>
      <c r="C429" s="65"/>
      <c r="D429" s="32"/>
      <c r="E429" s="32"/>
      <c r="F429" s="32"/>
      <c r="G429" s="65"/>
      <c r="H429" s="67"/>
      <c r="I429" s="67"/>
      <c r="J429" s="4"/>
      <c r="K429" s="74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</row>
    <row r="430" ht="15.75" customHeight="1">
      <c r="A430" s="32"/>
      <c r="B430" s="65"/>
      <c r="C430" s="65"/>
      <c r="D430" s="32"/>
      <c r="E430" s="32"/>
      <c r="F430" s="32"/>
      <c r="G430" s="65"/>
      <c r="H430" s="67"/>
      <c r="I430" s="67"/>
      <c r="J430" s="4"/>
      <c r="K430" s="74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</row>
    <row r="431" ht="15.75" customHeight="1">
      <c r="A431" s="32"/>
      <c r="B431" s="65"/>
      <c r="C431" s="65"/>
      <c r="D431" s="32"/>
      <c r="E431" s="32"/>
      <c r="F431" s="32"/>
      <c r="G431" s="65"/>
      <c r="H431" s="67"/>
      <c r="I431" s="67"/>
      <c r="J431" s="4"/>
      <c r="K431" s="74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</row>
    <row r="432" ht="15.75" customHeight="1">
      <c r="A432" s="32"/>
      <c r="B432" s="65"/>
      <c r="C432" s="65"/>
      <c r="D432" s="32"/>
      <c r="E432" s="32"/>
      <c r="F432" s="32"/>
      <c r="G432" s="65"/>
      <c r="H432" s="67"/>
      <c r="I432" s="67"/>
      <c r="J432" s="4"/>
      <c r="K432" s="74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</row>
    <row r="433" ht="15.75" customHeight="1">
      <c r="A433" s="32"/>
      <c r="B433" s="65"/>
      <c r="C433" s="65"/>
      <c r="D433" s="32"/>
      <c r="E433" s="32"/>
      <c r="F433" s="32"/>
      <c r="G433" s="65"/>
      <c r="H433" s="67"/>
      <c r="I433" s="67"/>
      <c r="J433" s="4"/>
      <c r="K433" s="74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</row>
    <row r="434" ht="15.75" customHeight="1">
      <c r="A434" s="32"/>
      <c r="B434" s="65"/>
      <c r="C434" s="65"/>
      <c r="D434" s="32"/>
      <c r="E434" s="32"/>
      <c r="F434" s="32"/>
      <c r="G434" s="65"/>
      <c r="H434" s="67"/>
      <c r="I434" s="67"/>
      <c r="J434" s="4"/>
      <c r="K434" s="74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</row>
    <row r="435" ht="15.75" customHeight="1">
      <c r="A435" s="32"/>
      <c r="B435" s="65"/>
      <c r="C435" s="65"/>
      <c r="D435" s="32"/>
      <c r="E435" s="32"/>
      <c r="F435" s="32"/>
      <c r="G435" s="65"/>
      <c r="H435" s="67"/>
      <c r="I435" s="67"/>
      <c r="J435" s="4"/>
      <c r="K435" s="74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</row>
    <row r="436" ht="15.75" customHeight="1">
      <c r="A436" s="32"/>
      <c r="B436" s="65"/>
      <c r="C436" s="65"/>
      <c r="D436" s="32"/>
      <c r="E436" s="32"/>
      <c r="F436" s="32"/>
      <c r="G436" s="65"/>
      <c r="H436" s="67"/>
      <c r="I436" s="67"/>
      <c r="J436" s="4"/>
      <c r="K436" s="74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</row>
    <row r="437" ht="15.75" customHeight="1">
      <c r="A437" s="32"/>
      <c r="B437" s="65"/>
      <c r="C437" s="65"/>
      <c r="D437" s="32"/>
      <c r="E437" s="32"/>
      <c r="F437" s="32"/>
      <c r="G437" s="65"/>
      <c r="H437" s="67"/>
      <c r="I437" s="67"/>
      <c r="J437" s="4"/>
      <c r="K437" s="74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</row>
    <row r="438" ht="15.75" customHeight="1">
      <c r="A438" s="32"/>
      <c r="B438" s="65"/>
      <c r="C438" s="65"/>
      <c r="D438" s="32"/>
      <c r="E438" s="32"/>
      <c r="F438" s="32"/>
      <c r="G438" s="65"/>
      <c r="H438" s="67"/>
      <c r="I438" s="67"/>
      <c r="J438" s="4"/>
      <c r="K438" s="74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</row>
    <row r="439" ht="15.75" customHeight="1">
      <c r="A439" s="32"/>
      <c r="B439" s="65"/>
      <c r="C439" s="65"/>
      <c r="D439" s="32"/>
      <c r="E439" s="32"/>
      <c r="F439" s="32"/>
      <c r="G439" s="65"/>
      <c r="H439" s="67"/>
      <c r="I439" s="67"/>
      <c r="J439" s="4"/>
      <c r="K439" s="74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</row>
    <row r="440" ht="15.75" customHeight="1">
      <c r="A440" s="32"/>
      <c r="B440" s="65"/>
      <c r="C440" s="65"/>
      <c r="D440" s="32"/>
      <c r="E440" s="32"/>
      <c r="F440" s="32"/>
      <c r="G440" s="65"/>
      <c r="H440" s="67"/>
      <c r="I440" s="67"/>
      <c r="J440" s="4"/>
      <c r="K440" s="74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</row>
    <row r="441" ht="15.75" customHeight="1">
      <c r="A441" s="32"/>
      <c r="B441" s="65"/>
      <c r="C441" s="65"/>
      <c r="D441" s="32"/>
      <c r="E441" s="32"/>
      <c r="F441" s="32"/>
      <c r="G441" s="65"/>
      <c r="H441" s="67"/>
      <c r="I441" s="67"/>
      <c r="J441" s="4"/>
      <c r="K441" s="74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</row>
    <row r="442" ht="15.75" customHeight="1">
      <c r="A442" s="32"/>
      <c r="B442" s="65"/>
      <c r="C442" s="65"/>
      <c r="D442" s="32"/>
      <c r="E442" s="32"/>
      <c r="F442" s="32"/>
      <c r="G442" s="65"/>
      <c r="H442" s="67"/>
      <c r="I442" s="67"/>
      <c r="J442" s="4"/>
      <c r="K442" s="74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</row>
    <row r="443" ht="15.75" customHeight="1">
      <c r="A443" s="32"/>
      <c r="B443" s="65"/>
      <c r="C443" s="65"/>
      <c r="D443" s="32"/>
      <c r="E443" s="32"/>
      <c r="F443" s="32"/>
      <c r="G443" s="65"/>
      <c r="H443" s="67"/>
      <c r="I443" s="67"/>
      <c r="J443" s="4"/>
      <c r="K443" s="74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</row>
    <row r="444" ht="15.75" customHeight="1">
      <c r="A444" s="32"/>
      <c r="B444" s="65"/>
      <c r="C444" s="65"/>
      <c r="D444" s="32"/>
      <c r="E444" s="32"/>
      <c r="F444" s="32"/>
      <c r="G444" s="65"/>
      <c r="H444" s="67"/>
      <c r="I444" s="67"/>
      <c r="J444" s="4"/>
      <c r="K444" s="74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</row>
    <row r="445" ht="15.75" customHeight="1">
      <c r="A445" s="32"/>
      <c r="B445" s="65"/>
      <c r="C445" s="65"/>
      <c r="D445" s="32"/>
      <c r="E445" s="32"/>
      <c r="F445" s="32"/>
      <c r="G445" s="65"/>
      <c r="H445" s="67"/>
      <c r="I445" s="67"/>
      <c r="J445" s="4"/>
      <c r="K445" s="74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</row>
    <row r="446" ht="15.75" customHeight="1">
      <c r="A446" s="32"/>
      <c r="B446" s="65"/>
      <c r="C446" s="65"/>
      <c r="D446" s="32"/>
      <c r="E446" s="32"/>
      <c r="F446" s="32"/>
      <c r="G446" s="65"/>
      <c r="H446" s="67"/>
      <c r="I446" s="67"/>
      <c r="J446" s="4"/>
      <c r="K446" s="74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</row>
    <row r="447" ht="15.75" customHeight="1">
      <c r="A447" s="32"/>
      <c r="B447" s="65"/>
      <c r="C447" s="65"/>
      <c r="D447" s="32"/>
      <c r="E447" s="32"/>
      <c r="F447" s="32"/>
      <c r="G447" s="65"/>
      <c r="H447" s="67"/>
      <c r="I447" s="67"/>
      <c r="J447" s="4"/>
      <c r="K447" s="74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</row>
    <row r="448" ht="15.75" customHeight="1">
      <c r="A448" s="32"/>
      <c r="B448" s="65"/>
      <c r="C448" s="65"/>
      <c r="D448" s="32"/>
      <c r="E448" s="32"/>
      <c r="F448" s="32"/>
      <c r="G448" s="65"/>
      <c r="H448" s="67"/>
      <c r="I448" s="67"/>
      <c r="J448" s="4"/>
      <c r="K448" s="74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</row>
    <row r="449" ht="15.75" customHeight="1">
      <c r="A449" s="32"/>
      <c r="B449" s="65"/>
      <c r="C449" s="65"/>
      <c r="D449" s="32"/>
      <c r="E449" s="32"/>
      <c r="F449" s="32"/>
      <c r="G449" s="65"/>
      <c r="H449" s="67"/>
      <c r="I449" s="67"/>
      <c r="J449" s="4"/>
      <c r="K449" s="74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</row>
    <row r="450" ht="15.75" customHeight="1">
      <c r="A450" s="32"/>
      <c r="B450" s="65"/>
      <c r="C450" s="65"/>
      <c r="D450" s="32"/>
      <c r="E450" s="32"/>
      <c r="F450" s="32"/>
      <c r="G450" s="65"/>
      <c r="H450" s="67"/>
      <c r="I450" s="67"/>
      <c r="J450" s="4"/>
      <c r="K450" s="74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</row>
    <row r="451" ht="15.75" customHeight="1">
      <c r="A451" s="32"/>
      <c r="B451" s="65"/>
      <c r="C451" s="65"/>
      <c r="D451" s="32"/>
      <c r="E451" s="32"/>
      <c r="F451" s="32"/>
      <c r="G451" s="65"/>
      <c r="H451" s="67"/>
      <c r="I451" s="67"/>
      <c r="J451" s="4"/>
      <c r="K451" s="74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</row>
    <row r="452" ht="15.75" customHeight="1">
      <c r="A452" s="32"/>
      <c r="B452" s="65"/>
      <c r="C452" s="65"/>
      <c r="D452" s="32"/>
      <c r="E452" s="32"/>
      <c r="F452" s="32"/>
      <c r="G452" s="65"/>
      <c r="H452" s="67"/>
      <c r="I452" s="67"/>
      <c r="J452" s="4"/>
      <c r="K452" s="74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</row>
    <row r="453" ht="15.75" customHeight="1">
      <c r="A453" s="32"/>
      <c r="B453" s="65"/>
      <c r="C453" s="65"/>
      <c r="D453" s="32"/>
      <c r="E453" s="32"/>
      <c r="F453" s="32"/>
      <c r="G453" s="65"/>
      <c r="H453" s="67"/>
      <c r="I453" s="67"/>
      <c r="J453" s="4"/>
      <c r="K453" s="74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</row>
    <row r="454" ht="15.75" customHeight="1">
      <c r="A454" s="32"/>
      <c r="B454" s="65"/>
      <c r="C454" s="65"/>
      <c r="D454" s="32"/>
      <c r="E454" s="32"/>
      <c r="F454" s="32"/>
      <c r="G454" s="65"/>
      <c r="H454" s="67"/>
      <c r="I454" s="67"/>
      <c r="J454" s="4"/>
      <c r="K454" s="74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</row>
    <row r="455" ht="15.75" customHeight="1">
      <c r="A455" s="32"/>
      <c r="B455" s="65"/>
      <c r="C455" s="65"/>
      <c r="D455" s="32"/>
      <c r="E455" s="32"/>
      <c r="F455" s="32"/>
      <c r="G455" s="65"/>
      <c r="H455" s="67"/>
      <c r="I455" s="67"/>
      <c r="J455" s="4"/>
      <c r="K455" s="74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</row>
    <row r="456" ht="15.75" customHeight="1">
      <c r="A456" s="32"/>
      <c r="B456" s="65"/>
      <c r="C456" s="65"/>
      <c r="D456" s="32"/>
      <c r="E456" s="32"/>
      <c r="F456" s="32"/>
      <c r="G456" s="65"/>
      <c r="H456" s="67"/>
      <c r="I456" s="67"/>
      <c r="J456" s="4"/>
      <c r="K456" s="74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</row>
    <row r="457" ht="15.75" customHeight="1">
      <c r="A457" s="32"/>
      <c r="B457" s="65"/>
      <c r="C457" s="65"/>
      <c r="D457" s="32"/>
      <c r="E457" s="32"/>
      <c r="F457" s="32"/>
      <c r="G457" s="65"/>
      <c r="H457" s="67"/>
      <c r="I457" s="67"/>
      <c r="J457" s="4"/>
      <c r="K457" s="74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</row>
    <row r="458" ht="15.75" customHeight="1">
      <c r="A458" s="32"/>
      <c r="B458" s="65"/>
      <c r="C458" s="65"/>
      <c r="D458" s="32"/>
      <c r="E458" s="32"/>
      <c r="F458" s="32"/>
      <c r="G458" s="65"/>
      <c r="H458" s="67"/>
      <c r="I458" s="67"/>
      <c r="J458" s="4"/>
      <c r="K458" s="74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</row>
    <row r="459" ht="15.75" customHeight="1">
      <c r="A459" s="32"/>
      <c r="B459" s="65"/>
      <c r="C459" s="65"/>
      <c r="D459" s="32"/>
      <c r="E459" s="32"/>
      <c r="F459" s="32"/>
      <c r="G459" s="65"/>
      <c r="H459" s="67"/>
      <c r="I459" s="67"/>
      <c r="J459" s="4"/>
      <c r="K459" s="74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</row>
    <row r="460" ht="15.75" customHeight="1">
      <c r="A460" s="32"/>
      <c r="B460" s="65"/>
      <c r="C460" s="65"/>
      <c r="D460" s="32"/>
      <c r="E460" s="32"/>
      <c r="F460" s="32"/>
      <c r="G460" s="65"/>
      <c r="H460" s="67"/>
      <c r="I460" s="67"/>
      <c r="J460" s="4"/>
      <c r="K460" s="74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</row>
    <row r="461" ht="15.75" customHeight="1">
      <c r="A461" s="32"/>
      <c r="B461" s="65"/>
      <c r="C461" s="65"/>
      <c r="D461" s="32"/>
      <c r="E461" s="32"/>
      <c r="F461" s="32"/>
      <c r="G461" s="65"/>
      <c r="H461" s="67"/>
      <c r="I461" s="67"/>
      <c r="J461" s="4"/>
      <c r="K461" s="74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</row>
    <row r="462" ht="15.75" customHeight="1">
      <c r="A462" s="32"/>
      <c r="B462" s="65"/>
      <c r="C462" s="65"/>
      <c r="D462" s="32"/>
      <c r="E462" s="32"/>
      <c r="F462" s="32"/>
      <c r="G462" s="65"/>
      <c r="H462" s="67"/>
      <c r="I462" s="67"/>
      <c r="J462" s="4"/>
      <c r="K462" s="74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</row>
    <row r="463" ht="15.75" customHeight="1">
      <c r="A463" s="32"/>
      <c r="B463" s="65"/>
      <c r="C463" s="65"/>
      <c r="D463" s="32"/>
      <c r="E463" s="32"/>
      <c r="F463" s="32"/>
      <c r="G463" s="65"/>
      <c r="H463" s="67"/>
      <c r="I463" s="67"/>
      <c r="J463" s="4"/>
      <c r="K463" s="74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</row>
    <row r="464" ht="15.75" customHeight="1">
      <c r="A464" s="32"/>
      <c r="B464" s="65"/>
      <c r="C464" s="65"/>
      <c r="D464" s="32"/>
      <c r="E464" s="32"/>
      <c r="F464" s="32"/>
      <c r="G464" s="65"/>
      <c r="H464" s="67"/>
      <c r="I464" s="67"/>
      <c r="J464" s="4"/>
      <c r="K464" s="74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</row>
    <row r="465" ht="15.75" customHeight="1">
      <c r="A465" s="32"/>
      <c r="B465" s="65"/>
      <c r="C465" s="65"/>
      <c r="D465" s="32"/>
      <c r="E465" s="32"/>
      <c r="F465" s="32"/>
      <c r="G465" s="65"/>
      <c r="H465" s="67"/>
      <c r="I465" s="67"/>
      <c r="J465" s="4"/>
      <c r="K465" s="74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</row>
    <row r="466" ht="15.75" customHeight="1">
      <c r="A466" s="32"/>
      <c r="B466" s="65"/>
      <c r="C466" s="65"/>
      <c r="D466" s="32"/>
      <c r="E466" s="32"/>
      <c r="F466" s="32"/>
      <c r="G466" s="65"/>
      <c r="H466" s="67"/>
      <c r="I466" s="67"/>
      <c r="J466" s="4"/>
      <c r="K466" s="74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</row>
    <row r="467" ht="15.75" customHeight="1">
      <c r="A467" s="32"/>
      <c r="B467" s="65"/>
      <c r="C467" s="65"/>
      <c r="D467" s="32"/>
      <c r="E467" s="32"/>
      <c r="F467" s="32"/>
      <c r="G467" s="65"/>
      <c r="H467" s="67"/>
      <c r="I467" s="67"/>
      <c r="J467" s="4"/>
      <c r="K467" s="74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</row>
    <row r="468" ht="15.75" customHeight="1">
      <c r="A468" s="32"/>
      <c r="B468" s="65"/>
      <c r="C468" s="65"/>
      <c r="D468" s="32"/>
      <c r="E468" s="32"/>
      <c r="F468" s="32"/>
      <c r="G468" s="65"/>
      <c r="H468" s="67"/>
      <c r="I468" s="67"/>
      <c r="J468" s="4"/>
      <c r="K468" s="74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</row>
    <row r="469" ht="15.75" customHeight="1">
      <c r="A469" s="32"/>
      <c r="B469" s="65"/>
      <c r="C469" s="65"/>
      <c r="D469" s="32"/>
      <c r="E469" s="32"/>
      <c r="F469" s="32"/>
      <c r="G469" s="65"/>
      <c r="H469" s="67"/>
      <c r="I469" s="67"/>
      <c r="J469" s="4"/>
      <c r="K469" s="74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</row>
    <row r="470" ht="15.75" customHeight="1">
      <c r="A470" s="32"/>
      <c r="B470" s="65"/>
      <c r="C470" s="65"/>
      <c r="D470" s="32"/>
      <c r="E470" s="32"/>
      <c r="F470" s="32"/>
      <c r="G470" s="65"/>
      <c r="H470" s="67"/>
      <c r="I470" s="67"/>
      <c r="J470" s="4"/>
      <c r="K470" s="74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</row>
    <row r="471" ht="15.75" customHeight="1">
      <c r="A471" s="32"/>
      <c r="B471" s="65"/>
      <c r="C471" s="65"/>
      <c r="D471" s="32"/>
      <c r="E471" s="32"/>
      <c r="F471" s="32"/>
      <c r="G471" s="65"/>
      <c r="H471" s="67"/>
      <c r="I471" s="67"/>
      <c r="J471" s="4"/>
      <c r="K471" s="74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</row>
    <row r="472" ht="15.75" customHeight="1">
      <c r="A472" s="32"/>
      <c r="B472" s="65"/>
      <c r="C472" s="65"/>
      <c r="D472" s="32"/>
      <c r="E472" s="32"/>
      <c r="F472" s="32"/>
      <c r="G472" s="65"/>
      <c r="H472" s="67"/>
      <c r="I472" s="67"/>
      <c r="J472" s="4"/>
      <c r="K472" s="74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</row>
    <row r="473" ht="15.75" customHeight="1">
      <c r="A473" s="32"/>
      <c r="B473" s="65"/>
      <c r="C473" s="65"/>
      <c r="D473" s="32"/>
      <c r="E473" s="32"/>
      <c r="F473" s="32"/>
      <c r="G473" s="65"/>
      <c r="H473" s="67"/>
      <c r="I473" s="67"/>
      <c r="J473" s="4"/>
      <c r="K473" s="74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</row>
    <row r="474" ht="15.75" customHeight="1">
      <c r="A474" s="32"/>
      <c r="B474" s="65"/>
      <c r="C474" s="65"/>
      <c r="D474" s="32"/>
      <c r="E474" s="32"/>
      <c r="F474" s="32"/>
      <c r="G474" s="65"/>
      <c r="H474" s="67"/>
      <c r="I474" s="67"/>
      <c r="J474" s="4"/>
      <c r="K474" s="74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</row>
    <row r="475" ht="15.75" customHeight="1">
      <c r="A475" s="32"/>
      <c r="B475" s="65"/>
      <c r="C475" s="65"/>
      <c r="D475" s="32"/>
      <c r="E475" s="32"/>
      <c r="F475" s="32"/>
      <c r="G475" s="65"/>
      <c r="H475" s="67"/>
      <c r="I475" s="67"/>
      <c r="J475" s="4"/>
      <c r="K475" s="74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</row>
    <row r="476" ht="15.75" customHeight="1">
      <c r="A476" s="32"/>
      <c r="B476" s="65"/>
      <c r="C476" s="65"/>
      <c r="D476" s="32"/>
      <c r="E476" s="32"/>
      <c r="F476" s="32"/>
      <c r="G476" s="65"/>
      <c r="H476" s="67"/>
      <c r="I476" s="67"/>
      <c r="J476" s="4"/>
      <c r="K476" s="74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</row>
    <row r="477" ht="15.75" customHeight="1">
      <c r="A477" s="32"/>
      <c r="B477" s="65"/>
      <c r="C477" s="65"/>
      <c r="D477" s="32"/>
      <c r="E477" s="32"/>
      <c r="F477" s="32"/>
      <c r="G477" s="65"/>
      <c r="H477" s="67"/>
      <c r="I477" s="67"/>
      <c r="J477" s="4"/>
      <c r="K477" s="74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</row>
    <row r="478" ht="15.75" customHeight="1">
      <c r="A478" s="32"/>
      <c r="B478" s="65"/>
      <c r="C478" s="65"/>
      <c r="D478" s="32"/>
      <c r="E478" s="32"/>
      <c r="F478" s="32"/>
      <c r="G478" s="65"/>
      <c r="H478" s="67"/>
      <c r="I478" s="67"/>
      <c r="J478" s="4"/>
      <c r="K478" s="74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</row>
    <row r="479" ht="15.75" customHeight="1">
      <c r="A479" s="32"/>
      <c r="B479" s="65"/>
      <c r="C479" s="65"/>
      <c r="D479" s="32"/>
      <c r="E479" s="32"/>
      <c r="F479" s="32"/>
      <c r="G479" s="65"/>
      <c r="H479" s="67"/>
      <c r="I479" s="67"/>
      <c r="J479" s="4"/>
      <c r="K479" s="74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</row>
    <row r="480" ht="15.75" customHeight="1">
      <c r="A480" s="32"/>
      <c r="B480" s="65"/>
      <c r="C480" s="65"/>
      <c r="D480" s="32"/>
      <c r="E480" s="32"/>
      <c r="F480" s="32"/>
      <c r="G480" s="65"/>
      <c r="H480" s="67"/>
      <c r="I480" s="67"/>
      <c r="J480" s="4"/>
      <c r="K480" s="74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</row>
    <row r="481" ht="15.75" customHeight="1">
      <c r="A481" s="32"/>
      <c r="B481" s="65"/>
      <c r="C481" s="65"/>
      <c r="D481" s="32"/>
      <c r="E481" s="32"/>
      <c r="F481" s="32"/>
      <c r="G481" s="65"/>
      <c r="H481" s="67"/>
      <c r="I481" s="67"/>
      <c r="J481" s="4"/>
      <c r="K481" s="74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</row>
    <row r="482" ht="15.75" customHeight="1">
      <c r="A482" s="32"/>
      <c r="B482" s="65"/>
      <c r="C482" s="65"/>
      <c r="D482" s="32"/>
      <c r="E482" s="32"/>
      <c r="F482" s="32"/>
      <c r="G482" s="65"/>
      <c r="H482" s="67"/>
      <c r="I482" s="67"/>
      <c r="J482" s="4"/>
      <c r="K482" s="74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</row>
    <row r="483" ht="15.75" customHeight="1">
      <c r="A483" s="32"/>
      <c r="B483" s="65"/>
      <c r="C483" s="65"/>
      <c r="D483" s="32"/>
      <c r="E483" s="32"/>
      <c r="F483" s="32"/>
      <c r="G483" s="65"/>
      <c r="H483" s="67"/>
      <c r="I483" s="67"/>
      <c r="J483" s="4"/>
      <c r="K483" s="74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</row>
    <row r="484" ht="15.75" customHeight="1">
      <c r="A484" s="32"/>
      <c r="B484" s="65"/>
      <c r="C484" s="65"/>
      <c r="D484" s="32"/>
      <c r="E484" s="32"/>
      <c r="F484" s="32"/>
      <c r="G484" s="65"/>
      <c r="H484" s="67"/>
      <c r="I484" s="67"/>
      <c r="J484" s="4"/>
      <c r="K484" s="74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</row>
    <row r="485" ht="15.75" customHeight="1">
      <c r="A485" s="32"/>
      <c r="B485" s="65"/>
      <c r="C485" s="65"/>
      <c r="D485" s="32"/>
      <c r="E485" s="32"/>
      <c r="F485" s="32"/>
      <c r="G485" s="65"/>
      <c r="H485" s="67"/>
      <c r="I485" s="67"/>
      <c r="J485" s="4"/>
      <c r="K485" s="74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</row>
    <row r="486" ht="15.75" customHeight="1">
      <c r="A486" s="32"/>
      <c r="B486" s="65"/>
      <c r="C486" s="65"/>
      <c r="D486" s="32"/>
      <c r="E486" s="32"/>
      <c r="F486" s="32"/>
      <c r="G486" s="65"/>
      <c r="H486" s="67"/>
      <c r="I486" s="67"/>
      <c r="J486" s="4"/>
      <c r="K486" s="74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</row>
    <row r="487" ht="15.75" customHeight="1">
      <c r="A487" s="32"/>
      <c r="B487" s="65"/>
      <c r="C487" s="65"/>
      <c r="D487" s="32"/>
      <c r="E487" s="32"/>
      <c r="F487" s="32"/>
      <c r="G487" s="65"/>
      <c r="H487" s="67"/>
      <c r="I487" s="67"/>
      <c r="J487" s="4"/>
      <c r="K487" s="74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</row>
    <row r="488" ht="15.75" customHeight="1">
      <c r="A488" s="32"/>
      <c r="B488" s="65"/>
      <c r="C488" s="65"/>
      <c r="D488" s="32"/>
      <c r="E488" s="32"/>
      <c r="F488" s="32"/>
      <c r="G488" s="65"/>
      <c r="H488" s="67"/>
      <c r="I488" s="67"/>
      <c r="J488" s="4"/>
      <c r="K488" s="74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</row>
    <row r="489" ht="15.75" customHeight="1">
      <c r="A489" s="32"/>
      <c r="B489" s="65"/>
      <c r="C489" s="65"/>
      <c r="D489" s="32"/>
      <c r="E489" s="32"/>
      <c r="F489" s="32"/>
      <c r="G489" s="65"/>
      <c r="H489" s="67"/>
      <c r="I489" s="67"/>
      <c r="J489" s="4"/>
      <c r="K489" s="74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</row>
    <row r="490" ht="15.75" customHeight="1">
      <c r="A490" s="32"/>
      <c r="B490" s="65"/>
      <c r="C490" s="65"/>
      <c r="D490" s="32"/>
      <c r="E490" s="32"/>
      <c r="F490" s="32"/>
      <c r="G490" s="65"/>
      <c r="H490" s="67"/>
      <c r="I490" s="67"/>
      <c r="J490" s="4"/>
      <c r="K490" s="74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</row>
    <row r="491" ht="15.75" customHeight="1">
      <c r="A491" s="32"/>
      <c r="B491" s="65"/>
      <c r="C491" s="65"/>
      <c r="D491" s="32"/>
      <c r="E491" s="32"/>
      <c r="F491" s="32"/>
      <c r="G491" s="65"/>
      <c r="H491" s="67"/>
      <c r="I491" s="67"/>
      <c r="J491" s="4"/>
      <c r="K491" s="74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</row>
    <row r="492" ht="15.75" customHeight="1">
      <c r="A492" s="32"/>
      <c r="B492" s="65"/>
      <c r="C492" s="65"/>
      <c r="D492" s="32"/>
      <c r="E492" s="32"/>
      <c r="F492" s="32"/>
      <c r="G492" s="65"/>
      <c r="H492" s="67"/>
      <c r="I492" s="67"/>
      <c r="J492" s="4"/>
      <c r="K492" s="74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</row>
    <row r="493" ht="15.75" customHeight="1">
      <c r="A493" s="32"/>
      <c r="B493" s="65"/>
      <c r="C493" s="65"/>
      <c r="D493" s="32"/>
      <c r="E493" s="32"/>
      <c r="F493" s="32"/>
      <c r="G493" s="65"/>
      <c r="H493" s="67"/>
      <c r="I493" s="67"/>
      <c r="J493" s="4"/>
      <c r="K493" s="74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</row>
    <row r="494" ht="15.75" customHeight="1">
      <c r="A494" s="32"/>
      <c r="B494" s="65"/>
      <c r="C494" s="65"/>
      <c r="D494" s="32"/>
      <c r="E494" s="32"/>
      <c r="F494" s="32"/>
      <c r="G494" s="65"/>
      <c r="H494" s="67"/>
      <c r="I494" s="67"/>
      <c r="J494" s="4"/>
      <c r="K494" s="74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</row>
    <row r="495" ht="15.75" customHeight="1">
      <c r="A495" s="32"/>
      <c r="B495" s="65"/>
      <c r="C495" s="65"/>
      <c r="D495" s="32"/>
      <c r="E495" s="32"/>
      <c r="F495" s="32"/>
      <c r="G495" s="65"/>
      <c r="H495" s="67"/>
      <c r="I495" s="67"/>
      <c r="J495" s="4"/>
      <c r="K495" s="74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</row>
    <row r="496" ht="15.75" customHeight="1">
      <c r="A496" s="32"/>
      <c r="B496" s="65"/>
      <c r="C496" s="65"/>
      <c r="D496" s="32"/>
      <c r="E496" s="32"/>
      <c r="F496" s="32"/>
      <c r="G496" s="65"/>
      <c r="H496" s="67"/>
      <c r="I496" s="67"/>
      <c r="J496" s="4"/>
      <c r="K496" s="74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</row>
    <row r="497" ht="15.75" customHeight="1">
      <c r="A497" s="32"/>
      <c r="B497" s="65"/>
      <c r="C497" s="65"/>
      <c r="D497" s="32"/>
      <c r="E497" s="32"/>
      <c r="F497" s="32"/>
      <c r="G497" s="65"/>
      <c r="H497" s="67"/>
      <c r="I497" s="67"/>
      <c r="J497" s="4"/>
      <c r="K497" s="74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</row>
    <row r="498" ht="15.75" customHeight="1">
      <c r="A498" s="32"/>
      <c r="B498" s="65"/>
      <c r="C498" s="65"/>
      <c r="D498" s="32"/>
      <c r="E498" s="32"/>
      <c r="F498" s="32"/>
      <c r="G498" s="65"/>
      <c r="H498" s="67"/>
      <c r="I498" s="67"/>
      <c r="J498" s="4"/>
      <c r="K498" s="74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</row>
    <row r="499" ht="15.75" customHeight="1">
      <c r="A499" s="32"/>
      <c r="B499" s="65"/>
      <c r="C499" s="65"/>
      <c r="D499" s="32"/>
      <c r="E499" s="32"/>
      <c r="F499" s="32"/>
      <c r="G499" s="65"/>
      <c r="H499" s="67"/>
      <c r="I499" s="67"/>
      <c r="J499" s="4"/>
      <c r="K499" s="74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</row>
    <row r="500" ht="15.75" customHeight="1">
      <c r="A500" s="32"/>
      <c r="B500" s="65"/>
      <c r="C500" s="65"/>
      <c r="D500" s="32"/>
      <c r="E500" s="32"/>
      <c r="F500" s="32"/>
      <c r="G500" s="65"/>
      <c r="H500" s="67"/>
      <c r="I500" s="67"/>
      <c r="J500" s="4"/>
      <c r="K500" s="74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</row>
    <row r="501" ht="15.75" customHeight="1">
      <c r="A501" s="32"/>
      <c r="B501" s="65"/>
      <c r="C501" s="65"/>
      <c r="D501" s="32"/>
      <c r="E501" s="32"/>
      <c r="F501" s="32"/>
      <c r="G501" s="65"/>
      <c r="H501" s="67"/>
      <c r="I501" s="67"/>
      <c r="J501" s="4"/>
      <c r="K501" s="74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</row>
    <row r="502" ht="15.75" customHeight="1">
      <c r="A502" s="32"/>
      <c r="B502" s="65"/>
      <c r="C502" s="65"/>
      <c r="D502" s="32"/>
      <c r="E502" s="32"/>
      <c r="F502" s="32"/>
      <c r="G502" s="65"/>
      <c r="H502" s="67"/>
      <c r="I502" s="67"/>
      <c r="J502" s="4"/>
      <c r="K502" s="74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</row>
    <row r="503" ht="15.75" customHeight="1">
      <c r="A503" s="32"/>
      <c r="B503" s="65"/>
      <c r="C503" s="65"/>
      <c r="D503" s="32"/>
      <c r="E503" s="32"/>
      <c r="F503" s="32"/>
      <c r="G503" s="65"/>
      <c r="H503" s="67"/>
      <c r="I503" s="67"/>
      <c r="J503" s="4"/>
      <c r="K503" s="74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</row>
    <row r="504" ht="15.75" customHeight="1">
      <c r="A504" s="32"/>
      <c r="B504" s="65"/>
      <c r="C504" s="65"/>
      <c r="D504" s="32"/>
      <c r="E504" s="32"/>
      <c r="F504" s="32"/>
      <c r="G504" s="65"/>
      <c r="H504" s="67"/>
      <c r="I504" s="67"/>
      <c r="J504" s="4"/>
      <c r="K504" s="74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</row>
    <row r="505" ht="15.75" customHeight="1">
      <c r="A505" s="32"/>
      <c r="B505" s="65"/>
      <c r="C505" s="65"/>
      <c r="D505" s="32"/>
      <c r="E505" s="32"/>
      <c r="F505" s="32"/>
      <c r="G505" s="65"/>
      <c r="H505" s="67"/>
      <c r="I505" s="67"/>
      <c r="J505" s="4"/>
      <c r="K505" s="74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</row>
    <row r="506" ht="15.75" customHeight="1">
      <c r="A506" s="32"/>
      <c r="B506" s="65"/>
      <c r="C506" s="65"/>
      <c r="D506" s="32"/>
      <c r="E506" s="32"/>
      <c r="F506" s="32"/>
      <c r="G506" s="65"/>
      <c r="H506" s="67"/>
      <c r="I506" s="67"/>
      <c r="J506" s="4"/>
      <c r="K506" s="74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</row>
    <row r="507" ht="15.75" customHeight="1">
      <c r="A507" s="32"/>
      <c r="B507" s="65"/>
      <c r="C507" s="65"/>
      <c r="D507" s="32"/>
      <c r="E507" s="32"/>
      <c r="F507" s="32"/>
      <c r="G507" s="65"/>
      <c r="H507" s="67"/>
      <c r="I507" s="67"/>
      <c r="J507" s="4"/>
      <c r="K507" s="74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</row>
    <row r="508" ht="15.75" customHeight="1">
      <c r="A508" s="32"/>
      <c r="B508" s="65"/>
      <c r="C508" s="65"/>
      <c r="D508" s="32"/>
      <c r="E508" s="32"/>
      <c r="F508" s="32"/>
      <c r="G508" s="65"/>
      <c r="H508" s="67"/>
      <c r="I508" s="67"/>
      <c r="J508" s="4"/>
      <c r="K508" s="74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</row>
    <row r="509" ht="15.75" customHeight="1">
      <c r="A509" s="32"/>
      <c r="B509" s="65"/>
      <c r="C509" s="65"/>
      <c r="D509" s="32"/>
      <c r="E509" s="32"/>
      <c r="F509" s="32"/>
      <c r="G509" s="65"/>
      <c r="H509" s="67"/>
      <c r="I509" s="67"/>
      <c r="J509" s="4"/>
      <c r="K509" s="74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</row>
    <row r="510" ht="15.75" customHeight="1">
      <c r="A510" s="32"/>
      <c r="B510" s="65"/>
      <c r="C510" s="65"/>
      <c r="D510" s="32"/>
      <c r="E510" s="32"/>
      <c r="F510" s="32"/>
      <c r="G510" s="65"/>
      <c r="H510" s="67"/>
      <c r="I510" s="67"/>
      <c r="J510" s="4"/>
      <c r="K510" s="74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</row>
    <row r="511" ht="15.75" customHeight="1">
      <c r="A511" s="32"/>
      <c r="B511" s="65"/>
      <c r="C511" s="65"/>
      <c r="D511" s="32"/>
      <c r="E511" s="32"/>
      <c r="F511" s="32"/>
      <c r="G511" s="65"/>
      <c r="H511" s="67"/>
      <c r="I511" s="67"/>
      <c r="J511" s="4"/>
      <c r="K511" s="74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</row>
    <row r="512" ht="15.75" customHeight="1">
      <c r="A512" s="32"/>
      <c r="B512" s="65"/>
      <c r="C512" s="65"/>
      <c r="D512" s="32"/>
      <c r="E512" s="32"/>
      <c r="F512" s="32"/>
      <c r="G512" s="65"/>
      <c r="H512" s="67"/>
      <c r="I512" s="67"/>
      <c r="J512" s="4"/>
      <c r="K512" s="74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</row>
    <row r="513" ht="15.75" customHeight="1">
      <c r="A513" s="32"/>
      <c r="B513" s="65"/>
      <c r="C513" s="65"/>
      <c r="D513" s="32"/>
      <c r="E513" s="32"/>
      <c r="F513" s="32"/>
      <c r="G513" s="65"/>
      <c r="H513" s="67"/>
      <c r="I513" s="67"/>
      <c r="J513" s="4"/>
      <c r="K513" s="74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</row>
    <row r="514" ht="15.75" customHeight="1">
      <c r="A514" s="32"/>
      <c r="B514" s="65"/>
      <c r="C514" s="65"/>
      <c r="D514" s="32"/>
      <c r="E514" s="32"/>
      <c r="F514" s="32"/>
      <c r="G514" s="65"/>
      <c r="H514" s="67"/>
      <c r="I514" s="67"/>
      <c r="J514" s="4"/>
      <c r="K514" s="74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</row>
    <row r="515" ht="15.75" customHeight="1">
      <c r="A515" s="32"/>
      <c r="B515" s="65"/>
      <c r="C515" s="65"/>
      <c r="D515" s="32"/>
      <c r="E515" s="32"/>
      <c r="F515" s="32"/>
      <c r="G515" s="65"/>
      <c r="H515" s="67"/>
      <c r="I515" s="67"/>
      <c r="J515" s="4"/>
      <c r="K515" s="74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</row>
    <row r="516" ht="15.75" customHeight="1">
      <c r="A516" s="32"/>
      <c r="B516" s="65"/>
      <c r="C516" s="65"/>
      <c r="D516" s="32"/>
      <c r="E516" s="32"/>
      <c r="F516" s="32"/>
      <c r="G516" s="65"/>
      <c r="H516" s="67"/>
      <c r="I516" s="67"/>
      <c r="J516" s="4"/>
      <c r="K516" s="74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</row>
    <row r="517" ht="15.75" customHeight="1">
      <c r="A517" s="32"/>
      <c r="B517" s="65"/>
      <c r="C517" s="65"/>
      <c r="D517" s="32"/>
      <c r="E517" s="32"/>
      <c r="F517" s="32"/>
      <c r="G517" s="65"/>
      <c r="H517" s="67"/>
      <c r="I517" s="67"/>
      <c r="J517" s="4"/>
      <c r="K517" s="74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</row>
    <row r="518" ht="15.75" customHeight="1">
      <c r="A518" s="32"/>
      <c r="B518" s="65"/>
      <c r="C518" s="65"/>
      <c r="D518" s="32"/>
      <c r="E518" s="32"/>
      <c r="F518" s="32"/>
      <c r="G518" s="65"/>
      <c r="H518" s="67"/>
      <c r="I518" s="67"/>
      <c r="J518" s="4"/>
      <c r="K518" s="74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</row>
    <row r="519" ht="15.75" customHeight="1">
      <c r="A519" s="32"/>
      <c r="B519" s="65"/>
      <c r="C519" s="65"/>
      <c r="D519" s="32"/>
      <c r="E519" s="32"/>
      <c r="F519" s="32"/>
      <c r="G519" s="65"/>
      <c r="H519" s="67"/>
      <c r="I519" s="67"/>
      <c r="J519" s="4"/>
      <c r="K519" s="74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</row>
    <row r="520" ht="15.75" customHeight="1">
      <c r="A520" s="32"/>
      <c r="B520" s="65"/>
      <c r="C520" s="65"/>
      <c r="D520" s="32"/>
      <c r="E520" s="32"/>
      <c r="F520" s="32"/>
      <c r="G520" s="65"/>
      <c r="H520" s="67"/>
      <c r="I520" s="67"/>
      <c r="J520" s="4"/>
      <c r="K520" s="74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</row>
    <row r="521" ht="15.75" customHeight="1">
      <c r="A521" s="32"/>
      <c r="B521" s="65"/>
      <c r="C521" s="65"/>
      <c r="D521" s="32"/>
      <c r="E521" s="32"/>
      <c r="F521" s="32"/>
      <c r="G521" s="65"/>
      <c r="H521" s="67"/>
      <c r="I521" s="67"/>
      <c r="J521" s="4"/>
      <c r="K521" s="74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</row>
    <row r="522" ht="15.75" customHeight="1">
      <c r="A522" s="32"/>
      <c r="B522" s="65"/>
      <c r="C522" s="65"/>
      <c r="D522" s="32"/>
      <c r="E522" s="32"/>
      <c r="F522" s="32"/>
      <c r="G522" s="65"/>
      <c r="H522" s="67"/>
      <c r="I522" s="67"/>
      <c r="J522" s="4"/>
      <c r="K522" s="74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</row>
    <row r="523" ht="15.75" customHeight="1">
      <c r="A523" s="32"/>
      <c r="B523" s="65"/>
      <c r="C523" s="65"/>
      <c r="D523" s="32"/>
      <c r="E523" s="32"/>
      <c r="F523" s="32"/>
      <c r="G523" s="65"/>
      <c r="H523" s="67"/>
      <c r="I523" s="67"/>
      <c r="J523" s="4"/>
      <c r="K523" s="74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</row>
    <row r="524" ht="15.75" customHeight="1">
      <c r="A524" s="32"/>
      <c r="B524" s="65"/>
      <c r="C524" s="65"/>
      <c r="D524" s="32"/>
      <c r="E524" s="32"/>
      <c r="F524" s="32"/>
      <c r="G524" s="65"/>
      <c r="H524" s="67"/>
      <c r="I524" s="67"/>
      <c r="J524" s="4"/>
      <c r="K524" s="74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</row>
    <row r="525" ht="15.75" customHeight="1">
      <c r="A525" s="32"/>
      <c r="B525" s="65"/>
      <c r="C525" s="65"/>
      <c r="D525" s="32"/>
      <c r="E525" s="32"/>
      <c r="F525" s="32"/>
      <c r="G525" s="65"/>
      <c r="H525" s="67"/>
      <c r="I525" s="67"/>
      <c r="J525" s="4"/>
      <c r="K525" s="74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</row>
    <row r="526" ht="15.75" customHeight="1">
      <c r="A526" s="32"/>
      <c r="B526" s="65"/>
      <c r="C526" s="65"/>
      <c r="D526" s="32"/>
      <c r="E526" s="32"/>
      <c r="F526" s="32"/>
      <c r="G526" s="65"/>
      <c r="H526" s="67"/>
      <c r="I526" s="67"/>
      <c r="J526" s="4"/>
      <c r="K526" s="74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</row>
    <row r="527" ht="15.75" customHeight="1">
      <c r="A527" s="32"/>
      <c r="B527" s="65"/>
      <c r="C527" s="65"/>
      <c r="D527" s="32"/>
      <c r="E527" s="32"/>
      <c r="F527" s="32"/>
      <c r="G527" s="65"/>
      <c r="H527" s="67"/>
      <c r="I527" s="67"/>
      <c r="J527" s="4"/>
      <c r="K527" s="74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</row>
    <row r="528" ht="15.75" customHeight="1">
      <c r="A528" s="32"/>
      <c r="B528" s="65"/>
      <c r="C528" s="65"/>
      <c r="D528" s="32"/>
      <c r="E528" s="32"/>
      <c r="F528" s="32"/>
      <c r="G528" s="65"/>
      <c r="H528" s="67"/>
      <c r="I528" s="67"/>
      <c r="J528" s="4"/>
      <c r="K528" s="74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</row>
    <row r="529" ht="15.75" customHeight="1">
      <c r="A529" s="32"/>
      <c r="B529" s="65"/>
      <c r="C529" s="65"/>
      <c r="D529" s="32"/>
      <c r="E529" s="32"/>
      <c r="F529" s="32"/>
      <c r="G529" s="65"/>
      <c r="H529" s="67"/>
      <c r="I529" s="67"/>
      <c r="J529" s="4"/>
      <c r="K529" s="74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</row>
    <row r="530" ht="15.75" customHeight="1">
      <c r="A530" s="32"/>
      <c r="B530" s="65"/>
      <c r="C530" s="65"/>
      <c r="D530" s="32"/>
      <c r="E530" s="32"/>
      <c r="F530" s="32"/>
      <c r="G530" s="65"/>
      <c r="H530" s="67"/>
      <c r="I530" s="67"/>
      <c r="J530" s="4"/>
      <c r="K530" s="74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</row>
    <row r="531" ht="15.75" customHeight="1">
      <c r="A531" s="32"/>
      <c r="B531" s="65"/>
      <c r="C531" s="65"/>
      <c r="D531" s="32"/>
      <c r="E531" s="32"/>
      <c r="F531" s="32"/>
      <c r="G531" s="65"/>
      <c r="H531" s="67"/>
      <c r="I531" s="67"/>
      <c r="J531" s="4"/>
      <c r="K531" s="74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</row>
    <row r="532" ht="15.75" customHeight="1">
      <c r="A532" s="32"/>
      <c r="B532" s="65"/>
      <c r="C532" s="65"/>
      <c r="D532" s="32"/>
      <c r="E532" s="32"/>
      <c r="F532" s="32"/>
      <c r="G532" s="65"/>
      <c r="H532" s="67"/>
      <c r="I532" s="67"/>
      <c r="J532" s="4"/>
      <c r="K532" s="74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</row>
    <row r="533" ht="15.75" customHeight="1">
      <c r="A533" s="32"/>
      <c r="B533" s="65"/>
      <c r="C533" s="65"/>
      <c r="D533" s="32"/>
      <c r="E533" s="32"/>
      <c r="F533" s="32"/>
      <c r="G533" s="65"/>
      <c r="H533" s="67"/>
      <c r="I533" s="67"/>
      <c r="J533" s="4"/>
      <c r="K533" s="74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</row>
    <row r="534" ht="15.75" customHeight="1">
      <c r="A534" s="32"/>
      <c r="B534" s="65"/>
      <c r="C534" s="65"/>
      <c r="D534" s="32"/>
      <c r="E534" s="32"/>
      <c r="F534" s="32"/>
      <c r="G534" s="65"/>
      <c r="H534" s="67"/>
      <c r="I534" s="67"/>
      <c r="J534" s="4"/>
      <c r="K534" s="74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</row>
    <row r="535" ht="15.75" customHeight="1">
      <c r="A535" s="32"/>
      <c r="B535" s="65"/>
      <c r="C535" s="65"/>
      <c r="D535" s="32"/>
      <c r="E535" s="32"/>
      <c r="F535" s="32"/>
      <c r="G535" s="65"/>
      <c r="H535" s="67"/>
      <c r="I535" s="67"/>
      <c r="J535" s="4"/>
      <c r="K535" s="74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</row>
    <row r="536" ht="15.75" customHeight="1">
      <c r="A536" s="32"/>
      <c r="B536" s="65"/>
      <c r="C536" s="65"/>
      <c r="D536" s="32"/>
      <c r="E536" s="32"/>
      <c r="F536" s="32"/>
      <c r="G536" s="65"/>
      <c r="H536" s="67"/>
      <c r="I536" s="67"/>
      <c r="J536" s="4"/>
      <c r="K536" s="74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</row>
    <row r="537" ht="15.75" customHeight="1">
      <c r="A537" s="32"/>
      <c r="B537" s="65"/>
      <c r="C537" s="65"/>
      <c r="D537" s="32"/>
      <c r="E537" s="32"/>
      <c r="F537" s="32"/>
      <c r="G537" s="65"/>
      <c r="H537" s="67"/>
      <c r="I537" s="67"/>
      <c r="J537" s="4"/>
      <c r="K537" s="74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</row>
    <row r="538" ht="15.75" customHeight="1">
      <c r="A538" s="32"/>
      <c r="B538" s="65"/>
      <c r="C538" s="65"/>
      <c r="D538" s="32"/>
      <c r="E538" s="32"/>
      <c r="F538" s="32"/>
      <c r="G538" s="65"/>
      <c r="H538" s="67"/>
      <c r="I538" s="67"/>
      <c r="J538" s="4"/>
      <c r="K538" s="74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</row>
    <row r="539" ht="15.75" customHeight="1">
      <c r="A539" s="32"/>
      <c r="B539" s="65"/>
      <c r="C539" s="65"/>
      <c r="D539" s="32"/>
      <c r="E539" s="32"/>
      <c r="F539" s="32"/>
      <c r="G539" s="65"/>
      <c r="H539" s="67"/>
      <c r="I539" s="67"/>
      <c r="J539" s="4"/>
      <c r="K539" s="74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</row>
    <row r="540" ht="15.75" customHeight="1">
      <c r="A540" s="32"/>
      <c r="B540" s="65"/>
      <c r="C540" s="65"/>
      <c r="D540" s="32"/>
      <c r="E540" s="32"/>
      <c r="F540" s="32"/>
      <c r="G540" s="65"/>
      <c r="H540" s="67"/>
      <c r="I540" s="67"/>
      <c r="J540" s="4"/>
      <c r="K540" s="74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</row>
    <row r="541" ht="15.75" customHeight="1">
      <c r="A541" s="32"/>
      <c r="B541" s="65"/>
      <c r="C541" s="65"/>
      <c r="D541" s="32"/>
      <c r="E541" s="32"/>
      <c r="F541" s="32"/>
      <c r="G541" s="65"/>
      <c r="H541" s="67"/>
      <c r="I541" s="67"/>
      <c r="J541" s="4"/>
      <c r="K541" s="74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</row>
    <row r="542" ht="15.75" customHeight="1">
      <c r="A542" s="32"/>
      <c r="B542" s="65"/>
      <c r="C542" s="65"/>
      <c r="D542" s="32"/>
      <c r="E542" s="32"/>
      <c r="F542" s="32"/>
      <c r="G542" s="65"/>
      <c r="H542" s="67"/>
      <c r="I542" s="67"/>
      <c r="J542" s="4"/>
      <c r="K542" s="74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</row>
    <row r="543" ht="15.75" customHeight="1">
      <c r="A543" s="32"/>
      <c r="B543" s="65"/>
      <c r="C543" s="65"/>
      <c r="D543" s="32"/>
      <c r="E543" s="32"/>
      <c r="F543" s="32"/>
      <c r="G543" s="65"/>
      <c r="H543" s="67"/>
      <c r="I543" s="67"/>
      <c r="J543" s="4"/>
      <c r="K543" s="74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</row>
    <row r="544" ht="15.75" customHeight="1">
      <c r="A544" s="32"/>
      <c r="B544" s="65"/>
      <c r="C544" s="65"/>
      <c r="D544" s="32"/>
      <c r="E544" s="32"/>
      <c r="F544" s="32"/>
      <c r="G544" s="65"/>
      <c r="H544" s="67"/>
      <c r="I544" s="67"/>
      <c r="J544" s="4"/>
      <c r="K544" s="74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</row>
    <row r="545" ht="15.75" customHeight="1">
      <c r="A545" s="32"/>
      <c r="B545" s="65"/>
      <c r="C545" s="65"/>
      <c r="D545" s="32"/>
      <c r="E545" s="32"/>
      <c r="F545" s="32"/>
      <c r="G545" s="65"/>
      <c r="H545" s="67"/>
      <c r="I545" s="67"/>
      <c r="J545" s="4"/>
      <c r="K545" s="74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</row>
    <row r="546" ht="15.75" customHeight="1">
      <c r="A546" s="32"/>
      <c r="B546" s="65"/>
      <c r="C546" s="65"/>
      <c r="D546" s="32"/>
      <c r="E546" s="32"/>
      <c r="F546" s="32"/>
      <c r="G546" s="65"/>
      <c r="H546" s="67"/>
      <c r="I546" s="67"/>
      <c r="J546" s="4"/>
      <c r="K546" s="74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</row>
    <row r="547" ht="15.75" customHeight="1">
      <c r="A547" s="32"/>
      <c r="B547" s="65"/>
      <c r="C547" s="65"/>
      <c r="D547" s="32"/>
      <c r="E547" s="32"/>
      <c r="F547" s="32"/>
      <c r="G547" s="65"/>
      <c r="H547" s="67"/>
      <c r="I547" s="67"/>
      <c r="J547" s="4"/>
      <c r="K547" s="74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</row>
    <row r="548" ht="15.75" customHeight="1">
      <c r="A548" s="32"/>
      <c r="B548" s="65"/>
      <c r="C548" s="65"/>
      <c r="D548" s="32"/>
      <c r="E548" s="32"/>
      <c r="F548" s="32"/>
      <c r="G548" s="65"/>
      <c r="H548" s="67"/>
      <c r="I548" s="67"/>
      <c r="J548" s="4"/>
      <c r="K548" s="74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</row>
    <row r="549" ht="15.75" customHeight="1">
      <c r="A549" s="32"/>
      <c r="B549" s="65"/>
      <c r="C549" s="65"/>
      <c r="D549" s="32"/>
      <c r="E549" s="32"/>
      <c r="F549" s="32"/>
      <c r="G549" s="65"/>
      <c r="H549" s="67"/>
      <c r="I549" s="67"/>
      <c r="J549" s="4"/>
      <c r="K549" s="74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</row>
    <row r="550" ht="15.75" customHeight="1">
      <c r="A550" s="32"/>
      <c r="B550" s="65"/>
      <c r="C550" s="65"/>
      <c r="D550" s="32"/>
      <c r="E550" s="32"/>
      <c r="F550" s="32"/>
      <c r="G550" s="65"/>
      <c r="H550" s="67"/>
      <c r="I550" s="67"/>
      <c r="J550" s="4"/>
      <c r="K550" s="74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</row>
    <row r="551" ht="15.75" customHeight="1">
      <c r="A551" s="32"/>
      <c r="B551" s="65"/>
      <c r="C551" s="65"/>
      <c r="D551" s="32"/>
      <c r="E551" s="32"/>
      <c r="F551" s="32"/>
      <c r="G551" s="65"/>
      <c r="H551" s="67"/>
      <c r="I551" s="67"/>
      <c r="J551" s="4"/>
      <c r="K551" s="74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</row>
    <row r="552" ht="15.75" customHeight="1">
      <c r="A552" s="32"/>
      <c r="B552" s="65"/>
      <c r="C552" s="65"/>
      <c r="D552" s="32"/>
      <c r="E552" s="32"/>
      <c r="F552" s="32"/>
      <c r="G552" s="65"/>
      <c r="H552" s="67"/>
      <c r="I552" s="67"/>
      <c r="J552" s="4"/>
      <c r="K552" s="74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</row>
    <row r="553" ht="15.75" customHeight="1">
      <c r="A553" s="32"/>
      <c r="B553" s="65"/>
      <c r="C553" s="65"/>
      <c r="D553" s="32"/>
      <c r="E553" s="32"/>
      <c r="F553" s="32"/>
      <c r="G553" s="65"/>
      <c r="H553" s="67"/>
      <c r="I553" s="67"/>
      <c r="J553" s="4"/>
      <c r="K553" s="74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</row>
    <row r="554" ht="15.75" customHeight="1">
      <c r="A554" s="32"/>
      <c r="B554" s="65"/>
      <c r="C554" s="65"/>
      <c r="D554" s="32"/>
      <c r="E554" s="32"/>
      <c r="F554" s="32"/>
      <c r="G554" s="65"/>
      <c r="H554" s="67"/>
      <c r="I554" s="67"/>
      <c r="J554" s="4"/>
      <c r="K554" s="74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</row>
    <row r="555" ht="15.75" customHeight="1">
      <c r="A555" s="32"/>
      <c r="B555" s="65"/>
      <c r="C555" s="65"/>
      <c r="D555" s="32"/>
      <c r="E555" s="32"/>
      <c r="F555" s="32"/>
      <c r="G555" s="65"/>
      <c r="H555" s="67"/>
      <c r="I555" s="67"/>
      <c r="J555" s="4"/>
      <c r="K555" s="74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</row>
    <row r="556" ht="15.75" customHeight="1">
      <c r="A556" s="32"/>
      <c r="B556" s="65"/>
      <c r="C556" s="65"/>
      <c r="D556" s="32"/>
      <c r="E556" s="32"/>
      <c r="F556" s="32"/>
      <c r="G556" s="65"/>
      <c r="H556" s="67"/>
      <c r="I556" s="67"/>
      <c r="J556" s="4"/>
      <c r="K556" s="74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</row>
    <row r="557" ht="15.75" customHeight="1">
      <c r="A557" s="32"/>
      <c r="B557" s="65"/>
      <c r="C557" s="65"/>
      <c r="D557" s="32"/>
      <c r="E557" s="32"/>
      <c r="F557" s="32"/>
      <c r="G557" s="65"/>
      <c r="H557" s="67"/>
      <c r="I557" s="67"/>
      <c r="J557" s="4"/>
      <c r="K557" s="74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</row>
    <row r="558" ht="15.75" customHeight="1">
      <c r="A558" s="32"/>
      <c r="B558" s="65"/>
      <c r="C558" s="65"/>
      <c r="D558" s="32"/>
      <c r="E558" s="32"/>
      <c r="F558" s="32"/>
      <c r="G558" s="65"/>
      <c r="H558" s="67"/>
      <c r="I558" s="67"/>
      <c r="J558" s="4"/>
      <c r="K558" s="74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</row>
    <row r="559" ht="15.75" customHeight="1">
      <c r="A559" s="32"/>
      <c r="B559" s="65"/>
      <c r="C559" s="65"/>
      <c r="D559" s="32"/>
      <c r="E559" s="32"/>
      <c r="F559" s="32"/>
      <c r="G559" s="65"/>
      <c r="H559" s="67"/>
      <c r="I559" s="67"/>
      <c r="J559" s="4"/>
      <c r="K559" s="74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</row>
    <row r="560" ht="15.75" customHeight="1">
      <c r="A560" s="32"/>
      <c r="B560" s="65"/>
      <c r="C560" s="65"/>
      <c r="D560" s="32"/>
      <c r="E560" s="32"/>
      <c r="F560" s="32"/>
      <c r="G560" s="65"/>
      <c r="H560" s="67"/>
      <c r="I560" s="67"/>
      <c r="J560" s="4"/>
      <c r="K560" s="74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</row>
    <row r="561" ht="15.75" customHeight="1">
      <c r="A561" s="32"/>
      <c r="B561" s="65"/>
      <c r="C561" s="65"/>
      <c r="D561" s="32"/>
      <c r="E561" s="32"/>
      <c r="F561" s="32"/>
      <c r="G561" s="65"/>
      <c r="H561" s="67"/>
      <c r="I561" s="67"/>
      <c r="J561" s="4"/>
      <c r="K561" s="74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</row>
    <row r="562" ht="15.75" customHeight="1">
      <c r="A562" s="32"/>
      <c r="B562" s="65"/>
      <c r="C562" s="65"/>
      <c r="D562" s="32"/>
      <c r="E562" s="32"/>
      <c r="F562" s="32"/>
      <c r="G562" s="65"/>
      <c r="H562" s="67"/>
      <c r="I562" s="67"/>
      <c r="J562" s="4"/>
      <c r="K562" s="74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</row>
    <row r="563" ht="15.75" customHeight="1">
      <c r="A563" s="32"/>
      <c r="B563" s="65"/>
      <c r="C563" s="65"/>
      <c r="D563" s="32"/>
      <c r="E563" s="32"/>
      <c r="F563" s="32"/>
      <c r="G563" s="65"/>
      <c r="H563" s="67"/>
      <c r="I563" s="67"/>
      <c r="J563" s="4"/>
      <c r="K563" s="74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</row>
    <row r="564" ht="15.75" customHeight="1">
      <c r="A564" s="32"/>
      <c r="B564" s="65"/>
      <c r="C564" s="65"/>
      <c r="D564" s="32"/>
      <c r="E564" s="32"/>
      <c r="F564" s="32"/>
      <c r="G564" s="65"/>
      <c r="H564" s="67"/>
      <c r="I564" s="67"/>
      <c r="J564" s="4"/>
      <c r="K564" s="74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</row>
    <row r="565" ht="15.75" customHeight="1">
      <c r="A565" s="32"/>
      <c r="B565" s="65"/>
      <c r="C565" s="65"/>
      <c r="D565" s="32"/>
      <c r="E565" s="32"/>
      <c r="F565" s="32"/>
      <c r="G565" s="65"/>
      <c r="H565" s="67"/>
      <c r="I565" s="67"/>
      <c r="J565" s="4"/>
      <c r="K565" s="74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</row>
    <row r="566" ht="15.75" customHeight="1">
      <c r="A566" s="32"/>
      <c r="B566" s="65"/>
      <c r="C566" s="65"/>
      <c r="D566" s="32"/>
      <c r="E566" s="32"/>
      <c r="F566" s="32"/>
      <c r="G566" s="65"/>
      <c r="H566" s="67"/>
      <c r="I566" s="67"/>
      <c r="J566" s="4"/>
      <c r="K566" s="74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</row>
    <row r="567" ht="15.75" customHeight="1">
      <c r="A567" s="32"/>
      <c r="B567" s="65"/>
      <c r="C567" s="65"/>
      <c r="D567" s="32"/>
      <c r="E567" s="32"/>
      <c r="F567" s="32"/>
      <c r="G567" s="65"/>
      <c r="H567" s="67"/>
      <c r="I567" s="67"/>
      <c r="J567" s="4"/>
      <c r="K567" s="74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</row>
    <row r="568" ht="15.75" customHeight="1">
      <c r="A568" s="32"/>
      <c r="B568" s="65"/>
      <c r="C568" s="65"/>
      <c r="D568" s="32"/>
      <c r="E568" s="32"/>
      <c r="F568" s="32"/>
      <c r="G568" s="65"/>
      <c r="H568" s="67"/>
      <c r="I568" s="67"/>
      <c r="J568" s="4"/>
      <c r="K568" s="74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</row>
    <row r="569" ht="15.75" customHeight="1">
      <c r="A569" s="32"/>
      <c r="B569" s="65"/>
      <c r="C569" s="65"/>
      <c r="D569" s="32"/>
      <c r="E569" s="32"/>
      <c r="F569" s="32"/>
      <c r="G569" s="65"/>
      <c r="H569" s="67"/>
      <c r="I569" s="67"/>
      <c r="J569" s="4"/>
      <c r="K569" s="74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</row>
    <row r="570" ht="15.75" customHeight="1">
      <c r="A570" s="32"/>
      <c r="B570" s="65"/>
      <c r="C570" s="65"/>
      <c r="D570" s="32"/>
      <c r="E570" s="32"/>
      <c r="F570" s="32"/>
      <c r="G570" s="65"/>
      <c r="H570" s="67"/>
      <c r="I570" s="67"/>
      <c r="J570" s="4"/>
      <c r="K570" s="74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</row>
    <row r="571" ht="15.75" customHeight="1">
      <c r="A571" s="32"/>
      <c r="B571" s="65"/>
      <c r="C571" s="65"/>
      <c r="D571" s="32"/>
      <c r="E571" s="32"/>
      <c r="F571" s="32"/>
      <c r="G571" s="65"/>
      <c r="H571" s="67"/>
      <c r="I571" s="67"/>
      <c r="J571" s="4"/>
      <c r="K571" s="74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</row>
    <row r="572" ht="15.75" customHeight="1">
      <c r="A572" s="32"/>
      <c r="B572" s="65"/>
      <c r="C572" s="65"/>
      <c r="D572" s="32"/>
      <c r="E572" s="32"/>
      <c r="F572" s="32"/>
      <c r="G572" s="65"/>
      <c r="H572" s="67"/>
      <c r="I572" s="67"/>
      <c r="J572" s="4"/>
      <c r="K572" s="74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</row>
    <row r="573" ht="15.75" customHeight="1">
      <c r="A573" s="32"/>
      <c r="B573" s="65"/>
      <c r="C573" s="65"/>
      <c r="D573" s="32"/>
      <c r="E573" s="32"/>
      <c r="F573" s="32"/>
      <c r="G573" s="65"/>
      <c r="H573" s="67"/>
      <c r="I573" s="67"/>
      <c r="J573" s="4"/>
      <c r="K573" s="74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</row>
    <row r="574" ht="15.75" customHeight="1">
      <c r="A574" s="32"/>
      <c r="B574" s="65"/>
      <c r="C574" s="65"/>
      <c r="D574" s="32"/>
      <c r="E574" s="32"/>
      <c r="F574" s="32"/>
      <c r="G574" s="65"/>
      <c r="H574" s="67"/>
      <c r="I574" s="67"/>
      <c r="J574" s="4"/>
      <c r="K574" s="74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</row>
    <row r="575" ht="15.75" customHeight="1">
      <c r="A575" s="32"/>
      <c r="B575" s="65"/>
      <c r="C575" s="65"/>
      <c r="D575" s="32"/>
      <c r="E575" s="32"/>
      <c r="F575" s="32"/>
      <c r="G575" s="65"/>
      <c r="H575" s="67"/>
      <c r="I575" s="67"/>
      <c r="J575" s="4"/>
      <c r="K575" s="74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</row>
    <row r="576" ht="15.75" customHeight="1">
      <c r="A576" s="32"/>
      <c r="B576" s="65"/>
      <c r="C576" s="65"/>
      <c r="D576" s="32"/>
      <c r="E576" s="32"/>
      <c r="F576" s="32"/>
      <c r="G576" s="65"/>
      <c r="H576" s="67"/>
      <c r="I576" s="67"/>
      <c r="J576" s="4"/>
      <c r="K576" s="74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</row>
    <row r="577" ht="15.75" customHeight="1">
      <c r="A577" s="32"/>
      <c r="B577" s="65"/>
      <c r="C577" s="65"/>
      <c r="D577" s="32"/>
      <c r="E577" s="32"/>
      <c r="F577" s="32"/>
      <c r="G577" s="65"/>
      <c r="H577" s="67"/>
      <c r="I577" s="67"/>
      <c r="J577" s="4"/>
      <c r="K577" s="74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</row>
    <row r="578" ht="15.75" customHeight="1">
      <c r="A578" s="32"/>
      <c r="B578" s="65"/>
      <c r="C578" s="65"/>
      <c r="D578" s="32"/>
      <c r="E578" s="32"/>
      <c r="F578" s="32"/>
      <c r="G578" s="65"/>
      <c r="H578" s="67"/>
      <c r="I578" s="67"/>
      <c r="J578" s="4"/>
      <c r="K578" s="74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</row>
    <row r="579" ht="15.75" customHeight="1">
      <c r="A579" s="32"/>
      <c r="B579" s="65"/>
      <c r="C579" s="65"/>
      <c r="D579" s="32"/>
      <c r="E579" s="32"/>
      <c r="F579" s="32"/>
      <c r="G579" s="65"/>
      <c r="H579" s="67"/>
      <c r="I579" s="67"/>
      <c r="J579" s="4"/>
      <c r="K579" s="74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</row>
    <row r="580" ht="15.75" customHeight="1">
      <c r="A580" s="32"/>
      <c r="B580" s="65"/>
      <c r="C580" s="65"/>
      <c r="D580" s="32"/>
      <c r="E580" s="32"/>
      <c r="F580" s="32"/>
      <c r="G580" s="65"/>
      <c r="H580" s="67"/>
      <c r="I580" s="67"/>
      <c r="J580" s="4"/>
      <c r="K580" s="74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</row>
    <row r="581" ht="15.75" customHeight="1">
      <c r="A581" s="32"/>
      <c r="B581" s="65"/>
      <c r="C581" s="65"/>
      <c r="D581" s="32"/>
      <c r="E581" s="32"/>
      <c r="F581" s="32"/>
      <c r="G581" s="65"/>
      <c r="H581" s="67"/>
      <c r="I581" s="67"/>
      <c r="J581" s="4"/>
      <c r="K581" s="74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</row>
    <row r="582" ht="15.75" customHeight="1">
      <c r="A582" s="32"/>
      <c r="B582" s="65"/>
      <c r="C582" s="65"/>
      <c r="D582" s="32"/>
      <c r="E582" s="32"/>
      <c r="F582" s="32"/>
      <c r="G582" s="65"/>
      <c r="H582" s="67"/>
      <c r="I582" s="67"/>
      <c r="J582" s="4"/>
      <c r="K582" s="74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</row>
    <row r="583" ht="15.75" customHeight="1">
      <c r="A583" s="32"/>
      <c r="B583" s="65"/>
      <c r="C583" s="65"/>
      <c r="D583" s="32"/>
      <c r="E583" s="32"/>
      <c r="F583" s="32"/>
      <c r="G583" s="65"/>
      <c r="H583" s="67"/>
      <c r="I583" s="67"/>
      <c r="J583" s="4"/>
      <c r="K583" s="74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</row>
    <row r="584" ht="15.75" customHeight="1">
      <c r="A584" s="32"/>
      <c r="B584" s="65"/>
      <c r="C584" s="65"/>
      <c r="D584" s="32"/>
      <c r="E584" s="32"/>
      <c r="F584" s="32"/>
      <c r="G584" s="65"/>
      <c r="H584" s="67"/>
      <c r="I584" s="67"/>
      <c r="J584" s="4"/>
      <c r="K584" s="74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</row>
    <row r="585" ht="15.75" customHeight="1">
      <c r="A585" s="32"/>
      <c r="B585" s="65"/>
      <c r="C585" s="65"/>
      <c r="D585" s="32"/>
      <c r="E585" s="32"/>
      <c r="F585" s="32"/>
      <c r="G585" s="65"/>
      <c r="H585" s="67"/>
      <c r="I585" s="67"/>
      <c r="J585" s="4"/>
      <c r="K585" s="74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</row>
    <row r="586" ht="15.75" customHeight="1">
      <c r="A586" s="32"/>
      <c r="B586" s="65"/>
      <c r="C586" s="65"/>
      <c r="D586" s="32"/>
      <c r="E586" s="32"/>
      <c r="F586" s="32"/>
      <c r="G586" s="65"/>
      <c r="H586" s="67"/>
      <c r="I586" s="67"/>
      <c r="J586" s="4"/>
      <c r="K586" s="74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</row>
    <row r="587" ht="15.75" customHeight="1">
      <c r="A587" s="32"/>
      <c r="B587" s="65"/>
      <c r="C587" s="65"/>
      <c r="D587" s="32"/>
      <c r="E587" s="32"/>
      <c r="F587" s="32"/>
      <c r="G587" s="65"/>
      <c r="H587" s="67"/>
      <c r="I587" s="67"/>
      <c r="J587" s="4"/>
      <c r="K587" s="74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</row>
    <row r="588" ht="15.75" customHeight="1">
      <c r="A588" s="32"/>
      <c r="B588" s="65"/>
      <c r="C588" s="65"/>
      <c r="D588" s="32"/>
      <c r="E588" s="32"/>
      <c r="F588" s="32"/>
      <c r="G588" s="65"/>
      <c r="H588" s="67"/>
      <c r="I588" s="67"/>
      <c r="J588" s="4"/>
      <c r="K588" s="74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</row>
    <row r="589" ht="15.75" customHeight="1">
      <c r="A589" s="32"/>
      <c r="B589" s="65"/>
      <c r="C589" s="65"/>
      <c r="D589" s="32"/>
      <c r="E589" s="32"/>
      <c r="F589" s="32"/>
      <c r="G589" s="65"/>
      <c r="H589" s="67"/>
      <c r="I589" s="67"/>
      <c r="J589" s="4"/>
      <c r="K589" s="74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</row>
    <row r="590" ht="15.75" customHeight="1">
      <c r="A590" s="32"/>
      <c r="B590" s="65"/>
      <c r="C590" s="65"/>
      <c r="D590" s="32"/>
      <c r="E590" s="32"/>
      <c r="F590" s="32"/>
      <c r="G590" s="65"/>
      <c r="H590" s="67"/>
      <c r="I590" s="67"/>
      <c r="J590" s="4"/>
      <c r="K590" s="74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</row>
    <row r="591" ht="15.75" customHeight="1">
      <c r="A591" s="32"/>
      <c r="B591" s="65"/>
      <c r="C591" s="65"/>
      <c r="D591" s="32"/>
      <c r="E591" s="32"/>
      <c r="F591" s="32"/>
      <c r="G591" s="65"/>
      <c r="H591" s="67"/>
      <c r="I591" s="67"/>
      <c r="J591" s="4"/>
      <c r="K591" s="74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</row>
    <row r="592" ht="15.75" customHeight="1">
      <c r="A592" s="32"/>
      <c r="B592" s="65"/>
      <c r="C592" s="65"/>
      <c r="D592" s="32"/>
      <c r="E592" s="32"/>
      <c r="F592" s="32"/>
      <c r="G592" s="65"/>
      <c r="H592" s="67"/>
      <c r="I592" s="67"/>
      <c r="J592" s="4"/>
      <c r="K592" s="74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</row>
    <row r="593" ht="15.75" customHeight="1">
      <c r="A593" s="32"/>
      <c r="B593" s="65"/>
      <c r="C593" s="65"/>
      <c r="D593" s="32"/>
      <c r="E593" s="32"/>
      <c r="F593" s="32"/>
      <c r="G593" s="65"/>
      <c r="H593" s="67"/>
      <c r="I593" s="67"/>
      <c r="J593" s="4"/>
      <c r="K593" s="74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</row>
    <row r="594" ht="15.75" customHeight="1">
      <c r="A594" s="32"/>
      <c r="B594" s="65"/>
      <c r="C594" s="65"/>
      <c r="D594" s="32"/>
      <c r="E594" s="32"/>
      <c r="F594" s="32"/>
      <c r="G594" s="65"/>
      <c r="H594" s="67"/>
      <c r="I594" s="67"/>
      <c r="J594" s="4"/>
      <c r="K594" s="74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</row>
    <row r="595" ht="15.75" customHeight="1">
      <c r="A595" s="32"/>
      <c r="B595" s="65"/>
      <c r="C595" s="65"/>
      <c r="D595" s="32"/>
      <c r="E595" s="32"/>
      <c r="F595" s="32"/>
      <c r="G595" s="65"/>
      <c r="H595" s="67"/>
      <c r="I595" s="67"/>
      <c r="J595" s="4"/>
      <c r="K595" s="74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</row>
    <row r="596" ht="15.75" customHeight="1">
      <c r="A596" s="32"/>
      <c r="B596" s="65"/>
      <c r="C596" s="65"/>
      <c r="D596" s="32"/>
      <c r="E596" s="32"/>
      <c r="F596" s="32"/>
      <c r="G596" s="65"/>
      <c r="H596" s="67"/>
      <c r="I596" s="67"/>
      <c r="J596" s="4"/>
      <c r="K596" s="74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</row>
    <row r="597" ht="15.75" customHeight="1">
      <c r="A597" s="32"/>
      <c r="B597" s="65"/>
      <c r="C597" s="65"/>
      <c r="D597" s="32"/>
      <c r="E597" s="32"/>
      <c r="F597" s="32"/>
      <c r="G597" s="65"/>
      <c r="H597" s="67"/>
      <c r="I597" s="67"/>
      <c r="J597" s="4"/>
      <c r="K597" s="74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</row>
    <row r="598" ht="15.75" customHeight="1">
      <c r="A598" s="32"/>
      <c r="B598" s="65"/>
      <c r="C598" s="65"/>
      <c r="D598" s="32"/>
      <c r="E598" s="32"/>
      <c r="F598" s="32"/>
      <c r="G598" s="65"/>
      <c r="H598" s="67"/>
      <c r="I598" s="67"/>
      <c r="J598" s="4"/>
      <c r="K598" s="74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</row>
    <row r="599" ht="15.75" customHeight="1">
      <c r="A599" s="32"/>
      <c r="B599" s="65"/>
      <c r="C599" s="65"/>
      <c r="D599" s="32"/>
      <c r="E599" s="32"/>
      <c r="F599" s="32"/>
      <c r="G599" s="65"/>
      <c r="H599" s="67"/>
      <c r="I599" s="67"/>
      <c r="J599" s="4"/>
      <c r="K599" s="74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</row>
    <row r="600" ht="15.75" customHeight="1">
      <c r="A600" s="32"/>
      <c r="B600" s="65"/>
      <c r="C600" s="65"/>
      <c r="D600" s="32"/>
      <c r="E600" s="32"/>
      <c r="F600" s="32"/>
      <c r="G600" s="65"/>
      <c r="H600" s="67"/>
      <c r="I600" s="67"/>
      <c r="J600" s="4"/>
      <c r="K600" s="74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</row>
    <row r="601" ht="15.75" customHeight="1">
      <c r="A601" s="32"/>
      <c r="B601" s="65"/>
      <c r="C601" s="65"/>
      <c r="D601" s="32"/>
      <c r="E601" s="32"/>
      <c r="F601" s="32"/>
      <c r="G601" s="65"/>
      <c r="H601" s="67"/>
      <c r="I601" s="67"/>
      <c r="J601" s="4"/>
      <c r="K601" s="74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</row>
    <row r="602" ht="15.75" customHeight="1">
      <c r="A602" s="32"/>
      <c r="B602" s="65"/>
      <c r="C602" s="65"/>
      <c r="D602" s="32"/>
      <c r="E602" s="32"/>
      <c r="F602" s="32"/>
      <c r="G602" s="65"/>
      <c r="H602" s="67"/>
      <c r="I602" s="67"/>
      <c r="J602" s="4"/>
      <c r="K602" s="74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</row>
    <row r="603" ht="15.75" customHeight="1">
      <c r="A603" s="32"/>
      <c r="B603" s="65"/>
      <c r="C603" s="65"/>
      <c r="D603" s="32"/>
      <c r="E603" s="32"/>
      <c r="F603" s="32"/>
      <c r="G603" s="65"/>
      <c r="H603" s="67"/>
      <c r="I603" s="67"/>
      <c r="J603" s="4"/>
      <c r="K603" s="74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</row>
    <row r="604" ht="15.75" customHeight="1">
      <c r="A604" s="32"/>
      <c r="B604" s="65"/>
      <c r="C604" s="65"/>
      <c r="D604" s="32"/>
      <c r="E604" s="32"/>
      <c r="F604" s="32"/>
      <c r="G604" s="65"/>
      <c r="H604" s="67"/>
      <c r="I604" s="67"/>
      <c r="J604" s="4"/>
      <c r="K604" s="74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</row>
    <row r="605" ht="15.75" customHeight="1">
      <c r="A605" s="32"/>
      <c r="B605" s="65"/>
      <c r="C605" s="65"/>
      <c r="D605" s="32"/>
      <c r="E605" s="32"/>
      <c r="F605" s="32"/>
      <c r="G605" s="65"/>
      <c r="H605" s="67"/>
      <c r="I605" s="67"/>
      <c r="J605" s="4"/>
      <c r="K605" s="74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</row>
    <row r="606" ht="15.75" customHeight="1">
      <c r="A606" s="32"/>
      <c r="B606" s="65"/>
      <c r="C606" s="65"/>
      <c r="D606" s="32"/>
      <c r="E606" s="32"/>
      <c r="F606" s="32"/>
      <c r="G606" s="65"/>
      <c r="H606" s="67"/>
      <c r="I606" s="67"/>
      <c r="J606" s="4"/>
      <c r="K606" s="74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</row>
    <row r="607" ht="15.75" customHeight="1">
      <c r="A607" s="32"/>
      <c r="B607" s="65"/>
      <c r="C607" s="65"/>
      <c r="D607" s="32"/>
      <c r="E607" s="32"/>
      <c r="F607" s="32"/>
      <c r="G607" s="65"/>
      <c r="H607" s="67"/>
      <c r="I607" s="67"/>
      <c r="J607" s="4"/>
      <c r="K607" s="74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</row>
    <row r="608" ht="15.75" customHeight="1">
      <c r="A608" s="32"/>
      <c r="B608" s="65"/>
      <c r="C608" s="65"/>
      <c r="D608" s="32"/>
      <c r="E608" s="32"/>
      <c r="F608" s="32"/>
      <c r="G608" s="65"/>
      <c r="H608" s="67"/>
      <c r="I608" s="67"/>
      <c r="J608" s="4"/>
      <c r="K608" s="74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</row>
    <row r="609" ht="15.75" customHeight="1">
      <c r="A609" s="32"/>
      <c r="B609" s="65"/>
      <c r="C609" s="65"/>
      <c r="D609" s="32"/>
      <c r="E609" s="32"/>
      <c r="F609" s="32"/>
      <c r="G609" s="65"/>
      <c r="H609" s="67"/>
      <c r="I609" s="67"/>
      <c r="J609" s="4"/>
      <c r="K609" s="74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</row>
    <row r="610" ht="15.75" customHeight="1">
      <c r="A610" s="32"/>
      <c r="B610" s="65"/>
      <c r="C610" s="65"/>
      <c r="D610" s="32"/>
      <c r="E610" s="32"/>
      <c r="F610" s="32"/>
      <c r="G610" s="65"/>
      <c r="H610" s="67"/>
      <c r="I610" s="67"/>
      <c r="J610" s="4"/>
      <c r="K610" s="74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</row>
    <row r="611" ht="15.75" customHeight="1">
      <c r="A611" s="32"/>
      <c r="B611" s="65"/>
      <c r="C611" s="65"/>
      <c r="D611" s="32"/>
      <c r="E611" s="32"/>
      <c r="F611" s="32"/>
      <c r="G611" s="65"/>
      <c r="H611" s="67"/>
      <c r="I611" s="67"/>
      <c r="J611" s="4"/>
      <c r="K611" s="74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</row>
    <row r="612" ht="15.75" customHeight="1">
      <c r="A612" s="32"/>
      <c r="B612" s="65"/>
      <c r="C612" s="65"/>
      <c r="D612" s="32"/>
      <c r="E612" s="32"/>
      <c r="F612" s="32"/>
      <c r="G612" s="65"/>
      <c r="H612" s="67"/>
      <c r="I612" s="67"/>
      <c r="J612" s="4"/>
      <c r="K612" s="74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</row>
    <row r="613" ht="15.75" customHeight="1">
      <c r="A613" s="32"/>
      <c r="B613" s="65"/>
      <c r="C613" s="65"/>
      <c r="D613" s="32"/>
      <c r="E613" s="32"/>
      <c r="F613" s="32"/>
      <c r="G613" s="65"/>
      <c r="H613" s="67"/>
      <c r="I613" s="67"/>
      <c r="J613" s="4"/>
      <c r="K613" s="74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</row>
    <row r="614" ht="15.75" customHeight="1">
      <c r="A614" s="32"/>
      <c r="B614" s="65"/>
      <c r="C614" s="65"/>
      <c r="D614" s="32"/>
      <c r="E614" s="32"/>
      <c r="F614" s="32"/>
      <c r="G614" s="65"/>
      <c r="H614" s="67"/>
      <c r="I614" s="67"/>
      <c r="J614" s="4"/>
      <c r="K614" s="74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</row>
    <row r="615" ht="15.75" customHeight="1">
      <c r="A615" s="32"/>
      <c r="B615" s="65"/>
      <c r="C615" s="65"/>
      <c r="D615" s="32"/>
      <c r="E615" s="32"/>
      <c r="F615" s="32"/>
      <c r="G615" s="65"/>
      <c r="H615" s="67"/>
      <c r="I615" s="67"/>
      <c r="J615" s="4"/>
      <c r="K615" s="74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</row>
    <row r="616" ht="15.75" customHeight="1">
      <c r="A616" s="32"/>
      <c r="B616" s="65"/>
      <c r="C616" s="65"/>
      <c r="D616" s="32"/>
      <c r="E616" s="32"/>
      <c r="F616" s="32"/>
      <c r="G616" s="65"/>
      <c r="H616" s="67"/>
      <c r="I616" s="67"/>
      <c r="J616" s="4"/>
      <c r="K616" s="74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</row>
    <row r="617" ht="15.75" customHeight="1">
      <c r="A617" s="32"/>
      <c r="B617" s="65"/>
      <c r="C617" s="65"/>
      <c r="D617" s="32"/>
      <c r="E617" s="32"/>
      <c r="F617" s="32"/>
      <c r="G617" s="65"/>
      <c r="H617" s="67"/>
      <c r="I617" s="67"/>
      <c r="J617" s="4"/>
      <c r="K617" s="74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</row>
    <row r="618" ht="15.75" customHeight="1">
      <c r="A618" s="32"/>
      <c r="B618" s="65"/>
      <c r="C618" s="65"/>
      <c r="D618" s="32"/>
      <c r="E618" s="32"/>
      <c r="F618" s="32"/>
      <c r="G618" s="65"/>
      <c r="H618" s="67"/>
      <c r="I618" s="67"/>
      <c r="J618" s="4"/>
      <c r="K618" s="74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</row>
    <row r="619" ht="15.75" customHeight="1">
      <c r="A619" s="32"/>
      <c r="B619" s="65"/>
      <c r="C619" s="65"/>
      <c r="D619" s="32"/>
      <c r="E619" s="32"/>
      <c r="F619" s="32"/>
      <c r="G619" s="65"/>
      <c r="H619" s="67"/>
      <c r="I619" s="67"/>
      <c r="J619" s="4"/>
      <c r="K619" s="74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</row>
    <row r="620" ht="15.75" customHeight="1">
      <c r="A620" s="32"/>
      <c r="B620" s="65"/>
      <c r="C620" s="65"/>
      <c r="D620" s="32"/>
      <c r="E620" s="32"/>
      <c r="F620" s="32"/>
      <c r="G620" s="65"/>
      <c r="H620" s="67"/>
      <c r="I620" s="67"/>
      <c r="J620" s="4"/>
      <c r="K620" s="74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</row>
    <row r="621" ht="15.75" customHeight="1">
      <c r="A621" s="32"/>
      <c r="B621" s="65"/>
      <c r="C621" s="65"/>
      <c r="D621" s="32"/>
      <c r="E621" s="32"/>
      <c r="F621" s="32"/>
      <c r="G621" s="65"/>
      <c r="H621" s="67"/>
      <c r="I621" s="67"/>
      <c r="J621" s="4"/>
      <c r="K621" s="74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</row>
    <row r="622" ht="15.75" customHeight="1">
      <c r="A622" s="32"/>
      <c r="B622" s="65"/>
      <c r="C622" s="65"/>
      <c r="D622" s="32"/>
      <c r="E622" s="32"/>
      <c r="F622" s="32"/>
      <c r="G622" s="65"/>
      <c r="H622" s="67"/>
      <c r="I622" s="67"/>
      <c r="J622" s="4"/>
      <c r="K622" s="74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</row>
    <row r="623" ht="15.75" customHeight="1">
      <c r="A623" s="32"/>
      <c r="B623" s="65"/>
      <c r="C623" s="65"/>
      <c r="D623" s="32"/>
      <c r="E623" s="32"/>
      <c r="F623" s="32"/>
      <c r="G623" s="65"/>
      <c r="H623" s="67"/>
      <c r="I623" s="67"/>
      <c r="J623" s="4"/>
      <c r="K623" s="74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</row>
    <row r="624" ht="15.75" customHeight="1">
      <c r="A624" s="32"/>
      <c r="B624" s="65"/>
      <c r="C624" s="65"/>
      <c r="D624" s="32"/>
      <c r="E624" s="32"/>
      <c r="F624" s="32"/>
      <c r="G624" s="65"/>
      <c r="H624" s="67"/>
      <c r="I624" s="67"/>
      <c r="J624" s="4"/>
      <c r="K624" s="74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</row>
    <row r="625" ht="15.75" customHeight="1">
      <c r="A625" s="32"/>
      <c r="B625" s="65"/>
      <c r="C625" s="65"/>
      <c r="D625" s="32"/>
      <c r="E625" s="32"/>
      <c r="F625" s="32"/>
      <c r="G625" s="65"/>
      <c r="H625" s="67"/>
      <c r="I625" s="67"/>
      <c r="J625" s="4"/>
      <c r="K625" s="74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</row>
    <row r="626" ht="15.75" customHeight="1">
      <c r="A626" s="32"/>
      <c r="B626" s="65"/>
      <c r="C626" s="65"/>
      <c r="D626" s="32"/>
      <c r="E626" s="32"/>
      <c r="F626" s="32"/>
      <c r="G626" s="65"/>
      <c r="H626" s="67"/>
      <c r="I626" s="67"/>
      <c r="J626" s="4"/>
      <c r="K626" s="74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</row>
    <row r="627" ht="15.75" customHeight="1">
      <c r="A627" s="32"/>
      <c r="B627" s="65"/>
      <c r="C627" s="65"/>
      <c r="D627" s="32"/>
      <c r="E627" s="32"/>
      <c r="F627" s="32"/>
      <c r="G627" s="65"/>
      <c r="H627" s="67"/>
      <c r="I627" s="67"/>
      <c r="J627" s="4"/>
      <c r="K627" s="74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</row>
    <row r="628" ht="15.75" customHeight="1">
      <c r="A628" s="32"/>
      <c r="B628" s="65"/>
      <c r="C628" s="65"/>
      <c r="D628" s="32"/>
      <c r="E628" s="32"/>
      <c r="F628" s="32"/>
      <c r="G628" s="65"/>
      <c r="H628" s="67"/>
      <c r="I628" s="67"/>
      <c r="J628" s="4"/>
      <c r="K628" s="74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</row>
    <row r="629" ht="15.75" customHeight="1">
      <c r="A629" s="32"/>
      <c r="B629" s="65"/>
      <c r="C629" s="65"/>
      <c r="D629" s="32"/>
      <c r="E629" s="32"/>
      <c r="F629" s="32"/>
      <c r="G629" s="65"/>
      <c r="H629" s="67"/>
      <c r="I629" s="67"/>
      <c r="J629" s="4"/>
      <c r="K629" s="74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</row>
    <row r="630" ht="15.75" customHeight="1">
      <c r="A630" s="32"/>
      <c r="B630" s="65"/>
      <c r="C630" s="65"/>
      <c r="D630" s="32"/>
      <c r="E630" s="32"/>
      <c r="F630" s="32"/>
      <c r="G630" s="65"/>
      <c r="H630" s="67"/>
      <c r="I630" s="67"/>
      <c r="J630" s="4"/>
      <c r="K630" s="74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</row>
    <row r="631" ht="15.75" customHeight="1">
      <c r="A631" s="32"/>
      <c r="B631" s="65"/>
      <c r="C631" s="65"/>
      <c r="D631" s="32"/>
      <c r="E631" s="32"/>
      <c r="F631" s="32"/>
      <c r="G631" s="65"/>
      <c r="H631" s="67"/>
      <c r="I631" s="67"/>
      <c r="J631" s="4"/>
      <c r="K631" s="74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</row>
    <row r="632" ht="15.75" customHeight="1">
      <c r="A632" s="32"/>
      <c r="B632" s="65"/>
      <c r="C632" s="65"/>
      <c r="D632" s="32"/>
      <c r="E632" s="32"/>
      <c r="F632" s="32"/>
      <c r="G632" s="65"/>
      <c r="H632" s="67"/>
      <c r="I632" s="67"/>
      <c r="J632" s="4"/>
      <c r="K632" s="74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</row>
    <row r="633" ht="15.75" customHeight="1">
      <c r="A633" s="32"/>
      <c r="B633" s="65"/>
      <c r="C633" s="65"/>
      <c r="D633" s="32"/>
      <c r="E633" s="32"/>
      <c r="F633" s="32"/>
      <c r="G633" s="65"/>
      <c r="H633" s="67"/>
      <c r="I633" s="67"/>
      <c r="J633" s="4"/>
      <c r="K633" s="74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</row>
    <row r="634" ht="15.75" customHeight="1">
      <c r="A634" s="32"/>
      <c r="B634" s="65"/>
      <c r="C634" s="65"/>
      <c r="D634" s="32"/>
      <c r="E634" s="32"/>
      <c r="F634" s="32"/>
      <c r="G634" s="65"/>
      <c r="H634" s="67"/>
      <c r="I634" s="67"/>
      <c r="J634" s="4"/>
      <c r="K634" s="74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</row>
    <row r="635" ht="15.75" customHeight="1">
      <c r="A635" s="32"/>
      <c r="B635" s="65"/>
      <c r="C635" s="65"/>
      <c r="D635" s="32"/>
      <c r="E635" s="32"/>
      <c r="F635" s="32"/>
      <c r="G635" s="65"/>
      <c r="H635" s="67"/>
      <c r="I635" s="67"/>
      <c r="J635" s="4"/>
      <c r="K635" s="74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</row>
    <row r="636" ht="15.75" customHeight="1">
      <c r="A636" s="32"/>
      <c r="B636" s="65"/>
      <c r="C636" s="65"/>
      <c r="D636" s="32"/>
      <c r="E636" s="32"/>
      <c r="F636" s="32"/>
      <c r="G636" s="65"/>
      <c r="H636" s="67"/>
      <c r="I636" s="67"/>
      <c r="J636" s="4"/>
      <c r="K636" s="74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</row>
    <row r="637" ht="15.75" customHeight="1">
      <c r="A637" s="32"/>
      <c r="B637" s="65"/>
      <c r="C637" s="65"/>
      <c r="D637" s="32"/>
      <c r="E637" s="32"/>
      <c r="F637" s="32"/>
      <c r="G637" s="65"/>
      <c r="H637" s="67"/>
      <c r="I637" s="67"/>
      <c r="J637" s="4"/>
      <c r="K637" s="74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</row>
    <row r="638" ht="15.75" customHeight="1">
      <c r="A638" s="32"/>
      <c r="B638" s="65"/>
      <c r="C638" s="65"/>
      <c r="D638" s="32"/>
      <c r="E638" s="32"/>
      <c r="F638" s="32"/>
      <c r="G638" s="65"/>
      <c r="H638" s="67"/>
      <c r="I638" s="67"/>
      <c r="J638" s="4"/>
      <c r="K638" s="74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</row>
    <row r="639" ht="15.75" customHeight="1">
      <c r="A639" s="32"/>
      <c r="B639" s="65"/>
      <c r="C639" s="65"/>
      <c r="D639" s="32"/>
      <c r="E639" s="32"/>
      <c r="F639" s="32"/>
      <c r="G639" s="65"/>
      <c r="H639" s="67"/>
      <c r="I639" s="67"/>
      <c r="J639" s="4"/>
      <c r="K639" s="74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</row>
    <row r="640" ht="15.75" customHeight="1">
      <c r="A640" s="32"/>
      <c r="B640" s="65"/>
      <c r="C640" s="65"/>
      <c r="D640" s="32"/>
      <c r="E640" s="32"/>
      <c r="F640" s="32"/>
      <c r="G640" s="65"/>
      <c r="H640" s="67"/>
      <c r="I640" s="67"/>
      <c r="J640" s="4"/>
      <c r="K640" s="74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</row>
    <row r="641" ht="15.75" customHeight="1">
      <c r="A641" s="32"/>
      <c r="B641" s="65"/>
      <c r="C641" s="65"/>
      <c r="D641" s="32"/>
      <c r="E641" s="32"/>
      <c r="F641" s="32"/>
      <c r="G641" s="65"/>
      <c r="H641" s="67"/>
      <c r="I641" s="67"/>
      <c r="J641" s="4"/>
      <c r="K641" s="74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</row>
    <row r="642" ht="15.75" customHeight="1">
      <c r="A642" s="32"/>
      <c r="B642" s="65"/>
      <c r="C642" s="65"/>
      <c r="D642" s="32"/>
      <c r="E642" s="32"/>
      <c r="F642" s="32"/>
      <c r="G642" s="65"/>
      <c r="H642" s="67"/>
      <c r="I642" s="67"/>
      <c r="J642" s="4"/>
      <c r="K642" s="74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</row>
    <row r="643" ht="15.75" customHeight="1">
      <c r="A643" s="32"/>
      <c r="B643" s="65"/>
      <c r="C643" s="65"/>
      <c r="D643" s="32"/>
      <c r="E643" s="32"/>
      <c r="F643" s="32"/>
      <c r="G643" s="65"/>
      <c r="H643" s="67"/>
      <c r="I643" s="67"/>
      <c r="J643" s="4"/>
      <c r="K643" s="74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</row>
    <row r="644" ht="15.75" customHeight="1">
      <c r="A644" s="32"/>
      <c r="B644" s="65"/>
      <c r="C644" s="65"/>
      <c r="D644" s="32"/>
      <c r="E644" s="32"/>
      <c r="F644" s="32"/>
      <c r="G644" s="65"/>
      <c r="H644" s="67"/>
      <c r="I644" s="67"/>
      <c r="J644" s="4"/>
      <c r="K644" s="74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</row>
    <row r="645" ht="15.75" customHeight="1">
      <c r="A645" s="32"/>
      <c r="B645" s="65"/>
      <c r="C645" s="65"/>
      <c r="D645" s="32"/>
      <c r="E645" s="32"/>
      <c r="F645" s="32"/>
      <c r="G645" s="65"/>
      <c r="H645" s="67"/>
      <c r="I645" s="67"/>
      <c r="J645" s="4"/>
      <c r="K645" s="74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</row>
    <row r="646" ht="15.75" customHeight="1">
      <c r="A646" s="32"/>
      <c r="B646" s="65"/>
      <c r="C646" s="65"/>
      <c r="D646" s="32"/>
      <c r="E646" s="32"/>
      <c r="F646" s="32"/>
      <c r="G646" s="65"/>
      <c r="H646" s="67"/>
      <c r="I646" s="67"/>
      <c r="J646" s="4"/>
      <c r="K646" s="74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</row>
    <row r="647" ht="15.75" customHeight="1">
      <c r="A647" s="32"/>
      <c r="B647" s="65"/>
      <c r="C647" s="65"/>
      <c r="D647" s="32"/>
      <c r="E647" s="32"/>
      <c r="F647" s="32"/>
      <c r="G647" s="65"/>
      <c r="H647" s="67"/>
      <c r="I647" s="67"/>
      <c r="J647" s="4"/>
      <c r="K647" s="74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</row>
    <row r="648" ht="15.75" customHeight="1">
      <c r="A648" s="32"/>
      <c r="B648" s="65"/>
      <c r="C648" s="65"/>
      <c r="D648" s="32"/>
      <c r="E648" s="32"/>
      <c r="F648" s="32"/>
      <c r="G648" s="65"/>
      <c r="H648" s="67"/>
      <c r="I648" s="67"/>
      <c r="J648" s="4"/>
      <c r="K648" s="74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</row>
    <row r="649" ht="15.75" customHeight="1">
      <c r="A649" s="32"/>
      <c r="B649" s="65"/>
      <c r="C649" s="65"/>
      <c r="D649" s="32"/>
      <c r="E649" s="32"/>
      <c r="F649" s="32"/>
      <c r="G649" s="65"/>
      <c r="H649" s="67"/>
      <c r="I649" s="67"/>
      <c r="J649" s="4"/>
      <c r="K649" s="74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</row>
    <row r="650" ht="15.75" customHeight="1">
      <c r="A650" s="32"/>
      <c r="B650" s="65"/>
      <c r="C650" s="65"/>
      <c r="D650" s="32"/>
      <c r="E650" s="32"/>
      <c r="F650" s="32"/>
      <c r="G650" s="65"/>
      <c r="H650" s="67"/>
      <c r="I650" s="67"/>
      <c r="J650" s="4"/>
      <c r="K650" s="74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</row>
    <row r="651" ht="15.75" customHeight="1">
      <c r="A651" s="32"/>
      <c r="B651" s="65"/>
      <c r="C651" s="65"/>
      <c r="D651" s="32"/>
      <c r="E651" s="32"/>
      <c r="F651" s="32"/>
      <c r="G651" s="65"/>
      <c r="H651" s="67"/>
      <c r="I651" s="67"/>
      <c r="J651" s="4"/>
      <c r="K651" s="74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</row>
    <row r="652" ht="15.75" customHeight="1">
      <c r="A652" s="32"/>
      <c r="B652" s="65"/>
      <c r="C652" s="65"/>
      <c r="D652" s="32"/>
      <c r="E652" s="32"/>
      <c r="F652" s="32"/>
      <c r="G652" s="65"/>
      <c r="H652" s="67"/>
      <c r="I652" s="67"/>
      <c r="J652" s="4"/>
      <c r="K652" s="74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</row>
    <row r="653" ht="15.75" customHeight="1">
      <c r="A653" s="32"/>
      <c r="B653" s="65"/>
      <c r="C653" s="65"/>
      <c r="D653" s="32"/>
      <c r="E653" s="32"/>
      <c r="F653" s="32"/>
      <c r="G653" s="65"/>
      <c r="H653" s="67"/>
      <c r="I653" s="67"/>
      <c r="J653" s="4"/>
      <c r="K653" s="74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</row>
    <row r="654" ht="15.75" customHeight="1">
      <c r="A654" s="32"/>
      <c r="B654" s="65"/>
      <c r="C654" s="65"/>
      <c r="D654" s="32"/>
      <c r="E654" s="32"/>
      <c r="F654" s="32"/>
      <c r="G654" s="65"/>
      <c r="H654" s="67"/>
      <c r="I654" s="67"/>
      <c r="J654" s="4"/>
      <c r="K654" s="74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</row>
    <row r="655" ht="15.75" customHeight="1">
      <c r="A655" s="32"/>
      <c r="B655" s="65"/>
      <c r="C655" s="65"/>
      <c r="D655" s="32"/>
      <c r="E655" s="32"/>
      <c r="F655" s="32"/>
      <c r="G655" s="65"/>
      <c r="H655" s="67"/>
      <c r="I655" s="67"/>
      <c r="J655" s="4"/>
      <c r="K655" s="74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</row>
    <row r="656" ht="15.75" customHeight="1">
      <c r="A656" s="32"/>
      <c r="B656" s="65"/>
      <c r="C656" s="65"/>
      <c r="D656" s="32"/>
      <c r="E656" s="32"/>
      <c r="F656" s="32"/>
      <c r="G656" s="65"/>
      <c r="H656" s="67"/>
      <c r="I656" s="67"/>
      <c r="J656" s="4"/>
      <c r="K656" s="74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</row>
    <row r="657" ht="15.75" customHeight="1">
      <c r="A657" s="32"/>
      <c r="B657" s="65"/>
      <c r="C657" s="65"/>
      <c r="D657" s="32"/>
      <c r="E657" s="32"/>
      <c r="F657" s="32"/>
      <c r="G657" s="65"/>
      <c r="H657" s="67"/>
      <c r="I657" s="67"/>
      <c r="J657" s="4"/>
      <c r="K657" s="74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</row>
    <row r="658" ht="15.75" customHeight="1">
      <c r="A658" s="32"/>
      <c r="B658" s="65"/>
      <c r="C658" s="65"/>
      <c r="D658" s="32"/>
      <c r="E658" s="32"/>
      <c r="F658" s="32"/>
      <c r="G658" s="65"/>
      <c r="H658" s="67"/>
      <c r="I658" s="67"/>
      <c r="J658" s="4"/>
      <c r="K658" s="74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</row>
    <row r="659" ht="15.75" customHeight="1">
      <c r="A659" s="32"/>
      <c r="B659" s="65"/>
      <c r="C659" s="65"/>
      <c r="D659" s="32"/>
      <c r="E659" s="32"/>
      <c r="F659" s="32"/>
      <c r="G659" s="65"/>
      <c r="H659" s="67"/>
      <c r="I659" s="67"/>
      <c r="J659" s="4"/>
      <c r="K659" s="74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</row>
    <row r="660" ht="15.75" customHeight="1">
      <c r="A660" s="32"/>
      <c r="B660" s="65"/>
      <c r="C660" s="65"/>
      <c r="D660" s="32"/>
      <c r="E660" s="32"/>
      <c r="F660" s="32"/>
      <c r="G660" s="65"/>
      <c r="H660" s="67"/>
      <c r="I660" s="67"/>
      <c r="J660" s="4"/>
      <c r="K660" s="74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</row>
    <row r="661" ht="15.75" customHeight="1">
      <c r="A661" s="32"/>
      <c r="B661" s="65"/>
      <c r="C661" s="65"/>
      <c r="D661" s="32"/>
      <c r="E661" s="32"/>
      <c r="F661" s="32"/>
      <c r="G661" s="65"/>
      <c r="H661" s="67"/>
      <c r="I661" s="67"/>
      <c r="J661" s="4"/>
      <c r="K661" s="74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</row>
    <row r="662" ht="15.75" customHeight="1">
      <c r="A662" s="32"/>
      <c r="B662" s="65"/>
      <c r="C662" s="65"/>
      <c r="D662" s="32"/>
      <c r="E662" s="32"/>
      <c r="F662" s="32"/>
      <c r="G662" s="65"/>
      <c r="H662" s="67"/>
      <c r="I662" s="67"/>
      <c r="J662" s="4"/>
      <c r="K662" s="74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</row>
    <row r="663" ht="15.75" customHeight="1">
      <c r="A663" s="32"/>
      <c r="B663" s="65"/>
      <c r="C663" s="65"/>
      <c r="D663" s="32"/>
      <c r="E663" s="32"/>
      <c r="F663" s="32"/>
      <c r="G663" s="65"/>
      <c r="H663" s="67"/>
      <c r="I663" s="67"/>
      <c r="J663" s="4"/>
      <c r="K663" s="74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</row>
    <row r="664" ht="15.75" customHeight="1">
      <c r="A664" s="32"/>
      <c r="B664" s="65"/>
      <c r="C664" s="65"/>
      <c r="D664" s="32"/>
      <c r="E664" s="32"/>
      <c r="F664" s="32"/>
      <c r="G664" s="65"/>
      <c r="H664" s="67"/>
      <c r="I664" s="67"/>
      <c r="J664" s="4"/>
      <c r="K664" s="74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</row>
    <row r="665" ht="15.75" customHeight="1">
      <c r="A665" s="32"/>
      <c r="B665" s="65"/>
      <c r="C665" s="65"/>
      <c r="D665" s="32"/>
      <c r="E665" s="32"/>
      <c r="F665" s="32"/>
      <c r="G665" s="65"/>
      <c r="H665" s="67"/>
      <c r="I665" s="67"/>
      <c r="J665" s="4"/>
      <c r="K665" s="74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</row>
    <row r="666" ht="15.75" customHeight="1">
      <c r="A666" s="32"/>
      <c r="B666" s="65"/>
      <c r="C666" s="65"/>
      <c r="D666" s="32"/>
      <c r="E666" s="32"/>
      <c r="F666" s="32"/>
      <c r="G666" s="65"/>
      <c r="H666" s="67"/>
      <c r="I666" s="67"/>
      <c r="J666" s="4"/>
      <c r="K666" s="74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</row>
    <row r="667" ht="15.75" customHeight="1">
      <c r="A667" s="32"/>
      <c r="B667" s="65"/>
      <c r="C667" s="65"/>
      <c r="D667" s="32"/>
      <c r="E667" s="32"/>
      <c r="F667" s="32"/>
      <c r="G667" s="65"/>
      <c r="H667" s="67"/>
      <c r="I667" s="67"/>
      <c r="J667" s="4"/>
      <c r="K667" s="74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</row>
    <row r="668" ht="15.75" customHeight="1">
      <c r="A668" s="32"/>
      <c r="B668" s="65"/>
      <c r="C668" s="65"/>
      <c r="D668" s="32"/>
      <c r="E668" s="32"/>
      <c r="F668" s="32"/>
      <c r="G668" s="65"/>
      <c r="H668" s="67"/>
      <c r="I668" s="67"/>
      <c r="J668" s="4"/>
      <c r="K668" s="74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</row>
    <row r="669" ht="15.75" customHeight="1">
      <c r="A669" s="32"/>
      <c r="B669" s="65"/>
      <c r="C669" s="65"/>
      <c r="D669" s="32"/>
      <c r="E669" s="32"/>
      <c r="F669" s="32"/>
      <c r="G669" s="65"/>
      <c r="H669" s="67"/>
      <c r="I669" s="67"/>
      <c r="J669" s="4"/>
      <c r="K669" s="74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</row>
    <row r="670" ht="15.75" customHeight="1">
      <c r="A670" s="32"/>
      <c r="B670" s="65"/>
      <c r="C670" s="65"/>
      <c r="D670" s="32"/>
      <c r="E670" s="32"/>
      <c r="F670" s="32"/>
      <c r="G670" s="65"/>
      <c r="H670" s="67"/>
      <c r="I670" s="67"/>
      <c r="J670" s="4"/>
      <c r="K670" s="74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</row>
    <row r="671" ht="15.75" customHeight="1">
      <c r="A671" s="32"/>
      <c r="B671" s="65"/>
      <c r="C671" s="65"/>
      <c r="D671" s="32"/>
      <c r="E671" s="32"/>
      <c r="F671" s="32"/>
      <c r="G671" s="65"/>
      <c r="H671" s="67"/>
      <c r="I671" s="67"/>
      <c r="J671" s="4"/>
      <c r="K671" s="74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</row>
    <row r="672" ht="15.75" customHeight="1">
      <c r="A672" s="32"/>
      <c r="B672" s="65"/>
      <c r="C672" s="65"/>
      <c r="D672" s="32"/>
      <c r="E672" s="32"/>
      <c r="F672" s="32"/>
      <c r="G672" s="65"/>
      <c r="H672" s="67"/>
      <c r="I672" s="67"/>
      <c r="J672" s="4"/>
      <c r="K672" s="74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</row>
    <row r="673" ht="15.75" customHeight="1">
      <c r="A673" s="32"/>
      <c r="B673" s="65"/>
      <c r="C673" s="65"/>
      <c r="D673" s="32"/>
      <c r="E673" s="32"/>
      <c r="F673" s="32"/>
      <c r="G673" s="65"/>
      <c r="H673" s="67"/>
      <c r="I673" s="67"/>
      <c r="J673" s="4"/>
      <c r="K673" s="74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</row>
    <row r="674" ht="15.75" customHeight="1">
      <c r="A674" s="32"/>
      <c r="B674" s="65"/>
      <c r="C674" s="65"/>
      <c r="D674" s="32"/>
      <c r="E674" s="32"/>
      <c r="F674" s="32"/>
      <c r="G674" s="65"/>
      <c r="H674" s="67"/>
      <c r="I674" s="67"/>
      <c r="J674" s="4"/>
      <c r="K674" s="74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</row>
    <row r="675" ht="15.75" customHeight="1">
      <c r="A675" s="32"/>
      <c r="B675" s="65"/>
      <c r="C675" s="65"/>
      <c r="D675" s="32"/>
      <c r="E675" s="32"/>
      <c r="F675" s="32"/>
      <c r="G675" s="65"/>
      <c r="H675" s="67"/>
      <c r="I675" s="67"/>
      <c r="J675" s="4"/>
      <c r="K675" s="74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</row>
    <row r="676" ht="15.75" customHeight="1">
      <c r="A676" s="32"/>
      <c r="B676" s="65"/>
      <c r="C676" s="65"/>
      <c r="D676" s="32"/>
      <c r="E676" s="32"/>
      <c r="F676" s="32"/>
      <c r="G676" s="65"/>
      <c r="H676" s="67"/>
      <c r="I676" s="67"/>
      <c r="J676" s="4"/>
      <c r="K676" s="74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</row>
    <row r="677" ht="15.75" customHeight="1">
      <c r="A677" s="32"/>
      <c r="B677" s="65"/>
      <c r="C677" s="65"/>
      <c r="D677" s="32"/>
      <c r="E677" s="32"/>
      <c r="F677" s="32"/>
      <c r="G677" s="65"/>
      <c r="H677" s="67"/>
      <c r="I677" s="67"/>
      <c r="J677" s="4"/>
      <c r="K677" s="74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</row>
    <row r="678" ht="15.75" customHeight="1">
      <c r="A678" s="32"/>
      <c r="B678" s="65"/>
      <c r="C678" s="65"/>
      <c r="D678" s="32"/>
      <c r="E678" s="32"/>
      <c r="F678" s="32"/>
      <c r="G678" s="65"/>
      <c r="H678" s="67"/>
      <c r="I678" s="67"/>
      <c r="J678" s="4"/>
      <c r="K678" s="74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</row>
    <row r="679" ht="15.75" customHeight="1">
      <c r="A679" s="32"/>
      <c r="B679" s="65"/>
      <c r="C679" s="65"/>
      <c r="D679" s="32"/>
      <c r="E679" s="32"/>
      <c r="F679" s="32"/>
      <c r="G679" s="65"/>
      <c r="H679" s="67"/>
      <c r="I679" s="67"/>
      <c r="J679" s="4"/>
      <c r="K679" s="74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</row>
    <row r="680" ht="15.75" customHeight="1">
      <c r="A680" s="32"/>
      <c r="B680" s="65"/>
      <c r="C680" s="65"/>
      <c r="D680" s="32"/>
      <c r="E680" s="32"/>
      <c r="F680" s="32"/>
      <c r="G680" s="65"/>
      <c r="H680" s="67"/>
      <c r="I680" s="67"/>
      <c r="J680" s="4"/>
      <c r="K680" s="74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</row>
    <row r="681" ht="15.75" customHeight="1">
      <c r="A681" s="32"/>
      <c r="B681" s="65"/>
      <c r="C681" s="65"/>
      <c r="D681" s="32"/>
      <c r="E681" s="32"/>
      <c r="F681" s="32"/>
      <c r="G681" s="65"/>
      <c r="H681" s="67"/>
      <c r="I681" s="67"/>
      <c r="J681" s="4"/>
      <c r="K681" s="74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</row>
    <row r="682" ht="15.75" customHeight="1">
      <c r="A682" s="32"/>
      <c r="B682" s="65"/>
      <c r="C682" s="65"/>
      <c r="D682" s="32"/>
      <c r="E682" s="32"/>
      <c r="F682" s="32"/>
      <c r="G682" s="65"/>
      <c r="H682" s="67"/>
      <c r="I682" s="67"/>
      <c r="J682" s="4"/>
      <c r="K682" s="74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</row>
    <row r="683" ht="15.75" customHeight="1">
      <c r="A683" s="32"/>
      <c r="B683" s="65"/>
      <c r="C683" s="65"/>
      <c r="D683" s="32"/>
      <c r="E683" s="32"/>
      <c r="F683" s="32"/>
      <c r="G683" s="65"/>
      <c r="H683" s="67"/>
      <c r="I683" s="67"/>
      <c r="J683" s="4"/>
      <c r="K683" s="74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</row>
    <row r="684" ht="15.75" customHeight="1">
      <c r="A684" s="32"/>
      <c r="B684" s="65"/>
      <c r="C684" s="65"/>
      <c r="D684" s="32"/>
      <c r="E684" s="32"/>
      <c r="F684" s="32"/>
      <c r="G684" s="65"/>
      <c r="H684" s="67"/>
      <c r="I684" s="67"/>
      <c r="J684" s="4"/>
      <c r="K684" s="74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</row>
    <row r="685" ht="15.75" customHeight="1">
      <c r="A685" s="32"/>
      <c r="B685" s="65"/>
      <c r="C685" s="65"/>
      <c r="D685" s="32"/>
      <c r="E685" s="32"/>
      <c r="F685" s="32"/>
      <c r="G685" s="65"/>
      <c r="H685" s="67"/>
      <c r="I685" s="67"/>
      <c r="J685" s="4"/>
      <c r="K685" s="74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</row>
    <row r="686" ht="15.75" customHeight="1">
      <c r="A686" s="32"/>
      <c r="B686" s="65"/>
      <c r="C686" s="65"/>
      <c r="D686" s="32"/>
      <c r="E686" s="32"/>
      <c r="F686" s="32"/>
      <c r="G686" s="65"/>
      <c r="H686" s="67"/>
      <c r="I686" s="67"/>
      <c r="J686" s="4"/>
      <c r="K686" s="74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</row>
    <row r="687" ht="15.75" customHeight="1">
      <c r="A687" s="32"/>
      <c r="B687" s="65"/>
      <c r="C687" s="65"/>
      <c r="D687" s="32"/>
      <c r="E687" s="32"/>
      <c r="F687" s="32"/>
      <c r="G687" s="65"/>
      <c r="H687" s="67"/>
      <c r="I687" s="67"/>
      <c r="J687" s="4"/>
      <c r="K687" s="74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</row>
    <row r="688" ht="15.75" customHeight="1">
      <c r="A688" s="32"/>
      <c r="B688" s="65"/>
      <c r="C688" s="65"/>
      <c r="D688" s="32"/>
      <c r="E688" s="32"/>
      <c r="F688" s="32"/>
      <c r="G688" s="65"/>
      <c r="H688" s="67"/>
      <c r="I688" s="67"/>
      <c r="J688" s="4"/>
      <c r="K688" s="74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</row>
    <row r="689" ht="15.75" customHeight="1">
      <c r="A689" s="32"/>
      <c r="B689" s="65"/>
      <c r="C689" s="65"/>
      <c r="D689" s="32"/>
      <c r="E689" s="32"/>
      <c r="F689" s="32"/>
      <c r="G689" s="65"/>
      <c r="H689" s="67"/>
      <c r="I689" s="67"/>
      <c r="J689" s="4"/>
      <c r="K689" s="74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</row>
    <row r="690" ht="15.75" customHeight="1">
      <c r="A690" s="32"/>
      <c r="B690" s="65"/>
      <c r="C690" s="65"/>
      <c r="D690" s="32"/>
      <c r="E690" s="32"/>
      <c r="F690" s="32"/>
      <c r="G690" s="65"/>
      <c r="H690" s="67"/>
      <c r="I690" s="67"/>
      <c r="J690" s="4"/>
      <c r="K690" s="74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</row>
    <row r="691" ht="15.75" customHeight="1">
      <c r="A691" s="32"/>
      <c r="B691" s="65"/>
      <c r="C691" s="65"/>
      <c r="D691" s="32"/>
      <c r="E691" s="32"/>
      <c r="F691" s="32"/>
      <c r="G691" s="65"/>
      <c r="H691" s="67"/>
      <c r="I691" s="67"/>
      <c r="J691" s="4"/>
      <c r="K691" s="74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</row>
    <row r="692" ht="15.75" customHeight="1">
      <c r="A692" s="32"/>
      <c r="B692" s="65"/>
      <c r="C692" s="65"/>
      <c r="D692" s="32"/>
      <c r="E692" s="32"/>
      <c r="F692" s="32"/>
      <c r="G692" s="65"/>
      <c r="H692" s="67"/>
      <c r="I692" s="67"/>
      <c r="J692" s="4"/>
      <c r="K692" s="74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</row>
    <row r="693" ht="15.75" customHeight="1">
      <c r="A693" s="32"/>
      <c r="B693" s="65"/>
      <c r="C693" s="65"/>
      <c r="D693" s="32"/>
      <c r="E693" s="32"/>
      <c r="F693" s="32"/>
      <c r="G693" s="65"/>
      <c r="H693" s="67"/>
      <c r="I693" s="67"/>
      <c r="J693" s="4"/>
      <c r="K693" s="74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</row>
    <row r="694" ht="15.75" customHeight="1">
      <c r="A694" s="32"/>
      <c r="B694" s="65"/>
      <c r="C694" s="65"/>
      <c r="D694" s="32"/>
      <c r="E694" s="32"/>
      <c r="F694" s="32"/>
      <c r="G694" s="65"/>
      <c r="H694" s="67"/>
      <c r="I694" s="67"/>
      <c r="J694" s="4"/>
      <c r="K694" s="74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</row>
    <row r="695" ht="15.75" customHeight="1">
      <c r="A695" s="32"/>
      <c r="B695" s="65"/>
      <c r="C695" s="65"/>
      <c r="D695" s="32"/>
      <c r="E695" s="32"/>
      <c r="F695" s="32"/>
      <c r="G695" s="65"/>
      <c r="H695" s="67"/>
      <c r="I695" s="67"/>
      <c r="J695" s="4"/>
      <c r="K695" s="74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</row>
    <row r="696" ht="15.75" customHeight="1">
      <c r="A696" s="32"/>
      <c r="B696" s="65"/>
      <c r="C696" s="65"/>
      <c r="D696" s="32"/>
      <c r="E696" s="32"/>
      <c r="F696" s="32"/>
      <c r="G696" s="65"/>
      <c r="H696" s="67"/>
      <c r="I696" s="67"/>
      <c r="J696" s="4"/>
      <c r="K696" s="74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</row>
    <row r="697" ht="15.75" customHeight="1">
      <c r="A697" s="32"/>
      <c r="B697" s="65"/>
      <c r="C697" s="65"/>
      <c r="D697" s="32"/>
      <c r="E697" s="32"/>
      <c r="F697" s="32"/>
      <c r="G697" s="65"/>
      <c r="H697" s="67"/>
      <c r="I697" s="67"/>
      <c r="J697" s="4"/>
      <c r="K697" s="74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</row>
    <row r="698" ht="15.75" customHeight="1">
      <c r="A698" s="32"/>
      <c r="B698" s="65"/>
      <c r="C698" s="65"/>
      <c r="D698" s="32"/>
      <c r="E698" s="32"/>
      <c r="F698" s="32"/>
      <c r="G698" s="65"/>
      <c r="H698" s="67"/>
      <c r="I698" s="67"/>
      <c r="J698" s="4"/>
      <c r="K698" s="74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</row>
    <row r="699" ht="15.75" customHeight="1">
      <c r="A699" s="32"/>
      <c r="B699" s="65"/>
      <c r="C699" s="65"/>
      <c r="D699" s="32"/>
      <c r="E699" s="32"/>
      <c r="F699" s="32"/>
      <c r="G699" s="65"/>
      <c r="H699" s="67"/>
      <c r="I699" s="67"/>
      <c r="J699" s="4"/>
      <c r="K699" s="74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</row>
    <row r="700" ht="15.75" customHeight="1">
      <c r="A700" s="32"/>
      <c r="B700" s="65"/>
      <c r="C700" s="65"/>
      <c r="D700" s="32"/>
      <c r="E700" s="32"/>
      <c r="F700" s="32"/>
      <c r="G700" s="65"/>
      <c r="H700" s="67"/>
      <c r="I700" s="67"/>
      <c r="J700" s="4"/>
      <c r="K700" s="74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</row>
    <row r="701" ht="15.75" customHeight="1">
      <c r="A701" s="32"/>
      <c r="B701" s="65"/>
      <c r="C701" s="65"/>
      <c r="D701" s="32"/>
      <c r="E701" s="32"/>
      <c r="F701" s="32"/>
      <c r="G701" s="65"/>
      <c r="H701" s="67"/>
      <c r="I701" s="67"/>
      <c r="J701" s="4"/>
      <c r="K701" s="74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</row>
    <row r="702" ht="15.75" customHeight="1">
      <c r="A702" s="32"/>
      <c r="B702" s="65"/>
      <c r="C702" s="65"/>
      <c r="D702" s="32"/>
      <c r="E702" s="32"/>
      <c r="F702" s="32"/>
      <c r="G702" s="65"/>
      <c r="H702" s="67"/>
      <c r="I702" s="67"/>
      <c r="J702" s="4"/>
      <c r="K702" s="74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</row>
    <row r="703" ht="15.75" customHeight="1">
      <c r="A703" s="32"/>
      <c r="B703" s="65"/>
      <c r="C703" s="65"/>
      <c r="D703" s="32"/>
      <c r="E703" s="32"/>
      <c r="F703" s="32"/>
      <c r="G703" s="65"/>
      <c r="H703" s="67"/>
      <c r="I703" s="67"/>
      <c r="J703" s="4"/>
      <c r="K703" s="74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</row>
    <row r="704" ht="15.75" customHeight="1">
      <c r="A704" s="32"/>
      <c r="B704" s="65"/>
      <c r="C704" s="65"/>
      <c r="D704" s="32"/>
      <c r="E704" s="32"/>
      <c r="F704" s="32"/>
      <c r="G704" s="65"/>
      <c r="H704" s="67"/>
      <c r="I704" s="67"/>
      <c r="J704" s="4"/>
      <c r="K704" s="74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</row>
    <row r="705" ht="15.75" customHeight="1">
      <c r="A705" s="32"/>
      <c r="B705" s="65"/>
      <c r="C705" s="65"/>
      <c r="D705" s="32"/>
      <c r="E705" s="32"/>
      <c r="F705" s="32"/>
      <c r="G705" s="65"/>
      <c r="H705" s="67"/>
      <c r="I705" s="67"/>
      <c r="J705" s="4"/>
      <c r="K705" s="74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</row>
    <row r="706" ht="15.75" customHeight="1">
      <c r="A706" s="32"/>
      <c r="B706" s="65"/>
      <c r="C706" s="65"/>
      <c r="D706" s="32"/>
      <c r="E706" s="32"/>
      <c r="F706" s="32"/>
      <c r="G706" s="65"/>
      <c r="H706" s="67"/>
      <c r="I706" s="67"/>
      <c r="J706" s="4"/>
      <c r="K706" s="74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</row>
    <row r="707" ht="15.75" customHeight="1">
      <c r="A707" s="32"/>
      <c r="B707" s="65"/>
      <c r="C707" s="65"/>
      <c r="D707" s="32"/>
      <c r="E707" s="32"/>
      <c r="F707" s="32"/>
      <c r="G707" s="65"/>
      <c r="H707" s="67"/>
      <c r="I707" s="67"/>
      <c r="J707" s="4"/>
      <c r="K707" s="74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</row>
    <row r="708" ht="15.75" customHeight="1">
      <c r="A708" s="32"/>
      <c r="B708" s="65"/>
      <c r="C708" s="65"/>
      <c r="D708" s="32"/>
      <c r="E708" s="32"/>
      <c r="F708" s="32"/>
      <c r="G708" s="65"/>
      <c r="H708" s="67"/>
      <c r="I708" s="67"/>
      <c r="J708" s="4"/>
      <c r="K708" s="74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</row>
    <row r="709" ht="15.75" customHeight="1">
      <c r="A709" s="32"/>
      <c r="B709" s="65"/>
      <c r="C709" s="65"/>
      <c r="D709" s="32"/>
      <c r="E709" s="32"/>
      <c r="F709" s="32"/>
      <c r="G709" s="65"/>
      <c r="H709" s="67"/>
      <c r="I709" s="67"/>
      <c r="J709" s="4"/>
      <c r="K709" s="74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</row>
    <row r="710" ht="15.75" customHeight="1">
      <c r="A710" s="32"/>
      <c r="B710" s="65"/>
      <c r="C710" s="65"/>
      <c r="D710" s="32"/>
      <c r="E710" s="32"/>
      <c r="F710" s="32"/>
      <c r="G710" s="65"/>
      <c r="H710" s="67"/>
      <c r="I710" s="67"/>
      <c r="J710" s="4"/>
      <c r="K710" s="74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</row>
    <row r="711" ht="15.75" customHeight="1">
      <c r="A711" s="32"/>
      <c r="B711" s="65"/>
      <c r="C711" s="65"/>
      <c r="D711" s="32"/>
      <c r="E711" s="32"/>
      <c r="F711" s="32"/>
      <c r="G711" s="65"/>
      <c r="H711" s="67"/>
      <c r="I711" s="67"/>
      <c r="J711" s="4"/>
      <c r="K711" s="74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</row>
    <row r="712" ht="15.75" customHeight="1">
      <c r="A712" s="32"/>
      <c r="B712" s="65"/>
      <c r="C712" s="65"/>
      <c r="D712" s="32"/>
      <c r="E712" s="32"/>
      <c r="F712" s="32"/>
      <c r="G712" s="65"/>
      <c r="H712" s="67"/>
      <c r="I712" s="67"/>
      <c r="J712" s="4"/>
      <c r="K712" s="74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</row>
    <row r="713" ht="15.75" customHeight="1">
      <c r="A713" s="32"/>
      <c r="B713" s="65"/>
      <c r="C713" s="65"/>
      <c r="D713" s="32"/>
      <c r="E713" s="32"/>
      <c r="F713" s="32"/>
      <c r="G713" s="65"/>
      <c r="H713" s="67"/>
      <c r="I713" s="67"/>
      <c r="J713" s="4"/>
      <c r="K713" s="74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</row>
    <row r="714" ht="15.75" customHeight="1">
      <c r="A714" s="32"/>
      <c r="B714" s="65"/>
      <c r="C714" s="65"/>
      <c r="D714" s="32"/>
      <c r="E714" s="32"/>
      <c r="F714" s="32"/>
      <c r="G714" s="65"/>
      <c r="H714" s="67"/>
      <c r="I714" s="67"/>
      <c r="J714" s="4"/>
      <c r="K714" s="74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</row>
    <row r="715" ht="15.75" customHeight="1">
      <c r="A715" s="32"/>
      <c r="B715" s="65"/>
      <c r="C715" s="65"/>
      <c r="D715" s="32"/>
      <c r="E715" s="32"/>
      <c r="F715" s="32"/>
      <c r="G715" s="65"/>
      <c r="H715" s="67"/>
      <c r="I715" s="67"/>
      <c r="J715" s="4"/>
      <c r="K715" s="74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</row>
    <row r="716" ht="15.75" customHeight="1">
      <c r="A716" s="32"/>
      <c r="B716" s="65"/>
      <c r="C716" s="65"/>
      <c r="D716" s="32"/>
      <c r="E716" s="32"/>
      <c r="F716" s="32"/>
      <c r="G716" s="65"/>
      <c r="H716" s="67"/>
      <c r="I716" s="67"/>
      <c r="J716" s="4"/>
      <c r="K716" s="74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</row>
    <row r="717" ht="15.75" customHeight="1">
      <c r="A717" s="32"/>
      <c r="B717" s="65"/>
      <c r="C717" s="65"/>
      <c r="D717" s="32"/>
      <c r="E717" s="32"/>
      <c r="F717" s="32"/>
      <c r="G717" s="65"/>
      <c r="H717" s="67"/>
      <c r="I717" s="67"/>
      <c r="J717" s="4"/>
      <c r="K717" s="74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</row>
    <row r="718" ht="15.75" customHeight="1">
      <c r="A718" s="32"/>
      <c r="B718" s="65"/>
      <c r="C718" s="65"/>
      <c r="D718" s="32"/>
      <c r="E718" s="32"/>
      <c r="F718" s="32"/>
      <c r="G718" s="65"/>
      <c r="H718" s="67"/>
      <c r="I718" s="67"/>
      <c r="J718" s="4"/>
      <c r="K718" s="74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</row>
    <row r="719" ht="15.75" customHeight="1">
      <c r="A719" s="32"/>
      <c r="B719" s="65"/>
      <c r="C719" s="65"/>
      <c r="D719" s="32"/>
      <c r="E719" s="32"/>
      <c r="F719" s="32"/>
      <c r="G719" s="65"/>
      <c r="H719" s="67"/>
      <c r="I719" s="67"/>
      <c r="J719" s="4"/>
      <c r="K719" s="74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</row>
    <row r="720" ht="15.75" customHeight="1">
      <c r="A720" s="32"/>
      <c r="B720" s="65"/>
      <c r="C720" s="65"/>
      <c r="D720" s="32"/>
      <c r="E720" s="32"/>
      <c r="F720" s="32"/>
      <c r="G720" s="65"/>
      <c r="H720" s="67"/>
      <c r="I720" s="67"/>
      <c r="J720" s="4"/>
      <c r="K720" s="74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</row>
    <row r="721" ht="15.75" customHeight="1">
      <c r="A721" s="32"/>
      <c r="B721" s="65"/>
      <c r="C721" s="65"/>
      <c r="D721" s="32"/>
      <c r="E721" s="32"/>
      <c r="F721" s="32"/>
      <c r="G721" s="65"/>
      <c r="H721" s="67"/>
      <c r="I721" s="67"/>
      <c r="J721" s="4"/>
      <c r="K721" s="74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</row>
    <row r="722" ht="15.75" customHeight="1">
      <c r="A722" s="32"/>
      <c r="B722" s="65"/>
      <c r="C722" s="65"/>
      <c r="D722" s="32"/>
      <c r="E722" s="32"/>
      <c r="F722" s="32"/>
      <c r="G722" s="65"/>
      <c r="H722" s="67"/>
      <c r="I722" s="67"/>
      <c r="J722" s="4"/>
      <c r="K722" s="74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</row>
    <row r="723" ht="15.75" customHeight="1">
      <c r="A723" s="32"/>
      <c r="B723" s="65"/>
      <c r="C723" s="65"/>
      <c r="D723" s="32"/>
      <c r="E723" s="32"/>
      <c r="F723" s="32"/>
      <c r="G723" s="65"/>
      <c r="H723" s="67"/>
      <c r="I723" s="67"/>
      <c r="J723" s="4"/>
      <c r="K723" s="74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</row>
    <row r="724" ht="15.75" customHeight="1">
      <c r="A724" s="32"/>
      <c r="B724" s="65"/>
      <c r="C724" s="65"/>
      <c r="D724" s="32"/>
      <c r="E724" s="32"/>
      <c r="F724" s="32"/>
      <c r="G724" s="65"/>
      <c r="H724" s="67"/>
      <c r="I724" s="67"/>
      <c r="J724" s="4"/>
      <c r="K724" s="74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</row>
    <row r="725" ht="15.75" customHeight="1">
      <c r="A725" s="32"/>
      <c r="B725" s="65"/>
      <c r="C725" s="65"/>
      <c r="D725" s="32"/>
      <c r="E725" s="32"/>
      <c r="F725" s="32"/>
      <c r="G725" s="65"/>
      <c r="H725" s="67"/>
      <c r="I725" s="67"/>
      <c r="J725" s="4"/>
      <c r="K725" s="74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</row>
    <row r="726" ht="15.75" customHeight="1">
      <c r="A726" s="32"/>
      <c r="B726" s="65"/>
      <c r="C726" s="65"/>
      <c r="D726" s="32"/>
      <c r="E726" s="32"/>
      <c r="F726" s="32"/>
      <c r="G726" s="65"/>
      <c r="H726" s="67"/>
      <c r="I726" s="67"/>
      <c r="J726" s="4"/>
      <c r="K726" s="74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</row>
    <row r="727" ht="15.75" customHeight="1">
      <c r="A727" s="32"/>
      <c r="B727" s="65"/>
      <c r="C727" s="65"/>
      <c r="D727" s="32"/>
      <c r="E727" s="32"/>
      <c r="F727" s="32"/>
      <c r="G727" s="65"/>
      <c r="H727" s="67"/>
      <c r="I727" s="67"/>
      <c r="J727" s="4"/>
      <c r="K727" s="74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</row>
    <row r="728" ht="15.75" customHeight="1">
      <c r="A728" s="32"/>
      <c r="B728" s="65"/>
      <c r="C728" s="65"/>
      <c r="D728" s="32"/>
      <c r="E728" s="32"/>
      <c r="F728" s="32"/>
      <c r="G728" s="65"/>
      <c r="H728" s="67"/>
      <c r="I728" s="67"/>
      <c r="J728" s="4"/>
      <c r="K728" s="74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</row>
    <row r="729" ht="15.75" customHeight="1">
      <c r="A729" s="32"/>
      <c r="B729" s="65"/>
      <c r="C729" s="65"/>
      <c r="D729" s="32"/>
      <c r="E729" s="32"/>
      <c r="F729" s="32"/>
      <c r="G729" s="65"/>
      <c r="H729" s="67"/>
      <c r="I729" s="67"/>
      <c r="J729" s="4"/>
      <c r="K729" s="74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</row>
    <row r="730" ht="15.75" customHeight="1">
      <c r="A730" s="32"/>
      <c r="B730" s="65"/>
      <c r="C730" s="65"/>
      <c r="D730" s="32"/>
      <c r="E730" s="32"/>
      <c r="F730" s="32"/>
      <c r="G730" s="65"/>
      <c r="H730" s="67"/>
      <c r="I730" s="67"/>
      <c r="J730" s="4"/>
      <c r="K730" s="74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</row>
    <row r="731" ht="15.75" customHeight="1">
      <c r="A731" s="32"/>
      <c r="B731" s="65"/>
      <c r="C731" s="65"/>
      <c r="D731" s="32"/>
      <c r="E731" s="32"/>
      <c r="F731" s="32"/>
      <c r="G731" s="65"/>
      <c r="H731" s="67"/>
      <c r="I731" s="67"/>
      <c r="J731" s="4"/>
      <c r="K731" s="74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</row>
    <row r="732" ht="15.75" customHeight="1">
      <c r="A732" s="32"/>
      <c r="B732" s="65"/>
      <c r="C732" s="65"/>
      <c r="D732" s="32"/>
      <c r="E732" s="32"/>
      <c r="F732" s="32"/>
      <c r="G732" s="65"/>
      <c r="H732" s="67"/>
      <c r="I732" s="67"/>
      <c r="J732" s="4"/>
      <c r="K732" s="74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</row>
    <row r="733" ht="15.75" customHeight="1">
      <c r="A733" s="32"/>
      <c r="B733" s="65"/>
      <c r="C733" s="65"/>
      <c r="D733" s="32"/>
      <c r="E733" s="32"/>
      <c r="F733" s="32"/>
      <c r="G733" s="65"/>
      <c r="H733" s="67"/>
      <c r="I733" s="67"/>
      <c r="J733" s="4"/>
      <c r="K733" s="74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</row>
    <row r="734" ht="15.75" customHeight="1">
      <c r="A734" s="32"/>
      <c r="B734" s="65"/>
      <c r="C734" s="65"/>
      <c r="D734" s="32"/>
      <c r="E734" s="32"/>
      <c r="F734" s="32"/>
      <c r="G734" s="65"/>
      <c r="H734" s="67"/>
      <c r="I734" s="67"/>
      <c r="J734" s="4"/>
      <c r="K734" s="74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</row>
    <row r="735" ht="15.75" customHeight="1">
      <c r="A735" s="32"/>
      <c r="B735" s="65"/>
      <c r="C735" s="65"/>
      <c r="D735" s="32"/>
      <c r="E735" s="32"/>
      <c r="F735" s="32"/>
      <c r="G735" s="65"/>
      <c r="H735" s="67"/>
      <c r="I735" s="67"/>
      <c r="J735" s="4"/>
      <c r="K735" s="74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</row>
    <row r="736" ht="15.75" customHeight="1">
      <c r="A736" s="32"/>
      <c r="B736" s="65"/>
      <c r="C736" s="65"/>
      <c r="D736" s="32"/>
      <c r="E736" s="32"/>
      <c r="F736" s="32"/>
      <c r="G736" s="65"/>
      <c r="H736" s="67"/>
      <c r="I736" s="67"/>
      <c r="J736" s="4"/>
      <c r="K736" s="74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</row>
    <row r="737" ht="15.75" customHeight="1">
      <c r="A737" s="32"/>
      <c r="B737" s="65"/>
      <c r="C737" s="65"/>
      <c r="D737" s="32"/>
      <c r="E737" s="32"/>
      <c r="F737" s="32"/>
      <c r="G737" s="65"/>
      <c r="H737" s="67"/>
      <c r="I737" s="67"/>
      <c r="J737" s="4"/>
      <c r="K737" s="74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</row>
    <row r="738" ht="15.75" customHeight="1">
      <c r="A738" s="32"/>
      <c r="B738" s="65"/>
      <c r="C738" s="65"/>
      <c r="D738" s="32"/>
      <c r="E738" s="32"/>
      <c r="F738" s="32"/>
      <c r="G738" s="65"/>
      <c r="H738" s="67"/>
      <c r="I738" s="67"/>
      <c r="J738" s="4"/>
      <c r="K738" s="74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</row>
    <row r="739" ht="15.75" customHeight="1">
      <c r="A739" s="32"/>
      <c r="B739" s="65"/>
      <c r="C739" s="65"/>
      <c r="D739" s="32"/>
      <c r="E739" s="32"/>
      <c r="F739" s="32"/>
      <c r="G739" s="65"/>
      <c r="H739" s="67"/>
      <c r="I739" s="67"/>
      <c r="J739" s="4"/>
      <c r="K739" s="74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</row>
    <row r="740" ht="15.75" customHeight="1">
      <c r="A740" s="32"/>
      <c r="B740" s="65"/>
      <c r="C740" s="65"/>
      <c r="D740" s="32"/>
      <c r="E740" s="32"/>
      <c r="F740" s="32"/>
      <c r="G740" s="65"/>
      <c r="H740" s="67"/>
      <c r="I740" s="67"/>
      <c r="J740" s="4"/>
      <c r="K740" s="74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</row>
    <row r="741" ht="15.75" customHeight="1">
      <c r="A741" s="32"/>
      <c r="B741" s="65"/>
      <c r="C741" s="65"/>
      <c r="D741" s="32"/>
      <c r="E741" s="32"/>
      <c r="F741" s="32"/>
      <c r="G741" s="65"/>
      <c r="H741" s="67"/>
      <c r="I741" s="67"/>
      <c r="J741" s="4"/>
      <c r="K741" s="74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</row>
    <row r="742" ht="15.75" customHeight="1">
      <c r="A742" s="32"/>
      <c r="B742" s="65"/>
      <c r="C742" s="65"/>
      <c r="D742" s="32"/>
      <c r="E742" s="32"/>
      <c r="F742" s="32"/>
      <c r="G742" s="65"/>
      <c r="H742" s="67"/>
      <c r="I742" s="67"/>
      <c r="J742" s="4"/>
      <c r="K742" s="74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</row>
    <row r="743" ht="15.75" customHeight="1">
      <c r="A743" s="32"/>
      <c r="B743" s="65"/>
      <c r="C743" s="65"/>
      <c r="D743" s="32"/>
      <c r="E743" s="32"/>
      <c r="F743" s="32"/>
      <c r="G743" s="65"/>
      <c r="H743" s="67"/>
      <c r="I743" s="67"/>
      <c r="J743" s="4"/>
      <c r="K743" s="74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</row>
    <row r="744" ht="15.75" customHeight="1">
      <c r="A744" s="32"/>
      <c r="B744" s="65"/>
      <c r="C744" s="65"/>
      <c r="D744" s="32"/>
      <c r="E744" s="32"/>
      <c r="F744" s="32"/>
      <c r="G744" s="65"/>
      <c r="H744" s="67"/>
      <c r="I744" s="67"/>
      <c r="J744" s="4"/>
      <c r="K744" s="74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</row>
    <row r="745" ht="15.75" customHeight="1">
      <c r="A745" s="32"/>
      <c r="B745" s="65"/>
      <c r="C745" s="65"/>
      <c r="D745" s="32"/>
      <c r="E745" s="32"/>
      <c r="F745" s="32"/>
      <c r="G745" s="65"/>
      <c r="H745" s="67"/>
      <c r="I745" s="67"/>
      <c r="J745" s="4"/>
      <c r="K745" s="74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</row>
    <row r="746" ht="15.75" customHeight="1">
      <c r="A746" s="32"/>
      <c r="B746" s="65"/>
      <c r="C746" s="65"/>
      <c r="D746" s="32"/>
      <c r="E746" s="32"/>
      <c r="F746" s="32"/>
      <c r="G746" s="65"/>
      <c r="H746" s="67"/>
      <c r="I746" s="67"/>
      <c r="J746" s="4"/>
      <c r="K746" s="74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</row>
    <row r="747" ht="15.75" customHeight="1">
      <c r="A747" s="32"/>
      <c r="B747" s="65"/>
      <c r="C747" s="65"/>
      <c r="D747" s="32"/>
      <c r="E747" s="32"/>
      <c r="F747" s="32"/>
      <c r="G747" s="65"/>
      <c r="H747" s="67"/>
      <c r="I747" s="67"/>
      <c r="J747" s="4"/>
      <c r="K747" s="74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</row>
    <row r="748" ht="15.75" customHeight="1">
      <c r="A748" s="32"/>
      <c r="B748" s="65"/>
      <c r="C748" s="65"/>
      <c r="D748" s="32"/>
      <c r="E748" s="32"/>
      <c r="F748" s="32"/>
      <c r="G748" s="65"/>
      <c r="H748" s="67"/>
      <c r="I748" s="67"/>
      <c r="J748" s="4"/>
      <c r="K748" s="74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</row>
    <row r="749" ht="15.75" customHeight="1">
      <c r="A749" s="32"/>
      <c r="B749" s="65"/>
      <c r="C749" s="65"/>
      <c r="D749" s="32"/>
      <c r="E749" s="32"/>
      <c r="F749" s="32"/>
      <c r="G749" s="65"/>
      <c r="H749" s="67"/>
      <c r="I749" s="67"/>
      <c r="J749" s="4"/>
      <c r="K749" s="74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</row>
    <row r="750" ht="15.75" customHeight="1">
      <c r="A750" s="32"/>
      <c r="B750" s="65"/>
      <c r="C750" s="65"/>
      <c r="D750" s="32"/>
      <c r="E750" s="32"/>
      <c r="F750" s="32"/>
      <c r="G750" s="65"/>
      <c r="H750" s="67"/>
      <c r="I750" s="67"/>
      <c r="J750" s="4"/>
      <c r="K750" s="74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</row>
    <row r="751" ht="15.75" customHeight="1">
      <c r="A751" s="32"/>
      <c r="B751" s="65"/>
      <c r="C751" s="65"/>
      <c r="D751" s="32"/>
      <c r="E751" s="32"/>
      <c r="F751" s="32"/>
      <c r="G751" s="65"/>
      <c r="H751" s="67"/>
      <c r="I751" s="67"/>
      <c r="J751" s="4"/>
      <c r="K751" s="74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</row>
    <row r="752" ht="15.75" customHeight="1">
      <c r="A752" s="32"/>
      <c r="B752" s="65"/>
      <c r="C752" s="65"/>
      <c r="D752" s="32"/>
      <c r="E752" s="32"/>
      <c r="F752" s="32"/>
      <c r="G752" s="65"/>
      <c r="H752" s="67"/>
      <c r="I752" s="67"/>
      <c r="J752" s="4"/>
      <c r="K752" s="74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</row>
    <row r="753" ht="15.75" customHeight="1">
      <c r="A753" s="32"/>
      <c r="B753" s="65"/>
      <c r="C753" s="65"/>
      <c r="D753" s="32"/>
      <c r="E753" s="32"/>
      <c r="F753" s="32"/>
      <c r="G753" s="65"/>
      <c r="H753" s="67"/>
      <c r="I753" s="67"/>
      <c r="J753" s="4"/>
      <c r="K753" s="74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</row>
    <row r="754" ht="15.75" customHeight="1">
      <c r="A754" s="32"/>
      <c r="B754" s="65"/>
      <c r="C754" s="65"/>
      <c r="D754" s="32"/>
      <c r="E754" s="32"/>
      <c r="F754" s="32"/>
      <c r="G754" s="65"/>
      <c r="H754" s="67"/>
      <c r="I754" s="67"/>
      <c r="J754" s="4"/>
      <c r="K754" s="74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</row>
    <row r="755" ht="15.75" customHeight="1">
      <c r="A755" s="32"/>
      <c r="B755" s="65"/>
      <c r="C755" s="65"/>
      <c r="D755" s="32"/>
      <c r="E755" s="32"/>
      <c r="F755" s="32"/>
      <c r="G755" s="65"/>
      <c r="H755" s="67"/>
      <c r="I755" s="67"/>
      <c r="J755" s="4"/>
      <c r="K755" s="74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</row>
    <row r="756" ht="15.75" customHeight="1">
      <c r="A756" s="32"/>
      <c r="B756" s="65"/>
      <c r="C756" s="65"/>
      <c r="D756" s="32"/>
      <c r="E756" s="32"/>
      <c r="F756" s="32"/>
      <c r="G756" s="65"/>
      <c r="H756" s="67"/>
      <c r="I756" s="67"/>
      <c r="J756" s="4"/>
      <c r="K756" s="74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</row>
    <row r="757" ht="15.75" customHeight="1">
      <c r="A757" s="32"/>
      <c r="B757" s="65"/>
      <c r="C757" s="65"/>
      <c r="D757" s="32"/>
      <c r="E757" s="32"/>
      <c r="F757" s="32"/>
      <c r="G757" s="65"/>
      <c r="H757" s="67"/>
      <c r="I757" s="67"/>
      <c r="J757" s="4"/>
      <c r="K757" s="74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</row>
    <row r="758" ht="15.75" customHeight="1">
      <c r="A758" s="32"/>
      <c r="B758" s="65"/>
      <c r="C758" s="65"/>
      <c r="D758" s="32"/>
      <c r="E758" s="32"/>
      <c r="F758" s="32"/>
      <c r="G758" s="65"/>
      <c r="H758" s="67"/>
      <c r="I758" s="67"/>
      <c r="J758" s="4"/>
      <c r="K758" s="74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</row>
    <row r="759" ht="15.75" customHeight="1">
      <c r="A759" s="32"/>
      <c r="B759" s="65"/>
      <c r="C759" s="65"/>
      <c r="D759" s="32"/>
      <c r="E759" s="32"/>
      <c r="F759" s="32"/>
      <c r="G759" s="65"/>
      <c r="H759" s="67"/>
      <c r="I759" s="67"/>
      <c r="J759" s="4"/>
      <c r="K759" s="74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</row>
    <row r="760" ht="15.75" customHeight="1">
      <c r="A760" s="32"/>
      <c r="B760" s="65"/>
      <c r="C760" s="65"/>
      <c r="D760" s="32"/>
      <c r="E760" s="32"/>
      <c r="F760" s="32"/>
      <c r="G760" s="65"/>
      <c r="H760" s="67"/>
      <c r="I760" s="67"/>
      <c r="J760" s="4"/>
      <c r="K760" s="74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</row>
    <row r="761" ht="15.75" customHeight="1">
      <c r="A761" s="32"/>
      <c r="B761" s="65"/>
      <c r="C761" s="65"/>
      <c r="D761" s="32"/>
      <c r="E761" s="32"/>
      <c r="F761" s="32"/>
      <c r="G761" s="65"/>
      <c r="H761" s="67"/>
      <c r="I761" s="67"/>
      <c r="J761" s="4"/>
      <c r="K761" s="74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</row>
    <row r="762" ht="15.75" customHeight="1">
      <c r="A762" s="32"/>
      <c r="B762" s="65"/>
      <c r="C762" s="65"/>
      <c r="D762" s="32"/>
      <c r="E762" s="32"/>
      <c r="F762" s="32"/>
      <c r="G762" s="65"/>
      <c r="H762" s="67"/>
      <c r="I762" s="67"/>
      <c r="J762" s="4"/>
      <c r="K762" s="74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</row>
    <row r="763" ht="15.75" customHeight="1">
      <c r="A763" s="32"/>
      <c r="B763" s="65"/>
      <c r="C763" s="65"/>
      <c r="D763" s="32"/>
      <c r="E763" s="32"/>
      <c r="F763" s="32"/>
      <c r="G763" s="65"/>
      <c r="H763" s="67"/>
      <c r="I763" s="67"/>
      <c r="J763" s="4"/>
      <c r="K763" s="74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</row>
    <row r="764" ht="15.75" customHeight="1">
      <c r="A764" s="32"/>
      <c r="B764" s="65"/>
      <c r="C764" s="65"/>
      <c r="D764" s="32"/>
      <c r="E764" s="32"/>
      <c r="F764" s="32"/>
      <c r="G764" s="65"/>
      <c r="H764" s="67"/>
      <c r="I764" s="67"/>
      <c r="J764" s="4"/>
      <c r="K764" s="74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</row>
    <row r="765" ht="15.75" customHeight="1">
      <c r="A765" s="32"/>
      <c r="B765" s="65"/>
      <c r="C765" s="65"/>
      <c r="D765" s="32"/>
      <c r="E765" s="32"/>
      <c r="F765" s="32"/>
      <c r="G765" s="65"/>
      <c r="H765" s="67"/>
      <c r="I765" s="67"/>
      <c r="J765" s="4"/>
      <c r="K765" s="74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</row>
    <row r="766" ht="15.75" customHeight="1">
      <c r="A766" s="32"/>
      <c r="B766" s="65"/>
      <c r="C766" s="65"/>
      <c r="D766" s="32"/>
      <c r="E766" s="32"/>
      <c r="F766" s="32"/>
      <c r="G766" s="65"/>
      <c r="H766" s="67"/>
      <c r="I766" s="67"/>
      <c r="J766" s="4"/>
      <c r="K766" s="74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</row>
    <row r="767" ht="15.75" customHeight="1">
      <c r="A767" s="32"/>
      <c r="B767" s="65"/>
      <c r="C767" s="65"/>
      <c r="D767" s="32"/>
      <c r="E767" s="32"/>
      <c r="F767" s="32"/>
      <c r="G767" s="65"/>
      <c r="H767" s="67"/>
      <c r="I767" s="67"/>
      <c r="J767" s="4"/>
      <c r="K767" s="74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</row>
    <row r="768" ht="15.75" customHeight="1">
      <c r="A768" s="32"/>
      <c r="B768" s="65"/>
      <c r="C768" s="65"/>
      <c r="D768" s="32"/>
      <c r="E768" s="32"/>
      <c r="F768" s="32"/>
      <c r="G768" s="65"/>
      <c r="H768" s="67"/>
      <c r="I768" s="67"/>
      <c r="J768" s="4"/>
      <c r="K768" s="74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</row>
    <row r="769" ht="15.75" customHeight="1">
      <c r="A769" s="32"/>
      <c r="B769" s="65"/>
      <c r="C769" s="65"/>
      <c r="D769" s="32"/>
      <c r="E769" s="32"/>
      <c r="F769" s="32"/>
      <c r="G769" s="65"/>
      <c r="H769" s="67"/>
      <c r="I769" s="67"/>
      <c r="J769" s="4"/>
      <c r="K769" s="74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</row>
    <row r="770" ht="15.75" customHeight="1">
      <c r="A770" s="32"/>
      <c r="B770" s="65"/>
      <c r="C770" s="65"/>
      <c r="D770" s="32"/>
      <c r="E770" s="32"/>
      <c r="F770" s="32"/>
      <c r="G770" s="65"/>
      <c r="H770" s="67"/>
      <c r="I770" s="67"/>
      <c r="J770" s="4"/>
      <c r="K770" s="74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</row>
    <row r="771" ht="15.75" customHeight="1">
      <c r="A771" s="32"/>
      <c r="B771" s="65"/>
      <c r="C771" s="65"/>
      <c r="D771" s="32"/>
      <c r="E771" s="32"/>
      <c r="F771" s="32"/>
      <c r="G771" s="65"/>
      <c r="H771" s="67"/>
      <c r="I771" s="67"/>
      <c r="J771" s="4"/>
      <c r="K771" s="74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</row>
    <row r="772" ht="15.75" customHeight="1">
      <c r="A772" s="32"/>
      <c r="B772" s="65"/>
      <c r="C772" s="65"/>
      <c r="D772" s="32"/>
      <c r="E772" s="32"/>
      <c r="F772" s="32"/>
      <c r="G772" s="65"/>
      <c r="H772" s="67"/>
      <c r="I772" s="67"/>
      <c r="J772" s="4"/>
      <c r="K772" s="74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</row>
    <row r="773" ht="15.75" customHeight="1">
      <c r="A773" s="32"/>
      <c r="B773" s="65"/>
      <c r="C773" s="65"/>
      <c r="D773" s="32"/>
      <c r="E773" s="32"/>
      <c r="F773" s="32"/>
      <c r="G773" s="65"/>
      <c r="H773" s="67"/>
      <c r="I773" s="67"/>
      <c r="J773" s="4"/>
      <c r="K773" s="74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</row>
    <row r="774" ht="15.75" customHeight="1">
      <c r="A774" s="32"/>
      <c r="B774" s="65"/>
      <c r="C774" s="65"/>
      <c r="D774" s="32"/>
      <c r="E774" s="32"/>
      <c r="F774" s="32"/>
      <c r="G774" s="65"/>
      <c r="H774" s="67"/>
      <c r="I774" s="67"/>
      <c r="J774" s="4"/>
      <c r="K774" s="74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</row>
    <row r="775" ht="15.75" customHeight="1">
      <c r="A775" s="32"/>
      <c r="B775" s="65"/>
      <c r="C775" s="65"/>
      <c r="D775" s="32"/>
      <c r="E775" s="32"/>
      <c r="F775" s="32"/>
      <c r="G775" s="65"/>
      <c r="H775" s="67"/>
      <c r="I775" s="67"/>
      <c r="J775" s="4"/>
      <c r="K775" s="74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</row>
    <row r="776" ht="15.75" customHeight="1">
      <c r="A776" s="32"/>
      <c r="B776" s="65"/>
      <c r="C776" s="65"/>
      <c r="D776" s="32"/>
      <c r="E776" s="32"/>
      <c r="F776" s="32"/>
      <c r="G776" s="65"/>
      <c r="H776" s="67"/>
      <c r="I776" s="67"/>
      <c r="J776" s="4"/>
      <c r="K776" s="74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</row>
    <row r="777" ht="15.75" customHeight="1">
      <c r="A777" s="32"/>
      <c r="B777" s="65"/>
      <c r="C777" s="65"/>
      <c r="D777" s="32"/>
      <c r="E777" s="32"/>
      <c r="F777" s="32"/>
      <c r="G777" s="65"/>
      <c r="H777" s="67"/>
      <c r="I777" s="67"/>
      <c r="J777" s="4"/>
      <c r="K777" s="74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</row>
    <row r="778" ht="15.75" customHeight="1">
      <c r="A778" s="32"/>
      <c r="B778" s="65"/>
      <c r="C778" s="65"/>
      <c r="D778" s="32"/>
      <c r="E778" s="32"/>
      <c r="F778" s="32"/>
      <c r="G778" s="65"/>
      <c r="H778" s="67"/>
      <c r="I778" s="67"/>
      <c r="J778" s="4"/>
      <c r="K778" s="74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</row>
    <row r="779" ht="15.75" customHeight="1">
      <c r="A779" s="32"/>
      <c r="B779" s="65"/>
      <c r="C779" s="65"/>
      <c r="D779" s="32"/>
      <c r="E779" s="32"/>
      <c r="F779" s="32"/>
      <c r="G779" s="65"/>
      <c r="H779" s="67"/>
      <c r="I779" s="67"/>
      <c r="J779" s="4"/>
      <c r="K779" s="74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</row>
    <row r="780" ht="15.75" customHeight="1">
      <c r="A780" s="32"/>
      <c r="B780" s="65"/>
      <c r="C780" s="65"/>
      <c r="D780" s="32"/>
      <c r="E780" s="32"/>
      <c r="F780" s="32"/>
      <c r="G780" s="65"/>
      <c r="H780" s="67"/>
      <c r="I780" s="67"/>
      <c r="J780" s="4"/>
      <c r="K780" s="74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</row>
    <row r="781" ht="15.75" customHeight="1">
      <c r="A781" s="32"/>
      <c r="B781" s="65"/>
      <c r="C781" s="65"/>
      <c r="D781" s="32"/>
      <c r="E781" s="32"/>
      <c r="F781" s="32"/>
      <c r="G781" s="65"/>
      <c r="H781" s="67"/>
      <c r="I781" s="67"/>
      <c r="J781" s="4"/>
      <c r="K781" s="74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</row>
    <row r="782" ht="15.75" customHeight="1">
      <c r="A782" s="32"/>
      <c r="B782" s="65"/>
      <c r="C782" s="65"/>
      <c r="D782" s="32"/>
      <c r="E782" s="32"/>
      <c r="F782" s="32"/>
      <c r="G782" s="65"/>
      <c r="H782" s="67"/>
      <c r="I782" s="67"/>
      <c r="J782" s="4"/>
      <c r="K782" s="74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</row>
    <row r="783" ht="15.75" customHeight="1">
      <c r="A783" s="32"/>
      <c r="B783" s="65"/>
      <c r="C783" s="65"/>
      <c r="D783" s="32"/>
      <c r="E783" s="32"/>
      <c r="F783" s="32"/>
      <c r="G783" s="65"/>
      <c r="H783" s="67"/>
      <c r="I783" s="67"/>
      <c r="J783" s="4"/>
      <c r="K783" s="74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</row>
    <row r="784" ht="15.75" customHeight="1">
      <c r="A784" s="32"/>
      <c r="B784" s="65"/>
      <c r="C784" s="65"/>
      <c r="D784" s="32"/>
      <c r="E784" s="32"/>
      <c r="F784" s="32"/>
      <c r="G784" s="65"/>
      <c r="H784" s="67"/>
      <c r="I784" s="67"/>
      <c r="J784" s="4"/>
      <c r="K784" s="74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</row>
    <row r="785" ht="15.75" customHeight="1">
      <c r="A785" s="32"/>
      <c r="B785" s="65"/>
      <c r="C785" s="65"/>
      <c r="D785" s="32"/>
      <c r="E785" s="32"/>
      <c r="F785" s="32"/>
      <c r="G785" s="65"/>
      <c r="H785" s="67"/>
      <c r="I785" s="67"/>
      <c r="J785" s="4"/>
      <c r="K785" s="74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</row>
    <row r="786" ht="15.75" customHeight="1">
      <c r="A786" s="32"/>
      <c r="B786" s="65"/>
      <c r="C786" s="65"/>
      <c r="D786" s="32"/>
      <c r="E786" s="32"/>
      <c r="F786" s="32"/>
      <c r="G786" s="65"/>
      <c r="H786" s="67"/>
      <c r="I786" s="67"/>
      <c r="J786" s="4"/>
      <c r="K786" s="74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</row>
    <row r="787" ht="15.75" customHeight="1">
      <c r="A787" s="32"/>
      <c r="B787" s="65"/>
      <c r="C787" s="65"/>
      <c r="D787" s="32"/>
      <c r="E787" s="32"/>
      <c r="F787" s="32"/>
      <c r="G787" s="65"/>
      <c r="H787" s="67"/>
      <c r="I787" s="67"/>
      <c r="J787" s="4"/>
      <c r="K787" s="74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</row>
    <row r="788" ht="15.75" customHeight="1">
      <c r="A788" s="32"/>
      <c r="B788" s="65"/>
      <c r="C788" s="65"/>
      <c r="D788" s="32"/>
      <c r="E788" s="32"/>
      <c r="F788" s="32"/>
      <c r="G788" s="65"/>
      <c r="H788" s="67"/>
      <c r="I788" s="67"/>
      <c r="J788" s="4"/>
      <c r="K788" s="74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</row>
    <row r="789" ht="15.75" customHeight="1">
      <c r="A789" s="32"/>
      <c r="B789" s="65"/>
      <c r="C789" s="65"/>
      <c r="D789" s="32"/>
      <c r="E789" s="32"/>
      <c r="F789" s="32"/>
      <c r="G789" s="65"/>
      <c r="H789" s="67"/>
      <c r="I789" s="67"/>
      <c r="J789" s="4"/>
      <c r="K789" s="74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</row>
    <row r="790" ht="15.75" customHeight="1">
      <c r="A790" s="32"/>
      <c r="B790" s="65"/>
      <c r="C790" s="65"/>
      <c r="D790" s="32"/>
      <c r="E790" s="32"/>
      <c r="F790" s="32"/>
      <c r="G790" s="65"/>
      <c r="H790" s="67"/>
      <c r="I790" s="67"/>
      <c r="J790" s="4"/>
      <c r="K790" s="74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</row>
    <row r="791" ht="15.75" customHeight="1">
      <c r="A791" s="32"/>
      <c r="B791" s="65"/>
      <c r="C791" s="65"/>
      <c r="D791" s="32"/>
      <c r="E791" s="32"/>
      <c r="F791" s="32"/>
      <c r="G791" s="65"/>
      <c r="H791" s="67"/>
      <c r="I791" s="67"/>
      <c r="J791" s="4"/>
      <c r="K791" s="74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</row>
    <row r="792" ht="15.75" customHeight="1">
      <c r="A792" s="32"/>
      <c r="B792" s="65"/>
      <c r="C792" s="65"/>
      <c r="D792" s="32"/>
      <c r="E792" s="32"/>
      <c r="F792" s="32"/>
      <c r="G792" s="65"/>
      <c r="H792" s="67"/>
      <c r="I792" s="67"/>
      <c r="J792" s="4"/>
      <c r="K792" s="74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</row>
    <row r="793" ht="15.75" customHeight="1">
      <c r="A793" s="32"/>
      <c r="B793" s="65"/>
      <c r="C793" s="65"/>
      <c r="D793" s="32"/>
      <c r="E793" s="32"/>
      <c r="F793" s="32"/>
      <c r="G793" s="65"/>
      <c r="H793" s="67"/>
      <c r="I793" s="67"/>
      <c r="J793" s="4"/>
      <c r="K793" s="74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</row>
    <row r="794" ht="15.75" customHeight="1">
      <c r="A794" s="32"/>
      <c r="B794" s="65"/>
      <c r="C794" s="65"/>
      <c r="D794" s="32"/>
      <c r="E794" s="32"/>
      <c r="F794" s="32"/>
      <c r="G794" s="65"/>
      <c r="H794" s="67"/>
      <c r="I794" s="67"/>
      <c r="J794" s="4"/>
      <c r="K794" s="74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</row>
    <row r="795" ht="15.75" customHeight="1">
      <c r="A795" s="32"/>
      <c r="B795" s="65"/>
      <c r="C795" s="65"/>
      <c r="D795" s="32"/>
      <c r="E795" s="32"/>
      <c r="F795" s="32"/>
      <c r="G795" s="65"/>
      <c r="H795" s="67"/>
      <c r="I795" s="67"/>
      <c r="J795" s="4"/>
      <c r="K795" s="74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</row>
    <row r="796" ht="15.75" customHeight="1">
      <c r="A796" s="32"/>
      <c r="B796" s="65"/>
      <c r="C796" s="65"/>
      <c r="D796" s="32"/>
      <c r="E796" s="32"/>
      <c r="F796" s="32"/>
      <c r="G796" s="65"/>
      <c r="H796" s="67"/>
      <c r="I796" s="67"/>
      <c r="J796" s="4"/>
      <c r="K796" s="74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</row>
    <row r="797" ht="15.75" customHeight="1">
      <c r="A797" s="32"/>
      <c r="B797" s="65"/>
      <c r="C797" s="65"/>
      <c r="D797" s="32"/>
      <c r="E797" s="32"/>
      <c r="F797" s="32"/>
      <c r="G797" s="65"/>
      <c r="H797" s="67"/>
      <c r="I797" s="67"/>
      <c r="J797" s="4"/>
      <c r="K797" s="74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</row>
    <row r="798" ht="15.75" customHeight="1">
      <c r="A798" s="32"/>
      <c r="B798" s="65"/>
      <c r="C798" s="65"/>
      <c r="D798" s="32"/>
      <c r="E798" s="32"/>
      <c r="F798" s="32"/>
      <c r="G798" s="65"/>
      <c r="H798" s="67"/>
      <c r="I798" s="67"/>
      <c r="J798" s="4"/>
      <c r="K798" s="74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</row>
    <row r="799" ht="15.75" customHeight="1">
      <c r="A799" s="32"/>
      <c r="B799" s="65"/>
      <c r="C799" s="65"/>
      <c r="D799" s="32"/>
      <c r="E799" s="32"/>
      <c r="F799" s="32"/>
      <c r="G799" s="65"/>
      <c r="H799" s="67"/>
      <c r="I799" s="67"/>
      <c r="J799" s="4"/>
      <c r="K799" s="74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</row>
    <row r="800" ht="15.75" customHeight="1">
      <c r="A800" s="32"/>
      <c r="B800" s="65"/>
      <c r="C800" s="65"/>
      <c r="D800" s="32"/>
      <c r="E800" s="32"/>
      <c r="F800" s="32"/>
      <c r="G800" s="65"/>
      <c r="H800" s="67"/>
      <c r="I800" s="67"/>
      <c r="J800" s="4"/>
      <c r="K800" s="74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</row>
    <row r="801" ht="15.75" customHeight="1">
      <c r="A801" s="32"/>
      <c r="B801" s="65"/>
      <c r="C801" s="65"/>
      <c r="D801" s="32"/>
      <c r="E801" s="32"/>
      <c r="F801" s="32"/>
      <c r="G801" s="65"/>
      <c r="H801" s="67"/>
      <c r="I801" s="67"/>
      <c r="J801" s="4"/>
      <c r="K801" s="74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</row>
    <row r="802" ht="15.75" customHeight="1">
      <c r="A802" s="32"/>
      <c r="B802" s="65"/>
      <c r="C802" s="65"/>
      <c r="D802" s="32"/>
      <c r="E802" s="32"/>
      <c r="F802" s="32"/>
      <c r="G802" s="65"/>
      <c r="H802" s="67"/>
      <c r="I802" s="67"/>
      <c r="J802" s="4"/>
      <c r="K802" s="74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</row>
    <row r="803" ht="15.75" customHeight="1">
      <c r="A803" s="32"/>
      <c r="B803" s="65"/>
      <c r="C803" s="65"/>
      <c r="D803" s="32"/>
      <c r="E803" s="32"/>
      <c r="F803" s="32"/>
      <c r="G803" s="65"/>
      <c r="H803" s="67"/>
      <c r="I803" s="67"/>
      <c r="J803" s="4"/>
      <c r="K803" s="74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</row>
    <row r="804" ht="15.75" customHeight="1">
      <c r="A804" s="32"/>
      <c r="B804" s="65"/>
      <c r="C804" s="65"/>
      <c r="D804" s="32"/>
      <c r="E804" s="32"/>
      <c r="F804" s="32"/>
      <c r="G804" s="65"/>
      <c r="H804" s="67"/>
      <c r="I804" s="67"/>
      <c r="J804" s="4"/>
      <c r="K804" s="74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</row>
    <row r="805" ht="15.75" customHeight="1">
      <c r="A805" s="32"/>
      <c r="B805" s="65"/>
      <c r="C805" s="65"/>
      <c r="D805" s="32"/>
      <c r="E805" s="32"/>
      <c r="F805" s="32"/>
      <c r="G805" s="65"/>
      <c r="H805" s="67"/>
      <c r="I805" s="67"/>
      <c r="J805" s="4"/>
      <c r="K805" s="74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</row>
    <row r="806" ht="15.75" customHeight="1">
      <c r="A806" s="32"/>
      <c r="B806" s="65"/>
      <c r="C806" s="65"/>
      <c r="D806" s="32"/>
      <c r="E806" s="32"/>
      <c r="F806" s="32"/>
      <c r="G806" s="65"/>
      <c r="H806" s="67"/>
      <c r="I806" s="67"/>
      <c r="J806" s="4"/>
      <c r="K806" s="74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</row>
    <row r="807" ht="15.75" customHeight="1">
      <c r="A807" s="32"/>
      <c r="B807" s="65"/>
      <c r="C807" s="65"/>
      <c r="D807" s="32"/>
      <c r="E807" s="32"/>
      <c r="F807" s="32"/>
      <c r="G807" s="65"/>
      <c r="H807" s="67"/>
      <c r="I807" s="67"/>
      <c r="J807" s="4"/>
      <c r="K807" s="74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</row>
    <row r="808" ht="15.75" customHeight="1">
      <c r="A808" s="32"/>
      <c r="B808" s="65"/>
      <c r="C808" s="65"/>
      <c r="D808" s="32"/>
      <c r="E808" s="32"/>
      <c r="F808" s="32"/>
      <c r="G808" s="65"/>
      <c r="H808" s="67"/>
      <c r="I808" s="67"/>
      <c r="J808" s="4"/>
      <c r="K808" s="74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</row>
    <row r="809" ht="15.75" customHeight="1">
      <c r="A809" s="32"/>
      <c r="B809" s="65"/>
      <c r="C809" s="65"/>
      <c r="D809" s="32"/>
      <c r="E809" s="32"/>
      <c r="F809" s="32"/>
      <c r="G809" s="65"/>
      <c r="H809" s="67"/>
      <c r="I809" s="67"/>
      <c r="J809" s="4"/>
      <c r="K809" s="74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</row>
    <row r="810" ht="15.75" customHeight="1">
      <c r="A810" s="32"/>
      <c r="B810" s="65"/>
      <c r="C810" s="65"/>
      <c r="D810" s="32"/>
      <c r="E810" s="32"/>
      <c r="F810" s="32"/>
      <c r="G810" s="65"/>
      <c r="H810" s="67"/>
      <c r="I810" s="67"/>
      <c r="J810" s="4"/>
      <c r="K810" s="74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</row>
    <row r="811" ht="15.75" customHeight="1">
      <c r="A811" s="32"/>
      <c r="B811" s="65"/>
      <c r="C811" s="65"/>
      <c r="D811" s="32"/>
      <c r="E811" s="32"/>
      <c r="F811" s="32"/>
      <c r="G811" s="65"/>
      <c r="H811" s="67"/>
      <c r="I811" s="67"/>
      <c r="J811" s="4"/>
      <c r="K811" s="74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</row>
    <row r="812" ht="15.75" customHeight="1">
      <c r="A812" s="32"/>
      <c r="B812" s="65"/>
      <c r="C812" s="65"/>
      <c r="D812" s="32"/>
      <c r="E812" s="32"/>
      <c r="F812" s="32"/>
      <c r="G812" s="65"/>
      <c r="H812" s="67"/>
      <c r="I812" s="67"/>
      <c r="J812" s="4"/>
      <c r="K812" s="74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</row>
    <row r="813" ht="15.75" customHeight="1">
      <c r="A813" s="32"/>
      <c r="B813" s="65"/>
      <c r="C813" s="65"/>
      <c r="D813" s="32"/>
      <c r="E813" s="32"/>
      <c r="F813" s="32"/>
      <c r="G813" s="65"/>
      <c r="H813" s="67"/>
      <c r="I813" s="67"/>
      <c r="J813" s="4"/>
      <c r="K813" s="74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</row>
    <row r="814" ht="15.75" customHeight="1">
      <c r="A814" s="32"/>
      <c r="B814" s="65"/>
      <c r="C814" s="65"/>
      <c r="D814" s="32"/>
      <c r="E814" s="32"/>
      <c r="F814" s="32"/>
      <c r="G814" s="65"/>
      <c r="H814" s="67"/>
      <c r="I814" s="67"/>
      <c r="J814" s="4"/>
      <c r="K814" s="74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</row>
    <row r="815" ht="15.75" customHeight="1">
      <c r="A815" s="32"/>
      <c r="B815" s="65"/>
      <c r="C815" s="65"/>
      <c r="D815" s="32"/>
      <c r="E815" s="32"/>
      <c r="F815" s="32"/>
      <c r="G815" s="65"/>
      <c r="H815" s="67"/>
      <c r="I815" s="67"/>
      <c r="J815" s="4"/>
      <c r="K815" s="74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</row>
    <row r="816" ht="15.75" customHeight="1">
      <c r="A816" s="32"/>
      <c r="B816" s="65"/>
      <c r="C816" s="65"/>
      <c r="D816" s="32"/>
      <c r="E816" s="32"/>
      <c r="F816" s="32"/>
      <c r="G816" s="65"/>
      <c r="H816" s="67"/>
      <c r="I816" s="67"/>
      <c r="J816" s="4"/>
      <c r="K816" s="74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</row>
    <row r="817" ht="15.75" customHeight="1">
      <c r="A817" s="32"/>
      <c r="B817" s="65"/>
      <c r="C817" s="65"/>
      <c r="D817" s="32"/>
      <c r="E817" s="32"/>
      <c r="F817" s="32"/>
      <c r="G817" s="65"/>
      <c r="H817" s="67"/>
      <c r="I817" s="67"/>
      <c r="J817" s="4"/>
      <c r="K817" s="74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</row>
    <row r="818" ht="15.75" customHeight="1">
      <c r="A818" s="32"/>
      <c r="B818" s="65"/>
      <c r="C818" s="65"/>
      <c r="D818" s="32"/>
      <c r="E818" s="32"/>
      <c r="F818" s="32"/>
      <c r="G818" s="65"/>
      <c r="H818" s="67"/>
      <c r="I818" s="67"/>
      <c r="J818" s="4"/>
      <c r="K818" s="74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</row>
    <row r="819" ht="15.75" customHeight="1">
      <c r="A819" s="32"/>
      <c r="B819" s="65"/>
      <c r="C819" s="65"/>
      <c r="D819" s="32"/>
      <c r="E819" s="32"/>
      <c r="F819" s="32"/>
      <c r="G819" s="65"/>
      <c r="H819" s="67"/>
      <c r="I819" s="67"/>
      <c r="J819" s="4"/>
      <c r="K819" s="74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</row>
    <row r="820" ht="15.75" customHeight="1">
      <c r="A820" s="32"/>
      <c r="B820" s="65"/>
      <c r="C820" s="65"/>
      <c r="D820" s="32"/>
      <c r="E820" s="32"/>
      <c r="F820" s="32"/>
      <c r="G820" s="65"/>
      <c r="H820" s="67"/>
      <c r="I820" s="67"/>
      <c r="J820" s="4"/>
      <c r="K820" s="74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</row>
    <row r="821" ht="15.75" customHeight="1">
      <c r="A821" s="32"/>
      <c r="B821" s="65"/>
      <c r="C821" s="65"/>
      <c r="D821" s="32"/>
      <c r="E821" s="32"/>
      <c r="F821" s="32"/>
      <c r="G821" s="65"/>
      <c r="H821" s="67"/>
      <c r="I821" s="67"/>
      <c r="J821" s="4"/>
      <c r="K821" s="74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</row>
    <row r="822" ht="15.75" customHeight="1">
      <c r="A822" s="32"/>
      <c r="B822" s="65"/>
      <c r="C822" s="65"/>
      <c r="D822" s="32"/>
      <c r="E822" s="32"/>
      <c r="F822" s="32"/>
      <c r="G822" s="65"/>
      <c r="H822" s="67"/>
      <c r="I822" s="67"/>
      <c r="J822" s="4"/>
      <c r="K822" s="74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</row>
    <row r="823" ht="15.75" customHeight="1">
      <c r="A823" s="32"/>
      <c r="B823" s="65"/>
      <c r="C823" s="65"/>
      <c r="D823" s="32"/>
      <c r="E823" s="32"/>
      <c r="F823" s="32"/>
      <c r="G823" s="65"/>
      <c r="H823" s="67"/>
      <c r="I823" s="67"/>
      <c r="J823" s="4"/>
      <c r="K823" s="74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</row>
    <row r="824" ht="15.75" customHeight="1">
      <c r="A824" s="32"/>
      <c r="B824" s="65"/>
      <c r="C824" s="65"/>
      <c r="D824" s="32"/>
      <c r="E824" s="32"/>
      <c r="F824" s="32"/>
      <c r="G824" s="65"/>
      <c r="H824" s="67"/>
      <c r="I824" s="67"/>
      <c r="J824" s="4"/>
      <c r="K824" s="74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</row>
    <row r="825" ht="15.75" customHeight="1">
      <c r="A825" s="32"/>
      <c r="B825" s="65"/>
      <c r="C825" s="65"/>
      <c r="D825" s="32"/>
      <c r="E825" s="32"/>
      <c r="F825" s="32"/>
      <c r="G825" s="65"/>
      <c r="H825" s="67"/>
      <c r="I825" s="67"/>
      <c r="J825" s="4"/>
      <c r="K825" s="74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</row>
    <row r="826" ht="15.75" customHeight="1">
      <c r="A826" s="32"/>
      <c r="B826" s="65"/>
      <c r="C826" s="65"/>
      <c r="D826" s="32"/>
      <c r="E826" s="32"/>
      <c r="F826" s="32"/>
      <c r="G826" s="65"/>
      <c r="H826" s="67"/>
      <c r="I826" s="67"/>
      <c r="J826" s="4"/>
      <c r="K826" s="74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</row>
    <row r="827" ht="15.75" customHeight="1">
      <c r="A827" s="32"/>
      <c r="B827" s="65"/>
      <c r="C827" s="65"/>
      <c r="D827" s="32"/>
      <c r="E827" s="32"/>
      <c r="F827" s="32"/>
      <c r="G827" s="65"/>
      <c r="H827" s="67"/>
      <c r="I827" s="67"/>
      <c r="J827" s="4"/>
      <c r="K827" s="74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</row>
    <row r="828" ht="15.75" customHeight="1">
      <c r="A828" s="32"/>
      <c r="B828" s="65"/>
      <c r="C828" s="65"/>
      <c r="D828" s="32"/>
      <c r="E828" s="32"/>
      <c r="F828" s="32"/>
      <c r="G828" s="65"/>
      <c r="H828" s="67"/>
      <c r="I828" s="67"/>
      <c r="J828" s="4"/>
      <c r="K828" s="74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</row>
    <row r="829" ht="15.75" customHeight="1">
      <c r="A829" s="32"/>
      <c r="B829" s="65"/>
      <c r="C829" s="65"/>
      <c r="D829" s="32"/>
      <c r="E829" s="32"/>
      <c r="F829" s="32"/>
      <c r="G829" s="65"/>
      <c r="H829" s="67"/>
      <c r="I829" s="67"/>
      <c r="J829" s="4"/>
      <c r="K829" s="74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</row>
    <row r="830" ht="15.75" customHeight="1">
      <c r="A830" s="32"/>
      <c r="B830" s="65"/>
      <c r="C830" s="65"/>
      <c r="D830" s="32"/>
      <c r="E830" s="32"/>
      <c r="F830" s="32"/>
      <c r="G830" s="65"/>
      <c r="H830" s="67"/>
      <c r="I830" s="67"/>
      <c r="J830" s="4"/>
      <c r="K830" s="74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</row>
    <row r="831" ht="15.75" customHeight="1">
      <c r="A831" s="32"/>
      <c r="B831" s="65"/>
      <c r="C831" s="65"/>
      <c r="D831" s="32"/>
      <c r="E831" s="32"/>
      <c r="F831" s="32"/>
      <c r="G831" s="65"/>
      <c r="H831" s="67"/>
      <c r="I831" s="67"/>
      <c r="J831" s="4"/>
      <c r="K831" s="74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</row>
    <row r="832" ht="15.75" customHeight="1">
      <c r="A832" s="32"/>
      <c r="B832" s="65"/>
      <c r="C832" s="65"/>
      <c r="D832" s="32"/>
      <c r="E832" s="32"/>
      <c r="F832" s="32"/>
      <c r="G832" s="65"/>
      <c r="H832" s="67"/>
      <c r="I832" s="67"/>
      <c r="J832" s="4"/>
      <c r="K832" s="74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</row>
    <row r="833" ht="15.75" customHeight="1">
      <c r="A833" s="32"/>
      <c r="B833" s="65"/>
      <c r="C833" s="65"/>
      <c r="D833" s="32"/>
      <c r="E833" s="32"/>
      <c r="F833" s="32"/>
      <c r="G833" s="65"/>
      <c r="H833" s="67"/>
      <c r="I833" s="67"/>
      <c r="J833" s="4"/>
      <c r="K833" s="74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</row>
    <row r="834" ht="15.75" customHeight="1">
      <c r="A834" s="32"/>
      <c r="B834" s="65"/>
      <c r="C834" s="65"/>
      <c r="D834" s="32"/>
      <c r="E834" s="32"/>
      <c r="F834" s="32"/>
      <c r="G834" s="65"/>
      <c r="H834" s="67"/>
      <c r="I834" s="67"/>
      <c r="J834" s="4"/>
      <c r="K834" s="74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</row>
    <row r="835" ht="15.75" customHeight="1">
      <c r="A835" s="32"/>
      <c r="B835" s="65"/>
      <c r="C835" s="65"/>
      <c r="D835" s="32"/>
      <c r="E835" s="32"/>
      <c r="F835" s="32"/>
      <c r="G835" s="65"/>
      <c r="H835" s="67"/>
      <c r="I835" s="67"/>
      <c r="J835" s="4"/>
      <c r="K835" s="74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</row>
    <row r="836" ht="15.75" customHeight="1">
      <c r="A836" s="32"/>
      <c r="B836" s="65"/>
      <c r="C836" s="65"/>
      <c r="D836" s="32"/>
      <c r="E836" s="32"/>
      <c r="F836" s="32"/>
      <c r="G836" s="65"/>
      <c r="H836" s="67"/>
      <c r="I836" s="67"/>
      <c r="J836" s="4"/>
      <c r="K836" s="74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</row>
    <row r="837" ht="15.75" customHeight="1">
      <c r="A837" s="32"/>
      <c r="B837" s="65"/>
      <c r="C837" s="65"/>
      <c r="D837" s="32"/>
      <c r="E837" s="32"/>
      <c r="F837" s="32"/>
      <c r="G837" s="65"/>
      <c r="H837" s="67"/>
      <c r="I837" s="67"/>
      <c r="J837" s="4"/>
      <c r="K837" s="74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</row>
    <row r="838" ht="15.75" customHeight="1">
      <c r="A838" s="32"/>
      <c r="B838" s="65"/>
      <c r="C838" s="65"/>
      <c r="D838" s="32"/>
      <c r="E838" s="32"/>
      <c r="F838" s="32"/>
      <c r="G838" s="65"/>
      <c r="H838" s="67"/>
      <c r="I838" s="67"/>
      <c r="J838" s="4"/>
      <c r="K838" s="74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</row>
    <row r="839" ht="15.75" customHeight="1">
      <c r="A839" s="32"/>
      <c r="B839" s="65"/>
      <c r="C839" s="65"/>
      <c r="D839" s="32"/>
      <c r="E839" s="32"/>
      <c r="F839" s="32"/>
      <c r="G839" s="65"/>
      <c r="H839" s="67"/>
      <c r="I839" s="67"/>
      <c r="J839" s="4"/>
      <c r="K839" s="74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</row>
    <row r="840" ht="15.75" customHeight="1">
      <c r="A840" s="32"/>
      <c r="B840" s="65"/>
      <c r="C840" s="65"/>
      <c r="D840" s="32"/>
      <c r="E840" s="32"/>
      <c r="F840" s="32"/>
      <c r="G840" s="65"/>
      <c r="H840" s="67"/>
      <c r="I840" s="67"/>
      <c r="J840" s="4"/>
      <c r="K840" s="74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</row>
    <row r="841" ht="15.75" customHeight="1">
      <c r="A841" s="32"/>
      <c r="B841" s="65"/>
      <c r="C841" s="65"/>
      <c r="D841" s="32"/>
      <c r="E841" s="32"/>
      <c r="F841" s="32"/>
      <c r="G841" s="65"/>
      <c r="H841" s="67"/>
      <c r="I841" s="67"/>
      <c r="J841" s="4"/>
      <c r="K841" s="74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</row>
    <row r="842" ht="15.75" customHeight="1">
      <c r="A842" s="32"/>
      <c r="B842" s="65"/>
      <c r="C842" s="65"/>
      <c r="D842" s="32"/>
      <c r="E842" s="32"/>
      <c r="F842" s="32"/>
      <c r="G842" s="65"/>
      <c r="H842" s="67"/>
      <c r="I842" s="67"/>
      <c r="J842" s="4"/>
      <c r="K842" s="74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</row>
    <row r="843" ht="15.75" customHeight="1">
      <c r="A843" s="32"/>
      <c r="B843" s="65"/>
      <c r="C843" s="65"/>
      <c r="D843" s="32"/>
      <c r="E843" s="32"/>
      <c r="F843" s="32"/>
      <c r="G843" s="65"/>
      <c r="H843" s="67"/>
      <c r="I843" s="67"/>
      <c r="J843" s="4"/>
      <c r="K843" s="74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</row>
    <row r="844" ht="15.75" customHeight="1">
      <c r="A844" s="32"/>
      <c r="B844" s="65"/>
      <c r="C844" s="65"/>
      <c r="D844" s="32"/>
      <c r="E844" s="32"/>
      <c r="F844" s="32"/>
      <c r="G844" s="65"/>
      <c r="H844" s="67"/>
      <c r="I844" s="67"/>
      <c r="J844" s="4"/>
      <c r="K844" s="74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</row>
    <row r="845" ht="15.75" customHeight="1">
      <c r="A845" s="32"/>
      <c r="B845" s="65"/>
      <c r="C845" s="65"/>
      <c r="D845" s="32"/>
      <c r="E845" s="32"/>
      <c r="F845" s="32"/>
      <c r="G845" s="65"/>
      <c r="H845" s="67"/>
      <c r="I845" s="67"/>
      <c r="J845" s="4"/>
      <c r="K845" s="74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</row>
    <row r="846" ht="15.75" customHeight="1">
      <c r="A846" s="32"/>
      <c r="B846" s="65"/>
      <c r="C846" s="65"/>
      <c r="D846" s="32"/>
      <c r="E846" s="32"/>
      <c r="F846" s="32"/>
      <c r="G846" s="65"/>
      <c r="H846" s="67"/>
      <c r="I846" s="67"/>
      <c r="J846" s="4"/>
      <c r="K846" s="74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</row>
    <row r="847" ht="15.75" customHeight="1">
      <c r="A847" s="32"/>
      <c r="B847" s="65"/>
      <c r="C847" s="65"/>
      <c r="D847" s="32"/>
      <c r="E847" s="32"/>
      <c r="F847" s="32"/>
      <c r="G847" s="65"/>
      <c r="H847" s="67"/>
      <c r="I847" s="67"/>
      <c r="J847" s="4"/>
      <c r="K847" s="74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</row>
    <row r="848" ht="15.75" customHeight="1">
      <c r="A848" s="32"/>
      <c r="B848" s="65"/>
      <c r="C848" s="65"/>
      <c r="D848" s="32"/>
      <c r="E848" s="32"/>
      <c r="F848" s="32"/>
      <c r="G848" s="65"/>
      <c r="H848" s="67"/>
      <c r="I848" s="67"/>
      <c r="J848" s="4"/>
      <c r="K848" s="74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</row>
    <row r="849" ht="15.75" customHeight="1">
      <c r="A849" s="32"/>
      <c r="B849" s="65"/>
      <c r="C849" s="65"/>
      <c r="D849" s="32"/>
      <c r="E849" s="32"/>
      <c r="F849" s="32"/>
      <c r="G849" s="65"/>
      <c r="H849" s="67"/>
      <c r="I849" s="67"/>
      <c r="J849" s="4"/>
      <c r="K849" s="74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</row>
    <row r="850" ht="15.75" customHeight="1">
      <c r="A850" s="32"/>
      <c r="B850" s="65"/>
      <c r="C850" s="65"/>
      <c r="D850" s="32"/>
      <c r="E850" s="32"/>
      <c r="F850" s="32"/>
      <c r="G850" s="65"/>
      <c r="H850" s="67"/>
      <c r="I850" s="67"/>
      <c r="J850" s="4"/>
      <c r="K850" s="74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</row>
    <row r="851" ht="15.75" customHeight="1">
      <c r="A851" s="32"/>
      <c r="B851" s="65"/>
      <c r="C851" s="65"/>
      <c r="D851" s="32"/>
      <c r="E851" s="32"/>
      <c r="F851" s="32"/>
      <c r="G851" s="65"/>
      <c r="H851" s="67"/>
      <c r="I851" s="67"/>
      <c r="J851" s="4"/>
      <c r="K851" s="74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</row>
    <row r="852" ht="15.75" customHeight="1">
      <c r="A852" s="32"/>
      <c r="B852" s="65"/>
      <c r="C852" s="65"/>
      <c r="D852" s="32"/>
      <c r="E852" s="32"/>
      <c r="F852" s="32"/>
      <c r="G852" s="65"/>
      <c r="H852" s="67"/>
      <c r="I852" s="67"/>
      <c r="J852" s="4"/>
      <c r="K852" s="74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</row>
    <row r="853" ht="15.75" customHeight="1">
      <c r="A853" s="32"/>
      <c r="B853" s="65"/>
      <c r="C853" s="65"/>
      <c r="D853" s="32"/>
      <c r="E853" s="32"/>
      <c r="F853" s="32"/>
      <c r="G853" s="65"/>
      <c r="H853" s="67"/>
      <c r="I853" s="67"/>
      <c r="J853" s="4"/>
      <c r="K853" s="74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</row>
    <row r="854" ht="15.75" customHeight="1">
      <c r="A854" s="32"/>
      <c r="B854" s="65"/>
      <c r="C854" s="65"/>
      <c r="D854" s="32"/>
      <c r="E854" s="32"/>
      <c r="F854" s="32"/>
      <c r="G854" s="65"/>
      <c r="H854" s="67"/>
      <c r="I854" s="67"/>
      <c r="J854" s="4"/>
      <c r="K854" s="74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</row>
    <row r="855" ht="15.75" customHeight="1">
      <c r="A855" s="32"/>
      <c r="B855" s="65"/>
      <c r="C855" s="65"/>
      <c r="D855" s="32"/>
      <c r="E855" s="32"/>
      <c r="F855" s="32"/>
      <c r="G855" s="65"/>
      <c r="H855" s="67"/>
      <c r="I855" s="67"/>
      <c r="J855" s="4"/>
      <c r="K855" s="74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</row>
    <row r="856" ht="15.75" customHeight="1">
      <c r="A856" s="32"/>
      <c r="B856" s="65"/>
      <c r="C856" s="65"/>
      <c r="D856" s="32"/>
      <c r="E856" s="32"/>
      <c r="F856" s="32"/>
      <c r="G856" s="65"/>
      <c r="H856" s="67"/>
      <c r="I856" s="67"/>
      <c r="J856" s="4"/>
      <c r="K856" s="74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</row>
    <row r="857" ht="15.75" customHeight="1">
      <c r="A857" s="32"/>
      <c r="B857" s="65"/>
      <c r="C857" s="65"/>
      <c r="D857" s="32"/>
      <c r="E857" s="32"/>
      <c r="F857" s="32"/>
      <c r="G857" s="65"/>
      <c r="H857" s="67"/>
      <c r="I857" s="67"/>
      <c r="J857" s="4"/>
      <c r="K857" s="74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</row>
    <row r="858" ht="15.75" customHeight="1">
      <c r="A858" s="32"/>
      <c r="B858" s="65"/>
      <c r="C858" s="65"/>
      <c r="D858" s="32"/>
      <c r="E858" s="32"/>
      <c r="F858" s="32"/>
      <c r="G858" s="65"/>
      <c r="H858" s="67"/>
      <c r="I858" s="67"/>
      <c r="J858" s="4"/>
      <c r="K858" s="74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</row>
    <row r="859" ht="15.75" customHeight="1">
      <c r="A859" s="32"/>
      <c r="B859" s="65"/>
      <c r="C859" s="65"/>
      <c r="D859" s="32"/>
      <c r="E859" s="32"/>
      <c r="F859" s="32"/>
      <c r="G859" s="65"/>
      <c r="H859" s="67"/>
      <c r="I859" s="67"/>
      <c r="J859" s="4"/>
      <c r="K859" s="74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</row>
    <row r="860" ht="15.75" customHeight="1">
      <c r="A860" s="32"/>
      <c r="B860" s="65"/>
      <c r="C860" s="65"/>
      <c r="D860" s="32"/>
      <c r="E860" s="32"/>
      <c r="F860" s="32"/>
      <c r="G860" s="65"/>
      <c r="H860" s="67"/>
      <c r="I860" s="67"/>
      <c r="J860" s="4"/>
      <c r="K860" s="74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</row>
    <row r="861" ht="15.75" customHeight="1">
      <c r="A861" s="32"/>
      <c r="B861" s="65"/>
      <c r="C861" s="65"/>
      <c r="D861" s="32"/>
      <c r="E861" s="32"/>
      <c r="F861" s="32"/>
      <c r="G861" s="65"/>
      <c r="H861" s="67"/>
      <c r="I861" s="67"/>
      <c r="J861" s="4"/>
      <c r="K861" s="74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</row>
    <row r="862" ht="15.75" customHeight="1">
      <c r="A862" s="32"/>
      <c r="B862" s="65"/>
      <c r="C862" s="65"/>
      <c r="D862" s="32"/>
      <c r="E862" s="32"/>
      <c r="F862" s="32"/>
      <c r="G862" s="65"/>
      <c r="H862" s="67"/>
      <c r="I862" s="67"/>
      <c r="J862" s="4"/>
      <c r="K862" s="74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</row>
    <row r="863" ht="15.75" customHeight="1">
      <c r="A863" s="32"/>
      <c r="B863" s="65"/>
      <c r="C863" s="65"/>
      <c r="D863" s="32"/>
      <c r="E863" s="32"/>
      <c r="F863" s="32"/>
      <c r="G863" s="65"/>
      <c r="H863" s="67"/>
      <c r="I863" s="67"/>
      <c r="J863" s="4"/>
      <c r="K863" s="74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</row>
    <row r="864" ht="15.75" customHeight="1">
      <c r="A864" s="32"/>
      <c r="B864" s="65"/>
      <c r="C864" s="65"/>
      <c r="D864" s="32"/>
      <c r="E864" s="32"/>
      <c r="F864" s="32"/>
      <c r="G864" s="65"/>
      <c r="H864" s="67"/>
      <c r="I864" s="67"/>
      <c r="J864" s="4"/>
      <c r="K864" s="74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</row>
    <row r="865" ht="15.75" customHeight="1">
      <c r="A865" s="32"/>
      <c r="B865" s="65"/>
      <c r="C865" s="65"/>
      <c r="D865" s="32"/>
      <c r="E865" s="32"/>
      <c r="F865" s="32"/>
      <c r="G865" s="65"/>
      <c r="H865" s="67"/>
      <c r="I865" s="67"/>
      <c r="J865" s="4"/>
      <c r="K865" s="74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</row>
    <row r="866" ht="15.75" customHeight="1">
      <c r="A866" s="32"/>
      <c r="B866" s="65"/>
      <c r="C866" s="65"/>
      <c r="D866" s="32"/>
      <c r="E866" s="32"/>
      <c r="F866" s="32"/>
      <c r="G866" s="65"/>
      <c r="H866" s="67"/>
      <c r="I866" s="67"/>
      <c r="J866" s="4"/>
      <c r="K866" s="74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</row>
    <row r="867" ht="15.75" customHeight="1">
      <c r="A867" s="32"/>
      <c r="B867" s="65"/>
      <c r="C867" s="65"/>
      <c r="D867" s="32"/>
      <c r="E867" s="32"/>
      <c r="F867" s="32"/>
      <c r="G867" s="65"/>
      <c r="H867" s="67"/>
      <c r="I867" s="67"/>
      <c r="J867" s="4"/>
      <c r="K867" s="74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</row>
    <row r="868" ht="15.75" customHeight="1">
      <c r="A868" s="32"/>
      <c r="B868" s="65"/>
      <c r="C868" s="65"/>
      <c r="D868" s="32"/>
      <c r="E868" s="32"/>
      <c r="F868" s="32"/>
      <c r="G868" s="65"/>
      <c r="H868" s="67"/>
      <c r="I868" s="67"/>
      <c r="J868" s="4"/>
      <c r="K868" s="74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</row>
    <row r="869" ht="15.75" customHeight="1">
      <c r="A869" s="32"/>
      <c r="B869" s="65"/>
      <c r="C869" s="65"/>
      <c r="D869" s="32"/>
      <c r="E869" s="32"/>
      <c r="F869" s="32"/>
      <c r="G869" s="65"/>
      <c r="H869" s="67"/>
      <c r="I869" s="67"/>
      <c r="J869" s="4"/>
      <c r="K869" s="74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</row>
    <row r="870" ht="15.75" customHeight="1">
      <c r="A870" s="32"/>
      <c r="B870" s="65"/>
      <c r="C870" s="65"/>
      <c r="D870" s="32"/>
      <c r="E870" s="32"/>
      <c r="F870" s="32"/>
      <c r="G870" s="65"/>
      <c r="H870" s="67"/>
      <c r="I870" s="67"/>
      <c r="J870" s="4"/>
      <c r="K870" s="74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</row>
    <row r="871" ht="15.75" customHeight="1">
      <c r="A871" s="32"/>
      <c r="B871" s="65"/>
      <c r="C871" s="65"/>
      <c r="D871" s="32"/>
      <c r="E871" s="32"/>
      <c r="F871" s="32"/>
      <c r="G871" s="65"/>
      <c r="H871" s="67"/>
      <c r="I871" s="67"/>
      <c r="J871" s="4"/>
      <c r="K871" s="74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</row>
    <row r="872" ht="15.75" customHeight="1">
      <c r="A872" s="32"/>
      <c r="B872" s="65"/>
      <c r="C872" s="65"/>
      <c r="D872" s="32"/>
      <c r="E872" s="32"/>
      <c r="F872" s="32"/>
      <c r="G872" s="65"/>
      <c r="H872" s="67"/>
      <c r="I872" s="67"/>
      <c r="J872" s="4"/>
      <c r="K872" s="74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</row>
    <row r="873" ht="15.75" customHeight="1">
      <c r="A873" s="32"/>
      <c r="B873" s="65"/>
      <c r="C873" s="65"/>
      <c r="D873" s="32"/>
      <c r="E873" s="32"/>
      <c r="F873" s="32"/>
      <c r="G873" s="65"/>
      <c r="H873" s="67"/>
      <c r="I873" s="67"/>
      <c r="J873" s="4"/>
      <c r="K873" s="74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</row>
    <row r="874" ht="15.75" customHeight="1">
      <c r="A874" s="32"/>
      <c r="B874" s="65"/>
      <c r="C874" s="65"/>
      <c r="D874" s="32"/>
      <c r="E874" s="32"/>
      <c r="F874" s="32"/>
      <c r="G874" s="65"/>
      <c r="H874" s="67"/>
      <c r="I874" s="67"/>
      <c r="J874" s="4"/>
      <c r="K874" s="74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</row>
    <row r="875" ht="15.75" customHeight="1">
      <c r="A875" s="32"/>
      <c r="B875" s="65"/>
      <c r="C875" s="65"/>
      <c r="D875" s="32"/>
      <c r="E875" s="32"/>
      <c r="F875" s="32"/>
      <c r="G875" s="65"/>
      <c r="H875" s="67"/>
      <c r="I875" s="67"/>
      <c r="J875" s="4"/>
      <c r="K875" s="74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</row>
    <row r="876" ht="15.75" customHeight="1">
      <c r="A876" s="32"/>
      <c r="B876" s="65"/>
      <c r="C876" s="65"/>
      <c r="D876" s="32"/>
      <c r="E876" s="32"/>
      <c r="F876" s="32"/>
      <c r="G876" s="65"/>
      <c r="H876" s="67"/>
      <c r="I876" s="67"/>
      <c r="J876" s="4"/>
      <c r="K876" s="74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</row>
    <row r="877" ht="15.75" customHeight="1">
      <c r="A877" s="32"/>
      <c r="B877" s="65"/>
      <c r="C877" s="65"/>
      <c r="D877" s="32"/>
      <c r="E877" s="32"/>
      <c r="F877" s="32"/>
      <c r="G877" s="65"/>
      <c r="H877" s="67"/>
      <c r="I877" s="67"/>
      <c r="J877" s="4"/>
      <c r="K877" s="74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</row>
    <row r="878" ht="15.75" customHeight="1">
      <c r="A878" s="32"/>
      <c r="B878" s="65"/>
      <c r="C878" s="65"/>
      <c r="D878" s="32"/>
      <c r="E878" s="32"/>
      <c r="F878" s="32"/>
      <c r="G878" s="65"/>
      <c r="H878" s="67"/>
      <c r="I878" s="67"/>
      <c r="J878" s="4"/>
      <c r="K878" s="74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</row>
    <row r="879" ht="15.75" customHeight="1">
      <c r="A879" s="32"/>
      <c r="B879" s="65"/>
      <c r="C879" s="65"/>
      <c r="D879" s="32"/>
      <c r="E879" s="32"/>
      <c r="F879" s="32"/>
      <c r="G879" s="65"/>
      <c r="H879" s="67"/>
      <c r="I879" s="67"/>
      <c r="J879" s="4"/>
      <c r="K879" s="74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</row>
    <row r="880" ht="15.75" customHeight="1">
      <c r="A880" s="32"/>
      <c r="B880" s="65"/>
      <c r="C880" s="65"/>
      <c r="D880" s="32"/>
      <c r="E880" s="32"/>
      <c r="F880" s="32"/>
      <c r="G880" s="65"/>
      <c r="H880" s="67"/>
      <c r="I880" s="67"/>
      <c r="J880" s="4"/>
      <c r="K880" s="74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</row>
    <row r="881" ht="15.75" customHeight="1">
      <c r="A881" s="32"/>
      <c r="B881" s="65"/>
      <c r="C881" s="65"/>
      <c r="D881" s="32"/>
      <c r="E881" s="32"/>
      <c r="F881" s="32"/>
      <c r="G881" s="65"/>
      <c r="H881" s="67"/>
      <c r="I881" s="67"/>
      <c r="J881" s="4"/>
      <c r="K881" s="74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</row>
    <row r="882" ht="15.75" customHeight="1">
      <c r="A882" s="32"/>
      <c r="B882" s="65"/>
      <c r="C882" s="65"/>
      <c r="D882" s="32"/>
      <c r="E882" s="32"/>
      <c r="F882" s="32"/>
      <c r="G882" s="65"/>
      <c r="H882" s="67"/>
      <c r="I882" s="67"/>
      <c r="J882" s="4"/>
      <c r="K882" s="74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</row>
    <row r="883" ht="15.75" customHeight="1">
      <c r="A883" s="32"/>
      <c r="B883" s="65"/>
      <c r="C883" s="65"/>
      <c r="D883" s="32"/>
      <c r="E883" s="32"/>
      <c r="F883" s="32"/>
      <c r="G883" s="65"/>
      <c r="H883" s="67"/>
      <c r="I883" s="67"/>
      <c r="J883" s="4"/>
      <c r="K883" s="74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</row>
    <row r="884" ht="15.75" customHeight="1">
      <c r="A884" s="32"/>
      <c r="B884" s="65"/>
      <c r="C884" s="65"/>
      <c r="D884" s="32"/>
      <c r="E884" s="32"/>
      <c r="F884" s="32"/>
      <c r="G884" s="65"/>
      <c r="H884" s="67"/>
      <c r="I884" s="67"/>
      <c r="J884" s="4"/>
      <c r="K884" s="74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</row>
    <row r="885" ht="15.75" customHeight="1">
      <c r="A885" s="32"/>
      <c r="B885" s="65"/>
      <c r="C885" s="65"/>
      <c r="D885" s="32"/>
      <c r="E885" s="32"/>
      <c r="F885" s="32"/>
      <c r="G885" s="65"/>
      <c r="H885" s="67"/>
      <c r="I885" s="67"/>
      <c r="J885" s="4"/>
      <c r="K885" s="74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</row>
    <row r="886" ht="15.75" customHeight="1">
      <c r="A886" s="32"/>
      <c r="B886" s="65"/>
      <c r="C886" s="65"/>
      <c r="D886" s="32"/>
      <c r="E886" s="32"/>
      <c r="F886" s="32"/>
      <c r="G886" s="65"/>
      <c r="H886" s="67"/>
      <c r="I886" s="67"/>
      <c r="J886" s="4"/>
      <c r="K886" s="74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</row>
    <row r="887" ht="15.75" customHeight="1">
      <c r="A887" s="32"/>
      <c r="B887" s="65"/>
      <c r="C887" s="65"/>
      <c r="D887" s="32"/>
      <c r="E887" s="32"/>
      <c r="F887" s="32"/>
      <c r="G887" s="65"/>
      <c r="H887" s="67"/>
      <c r="I887" s="67"/>
      <c r="J887" s="4"/>
      <c r="K887" s="74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</row>
    <row r="888" ht="15.75" customHeight="1">
      <c r="A888" s="32"/>
      <c r="B888" s="65"/>
      <c r="C888" s="65"/>
      <c r="D888" s="32"/>
      <c r="E888" s="32"/>
      <c r="F888" s="32"/>
      <c r="G888" s="65"/>
      <c r="H888" s="67"/>
      <c r="I888" s="67"/>
      <c r="J888" s="4"/>
      <c r="K888" s="74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</row>
    <row r="889" ht="15.75" customHeight="1">
      <c r="A889" s="32"/>
      <c r="B889" s="65"/>
      <c r="C889" s="65"/>
      <c r="D889" s="32"/>
      <c r="E889" s="32"/>
      <c r="F889" s="32"/>
      <c r="G889" s="65"/>
      <c r="H889" s="67"/>
      <c r="I889" s="67"/>
      <c r="J889" s="4"/>
      <c r="K889" s="74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</row>
    <row r="890" ht="15.75" customHeight="1">
      <c r="A890" s="32"/>
      <c r="B890" s="65"/>
      <c r="C890" s="65"/>
      <c r="D890" s="32"/>
      <c r="E890" s="32"/>
      <c r="F890" s="32"/>
      <c r="G890" s="65"/>
      <c r="H890" s="67"/>
      <c r="I890" s="67"/>
      <c r="J890" s="4"/>
      <c r="K890" s="74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</row>
    <row r="891" ht="15.75" customHeight="1">
      <c r="A891" s="32"/>
      <c r="B891" s="65"/>
      <c r="C891" s="65"/>
      <c r="D891" s="32"/>
      <c r="E891" s="32"/>
      <c r="F891" s="32"/>
      <c r="G891" s="65"/>
      <c r="H891" s="67"/>
      <c r="I891" s="67"/>
      <c r="J891" s="4"/>
      <c r="K891" s="74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</row>
    <row r="892" ht="15.75" customHeight="1">
      <c r="A892" s="32"/>
      <c r="B892" s="65"/>
      <c r="C892" s="65"/>
      <c r="D892" s="32"/>
      <c r="E892" s="32"/>
      <c r="F892" s="32"/>
      <c r="G892" s="65"/>
      <c r="H892" s="67"/>
      <c r="I892" s="67"/>
      <c r="J892" s="4"/>
      <c r="K892" s="74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</row>
    <row r="893" ht="15.75" customHeight="1">
      <c r="A893" s="32"/>
      <c r="B893" s="65"/>
      <c r="C893" s="65"/>
      <c r="D893" s="32"/>
      <c r="E893" s="32"/>
      <c r="F893" s="32"/>
      <c r="G893" s="65"/>
      <c r="H893" s="67"/>
      <c r="I893" s="67"/>
      <c r="J893" s="4"/>
      <c r="K893" s="74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</row>
    <row r="894" ht="15.75" customHeight="1">
      <c r="A894" s="32"/>
      <c r="B894" s="65"/>
      <c r="C894" s="65"/>
      <c r="D894" s="32"/>
      <c r="E894" s="32"/>
      <c r="F894" s="32"/>
      <c r="G894" s="65"/>
      <c r="H894" s="67"/>
      <c r="I894" s="67"/>
      <c r="J894" s="4"/>
      <c r="K894" s="74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</row>
    <row r="895" ht="15.75" customHeight="1">
      <c r="A895" s="32"/>
      <c r="B895" s="65"/>
      <c r="C895" s="65"/>
      <c r="D895" s="32"/>
      <c r="E895" s="32"/>
      <c r="F895" s="32"/>
      <c r="G895" s="65"/>
      <c r="H895" s="67"/>
      <c r="I895" s="67"/>
      <c r="J895" s="4"/>
      <c r="K895" s="74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</row>
    <row r="896" ht="15.75" customHeight="1">
      <c r="A896" s="32"/>
      <c r="B896" s="65"/>
      <c r="C896" s="65"/>
      <c r="D896" s="32"/>
      <c r="E896" s="32"/>
      <c r="F896" s="32"/>
      <c r="G896" s="65"/>
      <c r="H896" s="67"/>
      <c r="I896" s="67"/>
      <c r="J896" s="4"/>
      <c r="K896" s="74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</row>
    <row r="897" ht="15.75" customHeight="1">
      <c r="A897" s="32"/>
      <c r="B897" s="65"/>
      <c r="C897" s="65"/>
      <c r="D897" s="32"/>
      <c r="E897" s="32"/>
      <c r="F897" s="32"/>
      <c r="G897" s="65"/>
      <c r="H897" s="67"/>
      <c r="I897" s="67"/>
      <c r="J897" s="4"/>
      <c r="K897" s="74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</row>
    <row r="898" ht="15.75" customHeight="1">
      <c r="A898" s="32"/>
      <c r="B898" s="65"/>
      <c r="C898" s="65"/>
      <c r="D898" s="32"/>
      <c r="E898" s="32"/>
      <c r="F898" s="32"/>
      <c r="G898" s="65"/>
      <c r="H898" s="67"/>
      <c r="I898" s="67"/>
      <c r="J898" s="4"/>
      <c r="K898" s="74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</row>
    <row r="899" ht="15.75" customHeight="1">
      <c r="A899" s="32"/>
      <c r="B899" s="65"/>
      <c r="C899" s="65"/>
      <c r="D899" s="32"/>
      <c r="E899" s="32"/>
      <c r="F899" s="32"/>
      <c r="G899" s="65"/>
      <c r="H899" s="67"/>
      <c r="I899" s="67"/>
      <c r="J899" s="4"/>
      <c r="K899" s="74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</row>
    <row r="900" ht="15.75" customHeight="1">
      <c r="A900" s="32"/>
      <c r="B900" s="65"/>
      <c r="C900" s="65"/>
      <c r="D900" s="32"/>
      <c r="E900" s="32"/>
      <c r="F900" s="32"/>
      <c r="G900" s="65"/>
      <c r="H900" s="67"/>
      <c r="I900" s="67"/>
      <c r="J900" s="4"/>
      <c r="K900" s="74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</row>
    <row r="901" ht="15.75" customHeight="1">
      <c r="A901" s="32"/>
      <c r="B901" s="65"/>
      <c r="C901" s="65"/>
      <c r="D901" s="32"/>
      <c r="E901" s="32"/>
      <c r="F901" s="32"/>
      <c r="G901" s="65"/>
      <c r="H901" s="67"/>
      <c r="I901" s="67"/>
      <c r="J901" s="4"/>
      <c r="K901" s="74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</row>
    <row r="902" ht="15.75" customHeight="1">
      <c r="A902" s="32"/>
      <c r="B902" s="65"/>
      <c r="C902" s="65"/>
      <c r="D902" s="32"/>
      <c r="E902" s="32"/>
      <c r="F902" s="32"/>
      <c r="G902" s="65"/>
      <c r="H902" s="67"/>
      <c r="I902" s="67"/>
      <c r="J902" s="4"/>
      <c r="K902" s="74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</row>
    <row r="903" ht="15.75" customHeight="1">
      <c r="A903" s="32"/>
      <c r="B903" s="65"/>
      <c r="C903" s="65"/>
      <c r="D903" s="32"/>
      <c r="E903" s="32"/>
      <c r="F903" s="32"/>
      <c r="G903" s="65"/>
      <c r="H903" s="67"/>
      <c r="I903" s="67"/>
      <c r="J903" s="4"/>
      <c r="K903" s="74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</row>
    <row r="904" ht="15.75" customHeight="1">
      <c r="A904" s="32"/>
      <c r="B904" s="65"/>
      <c r="C904" s="65"/>
      <c r="D904" s="32"/>
      <c r="E904" s="32"/>
      <c r="F904" s="32"/>
      <c r="G904" s="65"/>
      <c r="H904" s="67"/>
      <c r="I904" s="67"/>
      <c r="J904" s="4"/>
      <c r="K904" s="74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</row>
    <row r="905" ht="15.75" customHeight="1">
      <c r="A905" s="32"/>
      <c r="B905" s="65"/>
      <c r="C905" s="65"/>
      <c r="D905" s="32"/>
      <c r="E905" s="32"/>
      <c r="F905" s="32"/>
      <c r="G905" s="65"/>
      <c r="H905" s="67"/>
      <c r="I905" s="67"/>
      <c r="J905" s="4"/>
      <c r="K905" s="74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</row>
    <row r="906" ht="15.75" customHeight="1">
      <c r="A906" s="32"/>
      <c r="B906" s="65"/>
      <c r="C906" s="65"/>
      <c r="D906" s="32"/>
      <c r="E906" s="32"/>
      <c r="F906" s="32"/>
      <c r="G906" s="65"/>
      <c r="H906" s="67"/>
      <c r="I906" s="67"/>
      <c r="J906" s="4"/>
      <c r="K906" s="74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</row>
    <row r="907" ht="15.75" customHeight="1">
      <c r="A907" s="32"/>
      <c r="B907" s="65"/>
      <c r="C907" s="65"/>
      <c r="D907" s="32"/>
      <c r="E907" s="32"/>
      <c r="F907" s="32"/>
      <c r="G907" s="65"/>
      <c r="H907" s="67"/>
      <c r="I907" s="67"/>
      <c r="J907" s="4"/>
      <c r="K907" s="74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</row>
    <row r="908" ht="15.75" customHeight="1">
      <c r="A908" s="32"/>
      <c r="B908" s="65"/>
      <c r="C908" s="65"/>
      <c r="D908" s="32"/>
      <c r="E908" s="32"/>
      <c r="F908" s="32"/>
      <c r="G908" s="65"/>
      <c r="H908" s="67"/>
      <c r="I908" s="67"/>
      <c r="J908" s="4"/>
      <c r="K908" s="74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</row>
    <row r="909" ht="15.75" customHeight="1">
      <c r="A909" s="32"/>
      <c r="B909" s="65"/>
      <c r="C909" s="65"/>
      <c r="D909" s="32"/>
      <c r="E909" s="32"/>
      <c r="F909" s="32"/>
      <c r="G909" s="65"/>
      <c r="H909" s="67"/>
      <c r="I909" s="67"/>
      <c r="J909" s="4"/>
      <c r="K909" s="74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</row>
    <row r="910" ht="15.75" customHeight="1">
      <c r="A910" s="32"/>
      <c r="B910" s="65"/>
      <c r="C910" s="65"/>
      <c r="D910" s="32"/>
      <c r="E910" s="32"/>
      <c r="F910" s="32"/>
      <c r="G910" s="65"/>
      <c r="H910" s="67"/>
      <c r="I910" s="67"/>
      <c r="J910" s="4"/>
      <c r="K910" s="74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</row>
    <row r="911" ht="15.75" customHeight="1">
      <c r="A911" s="32"/>
      <c r="B911" s="65"/>
      <c r="C911" s="65"/>
      <c r="D911" s="32"/>
      <c r="E911" s="32"/>
      <c r="F911" s="32"/>
      <c r="G911" s="65"/>
      <c r="H911" s="67"/>
      <c r="I911" s="67"/>
      <c r="J911" s="4"/>
      <c r="K911" s="74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</row>
    <row r="912" ht="15.75" customHeight="1">
      <c r="A912" s="32"/>
      <c r="B912" s="65"/>
      <c r="C912" s="65"/>
      <c r="D912" s="32"/>
      <c r="E912" s="32"/>
      <c r="F912" s="32"/>
      <c r="G912" s="65"/>
      <c r="H912" s="67"/>
      <c r="I912" s="67"/>
      <c r="J912" s="4"/>
      <c r="K912" s="74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</row>
    <row r="913" ht="15.75" customHeight="1">
      <c r="A913" s="32"/>
      <c r="B913" s="65"/>
      <c r="C913" s="65"/>
      <c r="D913" s="32"/>
      <c r="E913" s="32"/>
      <c r="F913" s="32"/>
      <c r="G913" s="65"/>
      <c r="H913" s="67"/>
      <c r="I913" s="67"/>
      <c r="J913" s="4"/>
      <c r="K913" s="74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</row>
    <row r="914" ht="15.75" customHeight="1">
      <c r="A914" s="32"/>
      <c r="B914" s="65"/>
      <c r="C914" s="65"/>
      <c r="D914" s="32"/>
      <c r="E914" s="32"/>
      <c r="F914" s="32"/>
      <c r="G914" s="65"/>
      <c r="H914" s="67"/>
      <c r="I914" s="67"/>
      <c r="J914" s="4"/>
      <c r="K914" s="74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</row>
    <row r="915" ht="15.75" customHeight="1">
      <c r="A915" s="32"/>
      <c r="B915" s="65"/>
      <c r="C915" s="65"/>
      <c r="D915" s="32"/>
      <c r="E915" s="32"/>
      <c r="F915" s="32"/>
      <c r="G915" s="65"/>
      <c r="H915" s="67"/>
      <c r="I915" s="67"/>
      <c r="J915" s="4"/>
      <c r="K915" s="74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</row>
    <row r="916" ht="15.75" customHeight="1">
      <c r="A916" s="32"/>
      <c r="B916" s="65"/>
      <c r="C916" s="65"/>
      <c r="D916" s="32"/>
      <c r="E916" s="32"/>
      <c r="F916" s="32"/>
      <c r="G916" s="65"/>
      <c r="H916" s="67"/>
      <c r="I916" s="67"/>
      <c r="J916" s="4"/>
      <c r="K916" s="74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</row>
    <row r="917" ht="15.75" customHeight="1">
      <c r="A917" s="32"/>
      <c r="B917" s="65"/>
      <c r="C917" s="65"/>
      <c r="D917" s="32"/>
      <c r="E917" s="32"/>
      <c r="F917" s="32"/>
      <c r="G917" s="65"/>
      <c r="H917" s="67"/>
      <c r="I917" s="67"/>
      <c r="J917" s="4"/>
      <c r="K917" s="74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</row>
    <row r="918" ht="15.75" customHeight="1">
      <c r="A918" s="32"/>
      <c r="B918" s="65"/>
      <c r="C918" s="65"/>
      <c r="D918" s="32"/>
      <c r="E918" s="32"/>
      <c r="F918" s="32"/>
      <c r="G918" s="65"/>
      <c r="H918" s="67"/>
      <c r="I918" s="67"/>
      <c r="J918" s="4"/>
      <c r="K918" s="74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</row>
    <row r="919" ht="15.75" customHeight="1">
      <c r="A919" s="32"/>
      <c r="B919" s="65"/>
      <c r="C919" s="65"/>
      <c r="D919" s="32"/>
      <c r="E919" s="32"/>
      <c r="F919" s="32"/>
      <c r="G919" s="65"/>
      <c r="H919" s="67"/>
      <c r="I919" s="67"/>
      <c r="J919" s="4"/>
      <c r="K919" s="74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</row>
    <row r="920" ht="15.75" customHeight="1">
      <c r="A920" s="32"/>
      <c r="B920" s="65"/>
      <c r="C920" s="65"/>
      <c r="D920" s="32"/>
      <c r="E920" s="32"/>
      <c r="F920" s="32"/>
      <c r="G920" s="65"/>
      <c r="H920" s="67"/>
      <c r="I920" s="67"/>
      <c r="J920" s="4"/>
      <c r="K920" s="74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</row>
    <row r="921" ht="15.75" customHeight="1">
      <c r="A921" s="32"/>
      <c r="B921" s="65"/>
      <c r="C921" s="65"/>
      <c r="D921" s="32"/>
      <c r="E921" s="32"/>
      <c r="F921" s="32"/>
      <c r="G921" s="65"/>
      <c r="H921" s="67"/>
      <c r="I921" s="67"/>
      <c r="J921" s="4"/>
      <c r="K921" s="74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</row>
    <row r="922" ht="15.75" customHeight="1">
      <c r="A922" s="32"/>
      <c r="B922" s="65"/>
      <c r="C922" s="65"/>
      <c r="D922" s="32"/>
      <c r="E922" s="32"/>
      <c r="F922" s="32"/>
      <c r="G922" s="65"/>
      <c r="H922" s="67"/>
      <c r="I922" s="67"/>
      <c r="J922" s="4"/>
      <c r="K922" s="74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</row>
    <row r="923" ht="15.75" customHeight="1">
      <c r="A923" s="32"/>
      <c r="B923" s="65"/>
      <c r="C923" s="65"/>
      <c r="D923" s="32"/>
      <c r="E923" s="32"/>
      <c r="F923" s="32"/>
      <c r="G923" s="65"/>
      <c r="H923" s="67"/>
      <c r="I923" s="67"/>
      <c r="J923" s="4"/>
      <c r="K923" s="74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</row>
    <row r="924" ht="15.75" customHeight="1">
      <c r="A924" s="32"/>
      <c r="B924" s="65"/>
      <c r="C924" s="65"/>
      <c r="D924" s="32"/>
      <c r="E924" s="32"/>
      <c r="F924" s="32"/>
      <c r="G924" s="65"/>
      <c r="H924" s="67"/>
      <c r="I924" s="67"/>
      <c r="J924" s="4"/>
      <c r="K924" s="74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</row>
    <row r="925" ht="15.75" customHeight="1">
      <c r="A925" s="32"/>
      <c r="B925" s="65"/>
      <c r="C925" s="65"/>
      <c r="D925" s="32"/>
      <c r="E925" s="32"/>
      <c r="F925" s="32"/>
      <c r="G925" s="65"/>
      <c r="H925" s="67"/>
      <c r="I925" s="67"/>
      <c r="J925" s="4"/>
      <c r="K925" s="74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</row>
    <row r="926" ht="15.75" customHeight="1">
      <c r="A926" s="32"/>
      <c r="B926" s="65"/>
      <c r="C926" s="65"/>
      <c r="D926" s="32"/>
      <c r="E926" s="32"/>
      <c r="F926" s="32"/>
      <c r="G926" s="65"/>
      <c r="H926" s="67"/>
      <c r="I926" s="67"/>
      <c r="J926" s="4"/>
      <c r="K926" s="74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</row>
    <row r="927" ht="15.75" customHeight="1">
      <c r="A927" s="32"/>
      <c r="B927" s="65"/>
      <c r="C927" s="65"/>
      <c r="D927" s="32"/>
      <c r="E927" s="32"/>
      <c r="F927" s="32"/>
      <c r="G927" s="65"/>
      <c r="H927" s="67"/>
      <c r="I927" s="67"/>
      <c r="J927" s="4"/>
      <c r="K927" s="74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</row>
    <row r="928" ht="15.75" customHeight="1">
      <c r="A928" s="32"/>
      <c r="B928" s="65"/>
      <c r="C928" s="65"/>
      <c r="D928" s="32"/>
      <c r="E928" s="32"/>
      <c r="F928" s="32"/>
      <c r="G928" s="65"/>
      <c r="H928" s="67"/>
      <c r="I928" s="67"/>
      <c r="J928" s="4"/>
      <c r="K928" s="74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</row>
    <row r="929" ht="15.75" customHeight="1">
      <c r="A929" s="32"/>
      <c r="B929" s="65"/>
      <c r="C929" s="65"/>
      <c r="D929" s="32"/>
      <c r="E929" s="32"/>
      <c r="F929" s="32"/>
      <c r="G929" s="65"/>
      <c r="H929" s="67"/>
      <c r="I929" s="67"/>
      <c r="J929" s="4"/>
      <c r="K929" s="74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</row>
    <row r="930" ht="15.75" customHeight="1">
      <c r="A930" s="32"/>
      <c r="B930" s="65"/>
      <c r="C930" s="65"/>
      <c r="D930" s="32"/>
      <c r="E930" s="32"/>
      <c r="F930" s="32"/>
      <c r="G930" s="65"/>
      <c r="H930" s="67"/>
      <c r="I930" s="67"/>
      <c r="J930" s="4"/>
      <c r="K930" s="74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</row>
    <row r="931" ht="15.75" customHeight="1">
      <c r="A931" s="32"/>
      <c r="B931" s="65"/>
      <c r="C931" s="65"/>
      <c r="D931" s="32"/>
      <c r="E931" s="32"/>
      <c r="F931" s="32"/>
      <c r="G931" s="65"/>
      <c r="H931" s="67"/>
      <c r="I931" s="67"/>
      <c r="J931" s="4"/>
      <c r="K931" s="74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</row>
    <row r="932" ht="15.75" customHeight="1">
      <c r="A932" s="32"/>
      <c r="B932" s="65"/>
      <c r="C932" s="65"/>
      <c r="D932" s="32"/>
      <c r="E932" s="32"/>
      <c r="F932" s="32"/>
      <c r="G932" s="65"/>
      <c r="H932" s="67"/>
      <c r="I932" s="67"/>
      <c r="J932" s="4"/>
      <c r="K932" s="74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</row>
    <row r="933" ht="15.75" customHeight="1">
      <c r="A933" s="32"/>
      <c r="B933" s="65"/>
      <c r="C933" s="65"/>
      <c r="D933" s="32"/>
      <c r="E933" s="32"/>
      <c r="F933" s="32"/>
      <c r="G933" s="65"/>
      <c r="H933" s="67"/>
      <c r="I933" s="67"/>
      <c r="J933" s="4"/>
      <c r="K933" s="74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</row>
    <row r="934" ht="15.75" customHeight="1">
      <c r="A934" s="32"/>
      <c r="B934" s="65"/>
      <c r="C934" s="65"/>
      <c r="D934" s="32"/>
      <c r="E934" s="32"/>
      <c r="F934" s="32"/>
      <c r="G934" s="65"/>
      <c r="H934" s="67"/>
      <c r="I934" s="67"/>
      <c r="J934" s="4"/>
      <c r="K934" s="74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</row>
    <row r="935" ht="15.75" customHeight="1">
      <c r="A935" s="32"/>
      <c r="B935" s="65"/>
      <c r="C935" s="65"/>
      <c r="D935" s="32"/>
      <c r="E935" s="32"/>
      <c r="F935" s="32"/>
      <c r="G935" s="65"/>
      <c r="H935" s="67"/>
      <c r="I935" s="67"/>
      <c r="J935" s="4"/>
      <c r="K935" s="74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</row>
    <row r="936" ht="15.75" customHeight="1">
      <c r="A936" s="32"/>
      <c r="B936" s="65"/>
      <c r="C936" s="65"/>
      <c r="D936" s="32"/>
      <c r="E936" s="32"/>
      <c r="F936" s="32"/>
      <c r="G936" s="65"/>
      <c r="H936" s="67"/>
      <c r="I936" s="67"/>
      <c r="J936" s="4"/>
      <c r="K936" s="74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</row>
    <row r="937" ht="15.75" customHeight="1">
      <c r="A937" s="32"/>
      <c r="B937" s="65"/>
      <c r="C937" s="65"/>
      <c r="D937" s="32"/>
      <c r="E937" s="32"/>
      <c r="F937" s="32"/>
      <c r="G937" s="65"/>
      <c r="H937" s="67"/>
      <c r="I937" s="67"/>
      <c r="J937" s="4"/>
      <c r="K937" s="74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</row>
    <row r="938" ht="15.75" customHeight="1">
      <c r="A938" s="32"/>
      <c r="B938" s="65"/>
      <c r="C938" s="65"/>
      <c r="D938" s="32"/>
      <c r="E938" s="32"/>
      <c r="F938" s="32"/>
      <c r="G938" s="65"/>
      <c r="H938" s="67"/>
      <c r="I938" s="67"/>
      <c r="J938" s="4"/>
      <c r="K938" s="74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</row>
    <row r="939" ht="15.75" customHeight="1">
      <c r="A939" s="32"/>
      <c r="B939" s="65"/>
      <c r="C939" s="65"/>
      <c r="D939" s="32"/>
      <c r="E939" s="32"/>
      <c r="F939" s="32"/>
      <c r="G939" s="65"/>
      <c r="H939" s="67"/>
      <c r="I939" s="67"/>
      <c r="J939" s="4"/>
      <c r="K939" s="74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</row>
    <row r="940" ht="15.75" customHeight="1">
      <c r="A940" s="32"/>
      <c r="B940" s="65"/>
      <c r="C940" s="65"/>
      <c r="D940" s="32"/>
      <c r="E940" s="32"/>
      <c r="F940" s="32"/>
      <c r="G940" s="65"/>
      <c r="H940" s="67"/>
      <c r="I940" s="67"/>
      <c r="J940" s="4"/>
      <c r="K940" s="74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</row>
    <row r="941" ht="15.75" customHeight="1">
      <c r="A941" s="32"/>
      <c r="B941" s="65"/>
      <c r="C941" s="65"/>
      <c r="D941" s="32"/>
      <c r="E941" s="32"/>
      <c r="F941" s="32"/>
      <c r="G941" s="65"/>
      <c r="H941" s="67"/>
      <c r="I941" s="67"/>
      <c r="J941" s="4"/>
      <c r="K941" s="74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</row>
    <row r="942" ht="15.75" customHeight="1">
      <c r="A942" s="32"/>
      <c r="B942" s="65"/>
      <c r="C942" s="65"/>
      <c r="D942" s="32"/>
      <c r="E942" s="32"/>
      <c r="F942" s="32"/>
      <c r="G942" s="65"/>
      <c r="H942" s="67"/>
      <c r="I942" s="67"/>
      <c r="J942" s="4"/>
      <c r="K942" s="74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</row>
    <row r="943" ht="15.75" customHeight="1">
      <c r="A943" s="32"/>
      <c r="B943" s="65"/>
      <c r="C943" s="65"/>
      <c r="D943" s="32"/>
      <c r="E943" s="32"/>
      <c r="F943" s="32"/>
      <c r="G943" s="65"/>
      <c r="H943" s="67"/>
      <c r="I943" s="67"/>
      <c r="J943" s="4"/>
      <c r="K943" s="74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</row>
    <row r="944" ht="15.75" customHeight="1">
      <c r="A944" s="32"/>
      <c r="B944" s="65"/>
      <c r="C944" s="65"/>
      <c r="D944" s="32"/>
      <c r="E944" s="32"/>
      <c r="F944" s="32"/>
      <c r="G944" s="65"/>
      <c r="H944" s="67"/>
      <c r="I944" s="67"/>
      <c r="J944" s="4"/>
      <c r="K944" s="74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</row>
    <row r="945" ht="15.75" customHeight="1">
      <c r="A945" s="32"/>
      <c r="B945" s="65"/>
      <c r="C945" s="65"/>
      <c r="D945" s="32"/>
      <c r="E945" s="32"/>
      <c r="F945" s="32"/>
      <c r="G945" s="65"/>
      <c r="H945" s="67"/>
      <c r="I945" s="67"/>
      <c r="J945" s="4"/>
      <c r="K945" s="74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</row>
    <row r="946" ht="15.75" customHeight="1">
      <c r="A946" s="32"/>
      <c r="B946" s="65"/>
      <c r="C946" s="65"/>
      <c r="D946" s="32"/>
      <c r="E946" s="32"/>
      <c r="F946" s="32"/>
      <c r="G946" s="65"/>
      <c r="H946" s="67"/>
      <c r="I946" s="67"/>
      <c r="J946" s="4"/>
      <c r="K946" s="74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</row>
    <row r="947" ht="15.75" customHeight="1">
      <c r="A947" s="32"/>
      <c r="B947" s="65"/>
      <c r="C947" s="65"/>
      <c r="D947" s="32"/>
      <c r="E947" s="32"/>
      <c r="F947" s="32"/>
      <c r="G947" s="65"/>
      <c r="H947" s="67"/>
      <c r="I947" s="67"/>
      <c r="J947" s="4"/>
      <c r="K947" s="74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</row>
    <row r="948" ht="15.75" customHeight="1">
      <c r="A948" s="32"/>
      <c r="B948" s="65"/>
      <c r="C948" s="65"/>
      <c r="D948" s="32"/>
      <c r="E948" s="32"/>
      <c r="F948" s="32"/>
      <c r="G948" s="65"/>
      <c r="H948" s="67"/>
      <c r="I948" s="67"/>
      <c r="J948" s="4"/>
      <c r="K948" s="74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</row>
    <row r="949" ht="15.75" customHeight="1">
      <c r="A949" s="32"/>
      <c r="B949" s="65"/>
      <c r="C949" s="65"/>
      <c r="D949" s="32"/>
      <c r="E949" s="32"/>
      <c r="F949" s="32"/>
      <c r="G949" s="65"/>
      <c r="H949" s="67"/>
      <c r="I949" s="67"/>
      <c r="J949" s="4"/>
      <c r="K949" s="74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</row>
    <row r="950" ht="15.75" customHeight="1">
      <c r="A950" s="32"/>
      <c r="B950" s="65"/>
      <c r="C950" s="65"/>
      <c r="D950" s="32"/>
      <c r="E950" s="32"/>
      <c r="F950" s="32"/>
      <c r="G950" s="65"/>
      <c r="H950" s="67"/>
      <c r="I950" s="67"/>
      <c r="J950" s="4"/>
      <c r="K950" s="74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</row>
    <row r="951" ht="15.75" customHeight="1">
      <c r="A951" s="32"/>
      <c r="B951" s="65"/>
      <c r="C951" s="65"/>
      <c r="D951" s="32"/>
      <c r="E951" s="32"/>
      <c r="F951" s="32"/>
      <c r="G951" s="65"/>
      <c r="H951" s="67"/>
      <c r="I951" s="67"/>
      <c r="J951" s="4"/>
      <c r="K951" s="74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</row>
    <row r="952" ht="15.75" customHeight="1">
      <c r="A952" s="32"/>
      <c r="B952" s="65"/>
      <c r="C952" s="65"/>
      <c r="D952" s="32"/>
      <c r="E952" s="32"/>
      <c r="F952" s="32"/>
      <c r="G952" s="65"/>
      <c r="H952" s="67"/>
      <c r="I952" s="67"/>
      <c r="J952" s="4"/>
      <c r="K952" s="74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</row>
    <row r="953" ht="15.75" customHeight="1">
      <c r="A953" s="32"/>
      <c r="B953" s="65"/>
      <c r="C953" s="65"/>
      <c r="D953" s="32"/>
      <c r="E953" s="32"/>
      <c r="F953" s="32"/>
      <c r="G953" s="65"/>
      <c r="H953" s="67"/>
      <c r="I953" s="67"/>
      <c r="J953" s="4"/>
      <c r="K953" s="74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</row>
    <row r="954" ht="15.75" customHeight="1">
      <c r="A954" s="32"/>
      <c r="B954" s="65"/>
      <c r="C954" s="65"/>
      <c r="D954" s="32"/>
      <c r="E954" s="32"/>
      <c r="F954" s="32"/>
      <c r="G954" s="65"/>
      <c r="H954" s="67"/>
      <c r="I954" s="67"/>
      <c r="J954" s="4"/>
      <c r="K954" s="74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</row>
    <row r="955" ht="15.75" customHeight="1">
      <c r="A955" s="32"/>
      <c r="B955" s="65"/>
      <c r="C955" s="65"/>
      <c r="D955" s="32"/>
      <c r="E955" s="32"/>
      <c r="F955" s="32"/>
      <c r="G955" s="65"/>
      <c r="H955" s="67"/>
      <c r="I955" s="67"/>
      <c r="J955" s="4"/>
      <c r="K955" s="74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</row>
    <row r="956" ht="15.75" customHeight="1">
      <c r="A956" s="32"/>
      <c r="B956" s="65"/>
      <c r="C956" s="65"/>
      <c r="D956" s="32"/>
      <c r="E956" s="32"/>
      <c r="F956" s="32"/>
      <c r="G956" s="65"/>
      <c r="H956" s="67"/>
      <c r="I956" s="67"/>
      <c r="J956" s="4"/>
      <c r="K956" s="74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</row>
    <row r="957" ht="15.75" customHeight="1">
      <c r="A957" s="32"/>
      <c r="B957" s="65"/>
      <c r="C957" s="65"/>
      <c r="D957" s="32"/>
      <c r="E957" s="32"/>
      <c r="F957" s="32"/>
      <c r="G957" s="65"/>
      <c r="H957" s="67"/>
      <c r="I957" s="67"/>
      <c r="J957" s="4"/>
      <c r="K957" s="74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</row>
    <row r="958" ht="15.75" customHeight="1">
      <c r="A958" s="32"/>
      <c r="B958" s="65"/>
      <c r="C958" s="65"/>
      <c r="D958" s="32"/>
      <c r="E958" s="32"/>
      <c r="F958" s="32"/>
      <c r="G958" s="65"/>
      <c r="H958" s="67"/>
      <c r="I958" s="67"/>
      <c r="J958" s="4"/>
      <c r="K958" s="74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</row>
    <row r="959" ht="15.75" customHeight="1">
      <c r="A959" s="32"/>
      <c r="B959" s="65"/>
      <c r="C959" s="65"/>
      <c r="D959" s="32"/>
      <c r="E959" s="32"/>
      <c r="F959" s="32"/>
      <c r="G959" s="65"/>
      <c r="H959" s="67"/>
      <c r="I959" s="67"/>
      <c r="J959" s="4"/>
      <c r="K959" s="74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</row>
    <row r="960" ht="15.75" customHeight="1">
      <c r="A960" s="32"/>
      <c r="B960" s="65"/>
      <c r="C960" s="65"/>
      <c r="D960" s="32"/>
      <c r="E960" s="32"/>
      <c r="F960" s="32"/>
      <c r="G960" s="65"/>
      <c r="H960" s="67"/>
      <c r="I960" s="67"/>
      <c r="J960" s="4"/>
      <c r="K960" s="74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</row>
    <row r="961" ht="15.75" customHeight="1">
      <c r="A961" s="32"/>
      <c r="B961" s="65"/>
      <c r="C961" s="65"/>
      <c r="D961" s="32"/>
      <c r="E961" s="32"/>
      <c r="F961" s="32"/>
      <c r="G961" s="65"/>
      <c r="H961" s="67"/>
      <c r="I961" s="67"/>
      <c r="J961" s="4"/>
      <c r="K961" s="74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</row>
    <row r="962" ht="15.75" customHeight="1">
      <c r="A962" s="32"/>
      <c r="B962" s="65"/>
      <c r="C962" s="65"/>
      <c r="D962" s="32"/>
      <c r="E962" s="32"/>
      <c r="F962" s="32"/>
      <c r="G962" s="65"/>
      <c r="H962" s="67"/>
      <c r="I962" s="67"/>
      <c r="J962" s="4"/>
      <c r="K962" s="74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</row>
    <row r="963" ht="15.75" customHeight="1">
      <c r="A963" s="32"/>
      <c r="B963" s="65"/>
      <c r="C963" s="65"/>
      <c r="D963" s="32"/>
      <c r="E963" s="32"/>
      <c r="F963" s="32"/>
      <c r="G963" s="65"/>
      <c r="H963" s="67"/>
      <c r="I963" s="67"/>
      <c r="J963" s="4"/>
      <c r="K963" s="74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</row>
    <row r="964" ht="15.75" customHeight="1">
      <c r="A964" s="32"/>
      <c r="B964" s="65"/>
      <c r="C964" s="65"/>
      <c r="D964" s="32"/>
      <c r="E964" s="32"/>
      <c r="F964" s="32"/>
      <c r="G964" s="65"/>
      <c r="H964" s="67"/>
      <c r="I964" s="67"/>
      <c r="J964" s="4"/>
      <c r="K964" s="74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</row>
    <row r="965" ht="15.75" customHeight="1">
      <c r="A965" s="32"/>
      <c r="B965" s="65"/>
      <c r="C965" s="65"/>
      <c r="D965" s="32"/>
      <c r="E965" s="32"/>
      <c r="F965" s="32"/>
      <c r="G965" s="65"/>
      <c r="H965" s="67"/>
      <c r="I965" s="67"/>
      <c r="J965" s="4"/>
      <c r="K965" s="74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</row>
    <row r="966" ht="15.75" customHeight="1">
      <c r="A966" s="32"/>
      <c r="B966" s="65"/>
      <c r="C966" s="65"/>
      <c r="D966" s="32"/>
      <c r="E966" s="32"/>
      <c r="F966" s="32"/>
      <c r="G966" s="65"/>
      <c r="H966" s="67"/>
      <c r="I966" s="67"/>
      <c r="J966" s="4"/>
      <c r="K966" s="74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</row>
    <row r="967" ht="15.75" customHeight="1">
      <c r="A967" s="32"/>
      <c r="B967" s="65"/>
      <c r="C967" s="65"/>
      <c r="D967" s="32"/>
      <c r="E967" s="32"/>
      <c r="F967" s="32"/>
      <c r="G967" s="65"/>
      <c r="H967" s="67"/>
      <c r="I967" s="67"/>
      <c r="J967" s="4"/>
      <c r="K967" s="74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</row>
    <row r="968" ht="15.75" customHeight="1">
      <c r="A968" s="32"/>
      <c r="B968" s="65"/>
      <c r="C968" s="65"/>
      <c r="D968" s="32"/>
      <c r="E968" s="32"/>
      <c r="F968" s="32"/>
      <c r="G968" s="65"/>
      <c r="H968" s="67"/>
      <c r="I968" s="67"/>
      <c r="J968" s="4"/>
      <c r="K968" s="74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</row>
    <row r="969" ht="15.75" customHeight="1">
      <c r="A969" s="32"/>
      <c r="B969" s="65"/>
      <c r="C969" s="65"/>
      <c r="D969" s="32"/>
      <c r="E969" s="32"/>
      <c r="F969" s="32"/>
      <c r="G969" s="65"/>
      <c r="H969" s="67"/>
      <c r="I969" s="67"/>
      <c r="J969" s="4"/>
      <c r="K969" s="74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</row>
    <row r="970" ht="15.75" customHeight="1">
      <c r="A970" s="32"/>
      <c r="B970" s="65"/>
      <c r="C970" s="65"/>
      <c r="D970" s="32"/>
      <c r="E970" s="32"/>
      <c r="F970" s="32"/>
      <c r="G970" s="65"/>
      <c r="H970" s="67"/>
      <c r="I970" s="67"/>
      <c r="J970" s="4"/>
      <c r="K970" s="74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</row>
    <row r="971" ht="15.75" customHeight="1">
      <c r="A971" s="32"/>
      <c r="B971" s="65"/>
      <c r="C971" s="65"/>
      <c r="D971" s="32"/>
      <c r="E971" s="32"/>
      <c r="F971" s="32"/>
      <c r="G971" s="65"/>
      <c r="H971" s="67"/>
      <c r="I971" s="67"/>
      <c r="J971" s="4"/>
      <c r="K971" s="74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</row>
    <row r="972" ht="15.75" customHeight="1">
      <c r="A972" s="32"/>
      <c r="B972" s="65"/>
      <c r="C972" s="65"/>
      <c r="D972" s="32"/>
      <c r="E972" s="32"/>
      <c r="F972" s="32"/>
      <c r="G972" s="65"/>
      <c r="H972" s="67"/>
      <c r="I972" s="67"/>
      <c r="J972" s="4"/>
      <c r="K972" s="74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</row>
    <row r="973" ht="15.75" customHeight="1">
      <c r="A973" s="32"/>
      <c r="B973" s="65"/>
      <c r="C973" s="65"/>
      <c r="D973" s="32"/>
      <c r="E973" s="32"/>
      <c r="F973" s="32"/>
      <c r="G973" s="65"/>
      <c r="H973" s="67"/>
      <c r="I973" s="67"/>
      <c r="J973" s="4"/>
      <c r="K973" s="74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</row>
    <row r="974" ht="15.75" customHeight="1">
      <c r="A974" s="32"/>
      <c r="B974" s="65"/>
      <c r="C974" s="65"/>
      <c r="D974" s="32"/>
      <c r="E974" s="32"/>
      <c r="F974" s="32"/>
      <c r="G974" s="65"/>
      <c r="H974" s="67"/>
      <c r="I974" s="67"/>
      <c r="J974" s="4"/>
      <c r="K974" s="74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</row>
    <row r="975" ht="15.75" customHeight="1">
      <c r="A975" s="32"/>
      <c r="B975" s="65"/>
      <c r="C975" s="65"/>
      <c r="D975" s="32"/>
      <c r="E975" s="32"/>
      <c r="F975" s="32"/>
      <c r="G975" s="65"/>
      <c r="H975" s="67"/>
      <c r="I975" s="67"/>
      <c r="J975" s="4"/>
      <c r="K975" s="74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</row>
    <row r="976" ht="15.75" customHeight="1">
      <c r="A976" s="32"/>
      <c r="B976" s="65"/>
      <c r="C976" s="65"/>
      <c r="D976" s="32"/>
      <c r="E976" s="32"/>
      <c r="F976" s="32"/>
      <c r="G976" s="65"/>
      <c r="H976" s="67"/>
      <c r="I976" s="67"/>
      <c r="J976" s="4"/>
      <c r="K976" s="74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</row>
    <row r="977" ht="15.75" customHeight="1">
      <c r="A977" s="32"/>
      <c r="B977" s="65"/>
      <c r="C977" s="65"/>
      <c r="D977" s="32"/>
      <c r="E977" s="32"/>
      <c r="F977" s="32"/>
      <c r="G977" s="65"/>
      <c r="H977" s="67"/>
      <c r="I977" s="67"/>
      <c r="J977" s="4"/>
      <c r="K977" s="74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</row>
    <row r="978" ht="15.75" customHeight="1">
      <c r="A978" s="32"/>
      <c r="B978" s="65"/>
      <c r="C978" s="65"/>
      <c r="D978" s="32"/>
      <c r="E978" s="32"/>
      <c r="F978" s="32"/>
      <c r="G978" s="65"/>
      <c r="H978" s="67"/>
      <c r="I978" s="67"/>
      <c r="J978" s="4"/>
      <c r="K978" s="74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</row>
    <row r="979" ht="15.75" customHeight="1">
      <c r="A979" s="32"/>
      <c r="B979" s="65"/>
      <c r="C979" s="65"/>
      <c r="D979" s="32"/>
      <c r="E979" s="32"/>
      <c r="F979" s="32"/>
      <c r="G979" s="65"/>
      <c r="H979" s="67"/>
      <c r="I979" s="67"/>
      <c r="J979" s="4"/>
      <c r="K979" s="74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</row>
    <row r="980" ht="15.75" customHeight="1">
      <c r="A980" s="32"/>
      <c r="B980" s="65"/>
      <c r="C980" s="65"/>
      <c r="D980" s="32"/>
      <c r="E980" s="32"/>
      <c r="F980" s="32"/>
      <c r="G980" s="65"/>
      <c r="H980" s="67"/>
      <c r="I980" s="67"/>
      <c r="J980" s="4"/>
      <c r="K980" s="74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</row>
    <row r="981" ht="15.75" customHeight="1">
      <c r="A981" s="32"/>
      <c r="B981" s="65"/>
      <c r="C981" s="65"/>
      <c r="D981" s="32"/>
      <c r="E981" s="32"/>
      <c r="F981" s="32"/>
      <c r="G981" s="65"/>
      <c r="H981" s="67"/>
      <c r="I981" s="67"/>
      <c r="J981" s="4"/>
      <c r="K981" s="74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</row>
    <row r="982" ht="15.75" customHeight="1">
      <c r="A982" s="32"/>
      <c r="B982" s="65"/>
      <c r="C982" s="65"/>
      <c r="D982" s="32"/>
      <c r="E982" s="32"/>
      <c r="F982" s="32"/>
      <c r="G982" s="65"/>
      <c r="H982" s="67"/>
      <c r="I982" s="67"/>
      <c r="J982" s="4"/>
      <c r="K982" s="74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</row>
    <row r="983" ht="15.75" customHeight="1">
      <c r="A983" s="32"/>
      <c r="B983" s="65"/>
      <c r="C983" s="65"/>
      <c r="D983" s="32"/>
      <c r="E983" s="32"/>
      <c r="F983" s="32"/>
      <c r="G983" s="65"/>
      <c r="H983" s="67"/>
      <c r="I983" s="67"/>
      <c r="J983" s="4"/>
      <c r="K983" s="74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</row>
    <row r="984" ht="15.75" customHeight="1">
      <c r="A984" s="32"/>
      <c r="B984" s="65"/>
      <c r="C984" s="65"/>
      <c r="D984" s="32"/>
      <c r="E984" s="32"/>
      <c r="F984" s="32"/>
      <c r="G984" s="65"/>
      <c r="H984" s="67"/>
      <c r="I984" s="67"/>
      <c r="J984" s="4"/>
      <c r="K984" s="74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</row>
    <row r="985" ht="15.75" customHeight="1">
      <c r="A985" s="32"/>
      <c r="B985" s="65"/>
      <c r="C985" s="65"/>
      <c r="D985" s="32"/>
      <c r="E985" s="32"/>
      <c r="F985" s="32"/>
      <c r="G985" s="65"/>
      <c r="H985" s="67"/>
      <c r="I985" s="67"/>
      <c r="J985" s="4"/>
      <c r="K985" s="74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</row>
    <row r="986" ht="15.75" customHeight="1">
      <c r="A986" s="32"/>
      <c r="B986" s="65"/>
      <c r="C986" s="65"/>
      <c r="D986" s="32"/>
      <c r="E986" s="32"/>
      <c r="F986" s="32"/>
      <c r="G986" s="65"/>
      <c r="H986" s="67"/>
      <c r="I986" s="67"/>
      <c r="J986" s="4"/>
      <c r="K986" s="74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</row>
    <row r="987" ht="15.75" customHeight="1">
      <c r="A987" s="32"/>
      <c r="B987" s="65"/>
      <c r="C987" s="65"/>
      <c r="D987" s="32"/>
      <c r="E987" s="32"/>
      <c r="F987" s="32"/>
      <c r="G987" s="65"/>
      <c r="H987" s="67"/>
      <c r="I987" s="67"/>
      <c r="J987" s="4"/>
      <c r="K987" s="74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</row>
    <row r="988" ht="15.75" customHeight="1">
      <c r="A988" s="32"/>
      <c r="B988" s="65"/>
      <c r="C988" s="65"/>
      <c r="D988" s="32"/>
      <c r="E988" s="32"/>
      <c r="F988" s="32"/>
      <c r="G988" s="65"/>
      <c r="H988" s="67"/>
      <c r="I988" s="67"/>
      <c r="J988" s="4"/>
      <c r="K988" s="74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</row>
    <row r="989" ht="15.75" customHeight="1">
      <c r="A989" s="32"/>
      <c r="B989" s="65"/>
      <c r="C989" s="65"/>
      <c r="D989" s="32"/>
      <c r="E989" s="32"/>
      <c r="F989" s="32"/>
      <c r="G989" s="65"/>
      <c r="H989" s="67"/>
      <c r="I989" s="67"/>
      <c r="J989" s="4"/>
      <c r="K989" s="74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</row>
  </sheetData>
  <mergeCells count="34">
    <mergeCell ref="B4:B5"/>
    <mergeCell ref="C4:C5"/>
    <mergeCell ref="K4:K7"/>
    <mergeCell ref="B6:B7"/>
    <mergeCell ref="C6:C7"/>
    <mergeCell ref="B8:B9"/>
    <mergeCell ref="C8:C9"/>
    <mergeCell ref="B10:B12"/>
    <mergeCell ref="C10:C12"/>
    <mergeCell ref="K10:K12"/>
    <mergeCell ref="B13:B15"/>
    <mergeCell ref="C13:C15"/>
    <mergeCell ref="B16:B18"/>
    <mergeCell ref="C16:C18"/>
    <mergeCell ref="B25:B26"/>
    <mergeCell ref="B27:B28"/>
    <mergeCell ref="B29:B30"/>
    <mergeCell ref="B31:B32"/>
    <mergeCell ref="B33:B34"/>
    <mergeCell ref="C27:C28"/>
    <mergeCell ref="C29:C30"/>
    <mergeCell ref="C31:C32"/>
    <mergeCell ref="C33:C34"/>
    <mergeCell ref="B45:F45"/>
    <mergeCell ref="D46:F46"/>
    <mergeCell ref="D47:F47"/>
    <mergeCell ref="D48:F48"/>
    <mergeCell ref="B19:B20"/>
    <mergeCell ref="C19:C20"/>
    <mergeCell ref="B21:B22"/>
    <mergeCell ref="C21:C22"/>
    <mergeCell ref="B23:B24"/>
    <mergeCell ref="C23:C24"/>
    <mergeCell ref="C25:C26"/>
  </mergeCells>
  <hyperlinks>
    <hyperlink r:id="rId1" ref="K4"/>
    <hyperlink r:id="rId2" ref="K8"/>
    <hyperlink r:id="rId3" ref="K9"/>
    <hyperlink r:id="rId4" ref="K10"/>
  </hyperlinks>
  <printOptions/>
  <pageMargins bottom="1.0" footer="0.0" header="0.0" left="0.75" right="0.75" top="1.0"/>
  <pageSetup orientation="landscape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6.63"/>
    <col customWidth="1" min="3" max="3" width="12.63"/>
    <col customWidth="1" hidden="1" min="4" max="4" width="25.5"/>
    <col customWidth="1" hidden="1" min="5" max="5" width="29.75"/>
    <col customWidth="1" min="6" max="6" width="56.5"/>
    <col customWidth="1" min="7" max="7" width="9.38"/>
    <col customWidth="1" min="8" max="8" width="15.75"/>
    <col customWidth="1" min="9" max="9" width="13.0"/>
    <col customWidth="1" min="10" max="10" width="13.5"/>
    <col customWidth="1" min="11" max="11" width="16.0"/>
    <col customWidth="1" min="12" max="29" width="7.63"/>
  </cols>
  <sheetData>
    <row r="1">
      <c r="A1" s="35"/>
      <c r="B1" s="33"/>
      <c r="C1" s="33"/>
      <c r="D1" s="35"/>
      <c r="E1" s="35"/>
      <c r="F1" s="40"/>
      <c r="G1" s="33"/>
      <c r="H1" s="39"/>
      <c r="I1" s="248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</row>
    <row r="2">
      <c r="A2" s="249"/>
      <c r="B2" s="140" t="s">
        <v>20</v>
      </c>
      <c r="C2" s="140" t="s">
        <v>22</v>
      </c>
      <c r="D2" s="140" t="s">
        <v>24</v>
      </c>
      <c r="E2" s="140" t="s">
        <v>26</v>
      </c>
      <c r="F2" s="142" t="s">
        <v>28</v>
      </c>
      <c r="G2" s="140" t="s">
        <v>30</v>
      </c>
      <c r="H2" s="38" t="s">
        <v>33</v>
      </c>
      <c r="I2" s="38" t="s">
        <v>36</v>
      </c>
      <c r="J2" s="142" t="s">
        <v>41</v>
      </c>
      <c r="K2" s="140" t="s">
        <v>16</v>
      </c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</row>
    <row r="3">
      <c r="A3" s="35"/>
      <c r="B3" s="250">
        <v>1.0</v>
      </c>
      <c r="C3" s="251" t="str">
        <f>IF(ISNUMBER(B3), "P07" &amp; TEXT(B3, "00"), "")</f>
        <v>P0701</v>
      </c>
      <c r="D3" s="182" t="s">
        <v>330</v>
      </c>
      <c r="E3" s="182" t="s">
        <v>331</v>
      </c>
      <c r="F3" s="147" t="s">
        <v>332</v>
      </c>
      <c r="G3" s="144" t="s">
        <v>89</v>
      </c>
      <c r="H3" s="185">
        <v>6.0</v>
      </c>
      <c r="I3" s="52">
        <f t="shared" ref="I3:I37" si="1">LET(v,H3*1.15,
i,INT(v),
d,v-i,
IF(d&lt;=0.2,
i-0.1,
IF(d&lt;=0.7,
i+0.5,
i+0.9)))
</f>
        <v>6.9</v>
      </c>
      <c r="J3" s="250"/>
      <c r="K3" s="183"/>
      <c r="L3" s="252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>
      <c r="A4" s="35"/>
      <c r="B4" s="153"/>
      <c r="C4" s="153"/>
      <c r="D4" s="182" t="s">
        <v>330</v>
      </c>
      <c r="E4" s="182" t="s">
        <v>331</v>
      </c>
      <c r="F4" s="253" t="str">
        <f t="shared" ref="F4:F37" si="2">CONCATENATE(E4," - ",D4)</f>
        <v>Vietnamese Black (Hot) - Cà Phê Đen Nóng</v>
      </c>
      <c r="G4" s="184" t="s">
        <v>52</v>
      </c>
      <c r="H4" s="185">
        <v>6.5</v>
      </c>
      <c r="I4" s="52">
        <f t="shared" si="1"/>
        <v>7.5</v>
      </c>
      <c r="J4" s="151"/>
      <c r="K4" s="183"/>
      <c r="L4" s="252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>
      <c r="A5" s="35"/>
      <c r="B5" s="250">
        <v>2.0</v>
      </c>
      <c r="C5" s="251" t="str">
        <f>IF(ISNUMBER(B5), "P07" &amp; TEXT(B5, "00"), "")</f>
        <v>P0702</v>
      </c>
      <c r="D5" s="182" t="s">
        <v>333</v>
      </c>
      <c r="E5" s="182" t="s">
        <v>334</v>
      </c>
      <c r="F5" s="253" t="str">
        <f t="shared" si="2"/>
        <v>Vietnamese White (Hot) - Cà Phê Sữa Nóng</v>
      </c>
      <c r="G5" s="144" t="s">
        <v>89</v>
      </c>
      <c r="H5" s="148">
        <v>6.5</v>
      </c>
      <c r="I5" s="52">
        <f t="shared" si="1"/>
        <v>7.5</v>
      </c>
      <c r="J5" s="151"/>
      <c r="K5" s="183"/>
      <c r="L5" s="252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</row>
    <row r="6">
      <c r="A6" s="35"/>
      <c r="B6" s="153"/>
      <c r="C6" s="153"/>
      <c r="D6" s="182" t="s">
        <v>333</v>
      </c>
      <c r="E6" s="182" t="s">
        <v>334</v>
      </c>
      <c r="F6" s="253" t="str">
        <f t="shared" si="2"/>
        <v>Vietnamese White (Hot) - Cà Phê Sữa Nóng</v>
      </c>
      <c r="G6" s="184" t="s">
        <v>52</v>
      </c>
      <c r="H6" s="148">
        <v>7.0</v>
      </c>
      <c r="I6" s="52">
        <f t="shared" si="1"/>
        <v>7.9</v>
      </c>
      <c r="J6" s="151"/>
      <c r="K6" s="183"/>
      <c r="L6" s="252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</row>
    <row r="7">
      <c r="A7" s="35"/>
      <c r="B7" s="250">
        <v>3.0</v>
      </c>
      <c r="C7" s="251" t="str">
        <f>IF(ISNUMBER(B7), "P07" &amp; TEXT(B7, "00"), "")</f>
        <v>P0703</v>
      </c>
      <c r="D7" s="182" t="s">
        <v>335</v>
      </c>
      <c r="E7" s="182" t="s">
        <v>336</v>
      </c>
      <c r="F7" s="253" t="str">
        <f t="shared" si="2"/>
        <v>Condensed Milk Coffee (Hot) - Bạc Xỉu Nóng</v>
      </c>
      <c r="G7" s="144" t="s">
        <v>89</v>
      </c>
      <c r="H7" s="148">
        <v>6.5</v>
      </c>
      <c r="I7" s="52">
        <f t="shared" si="1"/>
        <v>7.5</v>
      </c>
      <c r="J7" s="151"/>
      <c r="K7" s="183"/>
      <c r="L7" s="252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>
      <c r="A8" s="35"/>
      <c r="B8" s="153"/>
      <c r="C8" s="153"/>
      <c r="D8" s="182" t="s">
        <v>335</v>
      </c>
      <c r="E8" s="182" t="s">
        <v>336</v>
      </c>
      <c r="F8" s="253" t="str">
        <f t="shared" si="2"/>
        <v>Condensed Milk Coffee (Hot) - Bạc Xỉu Nóng</v>
      </c>
      <c r="G8" s="184" t="s">
        <v>52</v>
      </c>
      <c r="H8" s="148">
        <v>7.0</v>
      </c>
      <c r="I8" s="52">
        <f t="shared" si="1"/>
        <v>7.9</v>
      </c>
      <c r="J8" s="151"/>
      <c r="K8" s="183"/>
      <c r="L8" s="252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</row>
    <row r="9">
      <c r="A9" s="35"/>
      <c r="B9" s="144">
        <v>4.0</v>
      </c>
      <c r="C9" s="184" t="str">
        <f t="shared" ref="C9:C12" si="3">IF(ISNUMBER(B9), "P07" &amp; TEXT(B9, "00"), "")</f>
        <v>P0704</v>
      </c>
      <c r="D9" s="182" t="s">
        <v>337</v>
      </c>
      <c r="E9" s="182" t="s">
        <v>337</v>
      </c>
      <c r="F9" s="253" t="str">
        <f t="shared" si="2"/>
        <v>Espresso / Short Black - Espresso / Short Black</v>
      </c>
      <c r="G9" s="144" t="s">
        <v>89</v>
      </c>
      <c r="H9" s="148">
        <v>4.0</v>
      </c>
      <c r="I9" s="52">
        <f t="shared" si="1"/>
        <v>4.5</v>
      </c>
      <c r="J9" s="151"/>
      <c r="K9" s="183"/>
      <c r="L9" s="252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>
      <c r="A10" s="35"/>
      <c r="B10" s="144">
        <v>5.0</v>
      </c>
      <c r="C10" s="184" t="str">
        <f t="shared" si="3"/>
        <v>P0705</v>
      </c>
      <c r="D10" s="182" t="s">
        <v>338</v>
      </c>
      <c r="E10" s="182" t="s">
        <v>338</v>
      </c>
      <c r="F10" s="253" t="str">
        <f t="shared" si="2"/>
        <v>Piccolo - Piccolo</v>
      </c>
      <c r="G10" s="144" t="s">
        <v>89</v>
      </c>
      <c r="H10" s="185">
        <v>4.5</v>
      </c>
      <c r="I10" s="52">
        <f t="shared" si="1"/>
        <v>4.9</v>
      </c>
      <c r="J10" s="151"/>
      <c r="K10" s="183"/>
      <c r="L10" s="252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</row>
    <row r="11">
      <c r="A11" s="35"/>
      <c r="B11" s="144">
        <v>6.0</v>
      </c>
      <c r="C11" s="184" t="str">
        <f t="shared" si="3"/>
        <v>P0706</v>
      </c>
      <c r="D11" s="182" t="s">
        <v>339</v>
      </c>
      <c r="E11" s="182" t="s">
        <v>339</v>
      </c>
      <c r="F11" s="253" t="str">
        <f t="shared" si="2"/>
        <v>Macchiato - Macchiato</v>
      </c>
      <c r="G11" s="144" t="s">
        <v>89</v>
      </c>
      <c r="H11" s="148">
        <v>4.5</v>
      </c>
      <c r="I11" s="52">
        <f t="shared" si="1"/>
        <v>4.9</v>
      </c>
      <c r="J11" s="151"/>
      <c r="K11" s="183"/>
      <c r="L11" s="252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</row>
    <row r="12">
      <c r="A12" s="35"/>
      <c r="B12" s="250">
        <v>8.0</v>
      </c>
      <c r="C12" s="251" t="str">
        <f t="shared" si="3"/>
        <v>P0708</v>
      </c>
      <c r="D12" s="182" t="s">
        <v>340</v>
      </c>
      <c r="E12" s="182" t="s">
        <v>340</v>
      </c>
      <c r="F12" s="253" t="str">
        <f t="shared" si="2"/>
        <v>Long Black - Long Black</v>
      </c>
      <c r="G12" s="144" t="s">
        <v>89</v>
      </c>
      <c r="H12" s="185">
        <v>5.5</v>
      </c>
      <c r="I12" s="52">
        <f t="shared" si="1"/>
        <v>6.5</v>
      </c>
      <c r="J12" s="151"/>
      <c r="K12" s="183"/>
      <c r="L12" s="252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>
      <c r="A13" s="35"/>
      <c r="B13" s="153"/>
      <c r="C13" s="153"/>
      <c r="D13" s="182" t="s">
        <v>340</v>
      </c>
      <c r="E13" s="182" t="s">
        <v>340</v>
      </c>
      <c r="F13" s="253" t="str">
        <f t="shared" si="2"/>
        <v>Long Black - Long Black</v>
      </c>
      <c r="G13" s="184" t="s">
        <v>52</v>
      </c>
      <c r="H13" s="185">
        <v>6.0</v>
      </c>
      <c r="I13" s="52">
        <f t="shared" si="1"/>
        <v>6.9</v>
      </c>
      <c r="J13" s="151"/>
      <c r="K13" s="183"/>
      <c r="L13" s="252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>
      <c r="A14" s="35"/>
      <c r="B14" s="250">
        <v>10.0</v>
      </c>
      <c r="C14" s="251" t="str">
        <f>IF(ISNUMBER(B14), "P07" &amp; TEXT(B14, "00"), "")</f>
        <v>P0710</v>
      </c>
      <c r="D14" s="182" t="s">
        <v>341</v>
      </c>
      <c r="E14" s="182" t="s">
        <v>341</v>
      </c>
      <c r="F14" s="253" t="str">
        <f t="shared" si="2"/>
        <v>Latte - Latte</v>
      </c>
      <c r="G14" s="144" t="s">
        <v>89</v>
      </c>
      <c r="H14" s="185">
        <v>5.5</v>
      </c>
      <c r="I14" s="52">
        <f t="shared" si="1"/>
        <v>6.5</v>
      </c>
      <c r="J14" s="151"/>
      <c r="K14" s="183"/>
      <c r="L14" s="252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>
      <c r="A15" s="35"/>
      <c r="B15" s="153"/>
      <c r="C15" s="153"/>
      <c r="D15" s="182" t="s">
        <v>341</v>
      </c>
      <c r="E15" s="182" t="s">
        <v>341</v>
      </c>
      <c r="F15" s="253" t="str">
        <f t="shared" si="2"/>
        <v>Latte - Latte</v>
      </c>
      <c r="G15" s="184" t="s">
        <v>52</v>
      </c>
      <c r="H15" s="185">
        <v>6.0</v>
      </c>
      <c r="I15" s="52">
        <f t="shared" si="1"/>
        <v>6.9</v>
      </c>
      <c r="J15" s="151"/>
      <c r="K15" s="183"/>
      <c r="L15" s="252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</row>
    <row r="16">
      <c r="A16" s="35"/>
      <c r="B16" s="250">
        <v>11.0</v>
      </c>
      <c r="C16" s="251" t="str">
        <f>IF(ISNUMBER(B16), "P07" &amp; TEXT(B16, "00"), "")</f>
        <v>P0711</v>
      </c>
      <c r="D16" s="182" t="s">
        <v>342</v>
      </c>
      <c r="E16" s="182" t="s">
        <v>342</v>
      </c>
      <c r="F16" s="253" t="str">
        <f t="shared" si="2"/>
        <v>Flat White - Flat White</v>
      </c>
      <c r="G16" s="144" t="s">
        <v>89</v>
      </c>
      <c r="H16" s="185">
        <v>5.5</v>
      </c>
      <c r="I16" s="52">
        <f t="shared" si="1"/>
        <v>6.5</v>
      </c>
      <c r="J16" s="151"/>
      <c r="K16" s="183"/>
      <c r="L16" s="252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</row>
    <row r="17">
      <c r="A17" s="35"/>
      <c r="B17" s="153"/>
      <c r="C17" s="153"/>
      <c r="D17" s="182" t="s">
        <v>342</v>
      </c>
      <c r="E17" s="182" t="s">
        <v>342</v>
      </c>
      <c r="F17" s="253" t="str">
        <f t="shared" si="2"/>
        <v>Flat White - Flat White</v>
      </c>
      <c r="G17" s="184" t="s">
        <v>52</v>
      </c>
      <c r="H17" s="185">
        <v>6.0</v>
      </c>
      <c r="I17" s="52">
        <f t="shared" si="1"/>
        <v>6.9</v>
      </c>
      <c r="J17" s="151"/>
      <c r="K17" s="183"/>
      <c r="L17" s="252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>
      <c r="A18" s="35"/>
      <c r="B18" s="250">
        <v>12.0</v>
      </c>
      <c r="C18" s="251" t="str">
        <f>IF(ISNUMBER(B18), "P07" &amp; TEXT(B18, "00"), "")</f>
        <v>P0712</v>
      </c>
      <c r="D18" s="182" t="s">
        <v>343</v>
      </c>
      <c r="E18" s="182" t="s">
        <v>343</v>
      </c>
      <c r="F18" s="253" t="str">
        <f t="shared" si="2"/>
        <v>Cappuccino - Cappuccino</v>
      </c>
      <c r="G18" s="144" t="s">
        <v>89</v>
      </c>
      <c r="H18" s="185">
        <v>5.5</v>
      </c>
      <c r="I18" s="52">
        <f t="shared" si="1"/>
        <v>6.5</v>
      </c>
      <c r="J18" s="151"/>
      <c r="K18" s="183"/>
      <c r="L18" s="252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>
      <c r="A19" s="35"/>
      <c r="B19" s="153"/>
      <c r="C19" s="153"/>
      <c r="D19" s="182" t="s">
        <v>343</v>
      </c>
      <c r="E19" s="182" t="s">
        <v>343</v>
      </c>
      <c r="F19" s="253" t="str">
        <f t="shared" si="2"/>
        <v>Cappuccino - Cappuccino</v>
      </c>
      <c r="G19" s="184" t="s">
        <v>52</v>
      </c>
      <c r="H19" s="185">
        <v>6.0</v>
      </c>
      <c r="I19" s="52">
        <f t="shared" si="1"/>
        <v>6.9</v>
      </c>
      <c r="J19" s="151"/>
      <c r="K19" s="183"/>
      <c r="L19" s="252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>
      <c r="A20" s="35"/>
      <c r="B20" s="250">
        <v>13.0</v>
      </c>
      <c r="C20" s="251" t="str">
        <f>IF(ISNUMBER(B20), "P07" &amp; TEXT(B20, "00"), "")</f>
        <v>P0713</v>
      </c>
      <c r="D20" s="182" t="s">
        <v>344</v>
      </c>
      <c r="E20" s="182" t="s">
        <v>344</v>
      </c>
      <c r="F20" s="253" t="str">
        <f t="shared" si="2"/>
        <v>Mocha - Mocha</v>
      </c>
      <c r="G20" s="144" t="s">
        <v>89</v>
      </c>
      <c r="H20" s="185">
        <v>6.0</v>
      </c>
      <c r="I20" s="52">
        <f t="shared" si="1"/>
        <v>6.9</v>
      </c>
      <c r="J20" s="151"/>
      <c r="K20" s="183"/>
      <c r="L20" s="252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</row>
    <row r="21" ht="15.75" customHeight="1">
      <c r="A21" s="35"/>
      <c r="B21" s="153"/>
      <c r="C21" s="153"/>
      <c r="D21" s="182" t="s">
        <v>344</v>
      </c>
      <c r="E21" s="182" t="s">
        <v>344</v>
      </c>
      <c r="F21" s="253" t="str">
        <f t="shared" si="2"/>
        <v>Mocha - Mocha</v>
      </c>
      <c r="G21" s="184" t="s">
        <v>52</v>
      </c>
      <c r="H21" s="185">
        <v>6.5</v>
      </c>
      <c r="I21" s="52">
        <f t="shared" si="1"/>
        <v>7.5</v>
      </c>
      <c r="J21" s="151"/>
      <c r="K21" s="183"/>
      <c r="L21" s="252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</row>
    <row r="22" ht="15.75" customHeight="1">
      <c r="A22" s="35"/>
      <c r="B22" s="144">
        <v>14.0</v>
      </c>
      <c r="C22" s="184" t="str">
        <f t="shared" ref="C22:C24" si="4">IF(ISNUMBER(B22), "P07" &amp; TEXT(B22, "00"), "")</f>
        <v>P0714</v>
      </c>
      <c r="D22" s="182" t="s">
        <v>345</v>
      </c>
      <c r="E22" s="182" t="s">
        <v>345</v>
      </c>
      <c r="F22" s="253" t="str">
        <f t="shared" si="2"/>
        <v>Babyccino - Babyccino</v>
      </c>
      <c r="G22" s="144" t="s">
        <v>89</v>
      </c>
      <c r="H22" s="185">
        <v>3.5</v>
      </c>
      <c r="I22" s="52">
        <f t="shared" si="1"/>
        <v>3.9</v>
      </c>
      <c r="J22" s="151"/>
      <c r="K22" s="183"/>
      <c r="L22" s="252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</row>
    <row r="23" ht="15.75" customHeight="1">
      <c r="A23" s="35"/>
      <c r="B23" s="144">
        <v>15.0</v>
      </c>
      <c r="C23" s="184" t="str">
        <f t="shared" si="4"/>
        <v>P0715</v>
      </c>
      <c r="D23" s="182" t="s">
        <v>346</v>
      </c>
      <c r="E23" s="182" t="s">
        <v>346</v>
      </c>
      <c r="F23" s="253" t="str">
        <f t="shared" si="2"/>
        <v>Affogato - Affogato</v>
      </c>
      <c r="G23" s="144" t="s">
        <v>89</v>
      </c>
      <c r="H23" s="148">
        <v>9.5</v>
      </c>
      <c r="I23" s="52">
        <f t="shared" si="1"/>
        <v>10.9</v>
      </c>
      <c r="J23" s="151"/>
      <c r="K23" s="183"/>
      <c r="L23" s="252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</row>
    <row r="24" ht="15.75" customHeight="1">
      <c r="A24" s="35"/>
      <c r="B24" s="250">
        <v>16.0</v>
      </c>
      <c r="C24" s="251" t="str">
        <f t="shared" si="4"/>
        <v>P0716</v>
      </c>
      <c r="D24" s="182" t="s">
        <v>347</v>
      </c>
      <c r="E24" s="182" t="s">
        <v>347</v>
      </c>
      <c r="F24" s="253" t="str">
        <f t="shared" si="2"/>
        <v>Dirty Chai Latte (Hot) - Dirty Chai Latte (Hot)</v>
      </c>
      <c r="G24" s="144" t="s">
        <v>89</v>
      </c>
      <c r="H24" s="185">
        <v>6.0</v>
      </c>
      <c r="I24" s="52">
        <f t="shared" si="1"/>
        <v>6.9</v>
      </c>
      <c r="J24" s="151"/>
      <c r="K24" s="183"/>
      <c r="L24" s="252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 ht="15.75" customHeight="1">
      <c r="A25" s="35"/>
      <c r="B25" s="153"/>
      <c r="C25" s="153"/>
      <c r="D25" s="182" t="s">
        <v>347</v>
      </c>
      <c r="E25" s="182" t="s">
        <v>347</v>
      </c>
      <c r="F25" s="253" t="str">
        <f t="shared" si="2"/>
        <v>Dirty Chai Latte (Hot) - Dirty Chai Latte (Hot)</v>
      </c>
      <c r="G25" s="184" t="s">
        <v>52</v>
      </c>
      <c r="H25" s="185">
        <v>6.5</v>
      </c>
      <c r="I25" s="52">
        <f t="shared" si="1"/>
        <v>7.5</v>
      </c>
      <c r="J25" s="151"/>
      <c r="K25" s="183"/>
      <c r="L25" s="252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 ht="15.75" customHeight="1">
      <c r="A26" s="35"/>
      <c r="B26" s="250">
        <v>17.0</v>
      </c>
      <c r="C26" s="251" t="str">
        <f>IF(ISNUMBER(B26), "P07" &amp; TEXT(B26, "00"), "")</f>
        <v>P0717</v>
      </c>
      <c r="D26" s="182" t="s">
        <v>348</v>
      </c>
      <c r="E26" s="182" t="s">
        <v>348</v>
      </c>
      <c r="F26" s="253" t="str">
        <f t="shared" si="2"/>
        <v>Dirty Matcha (Hot) - Dirty Matcha (Hot)</v>
      </c>
      <c r="G26" s="144" t="s">
        <v>89</v>
      </c>
      <c r="H26" s="185">
        <v>6.0</v>
      </c>
      <c r="I26" s="52">
        <f t="shared" si="1"/>
        <v>6.9</v>
      </c>
      <c r="J26" s="151"/>
      <c r="K26" s="183"/>
      <c r="L26" s="252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 ht="15.75" customHeight="1">
      <c r="A27" s="35"/>
      <c r="B27" s="153"/>
      <c r="C27" s="153"/>
      <c r="D27" s="182" t="s">
        <v>348</v>
      </c>
      <c r="E27" s="182" t="s">
        <v>348</v>
      </c>
      <c r="F27" s="253" t="str">
        <f t="shared" si="2"/>
        <v>Dirty Matcha (Hot) - Dirty Matcha (Hot)</v>
      </c>
      <c r="G27" s="184" t="s">
        <v>52</v>
      </c>
      <c r="H27" s="185">
        <v>6.5</v>
      </c>
      <c r="I27" s="52">
        <f t="shared" si="1"/>
        <v>7.5</v>
      </c>
      <c r="J27" s="151"/>
      <c r="K27" s="183"/>
      <c r="L27" s="252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</row>
    <row r="28" ht="15.75" customHeight="1">
      <c r="A28" s="35"/>
      <c r="B28" s="250">
        <v>18.0</v>
      </c>
      <c r="C28" s="251" t="str">
        <f>IF(ISNUMBER(B28), "P07" &amp; TEXT(B28, "00"), "")</f>
        <v>P0718</v>
      </c>
      <c r="D28" s="146" t="s">
        <v>349</v>
      </c>
      <c r="E28" s="146" t="s">
        <v>349</v>
      </c>
      <c r="F28" s="253" t="str">
        <f t="shared" si="2"/>
        <v>Hot Chocolate - Hot Chocolate</v>
      </c>
      <c r="G28" s="144" t="s">
        <v>89</v>
      </c>
      <c r="H28" s="148">
        <v>5.5</v>
      </c>
      <c r="I28" s="52">
        <f t="shared" si="1"/>
        <v>6.5</v>
      </c>
      <c r="J28" s="151"/>
      <c r="K28" s="183"/>
      <c r="L28" s="252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 ht="15.75" customHeight="1">
      <c r="A29" s="35"/>
      <c r="B29" s="153"/>
      <c r="C29" s="153"/>
      <c r="D29" s="146" t="s">
        <v>349</v>
      </c>
      <c r="E29" s="146" t="s">
        <v>349</v>
      </c>
      <c r="F29" s="253" t="str">
        <f t="shared" si="2"/>
        <v>Hot Chocolate - Hot Chocolate</v>
      </c>
      <c r="G29" s="144" t="s">
        <v>52</v>
      </c>
      <c r="H29" s="148">
        <v>6.0</v>
      </c>
      <c r="I29" s="52">
        <f t="shared" si="1"/>
        <v>6.9</v>
      </c>
      <c r="J29" s="151"/>
      <c r="K29" s="183"/>
      <c r="L29" s="252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 ht="15.75" customHeight="1">
      <c r="A30" s="35"/>
      <c r="B30" s="250">
        <v>19.0</v>
      </c>
      <c r="C30" s="251" t="str">
        <f>IF(ISNUMBER(B30), "P07" &amp; TEXT(B30, "00"), "")</f>
        <v>P0719</v>
      </c>
      <c r="D30" s="146" t="s">
        <v>350</v>
      </c>
      <c r="E30" s="146" t="s">
        <v>350</v>
      </c>
      <c r="F30" s="253" t="str">
        <f t="shared" si="2"/>
        <v>Chai Latte ( HOT) - Chai Latte ( HOT)</v>
      </c>
      <c r="G30" s="144" t="s">
        <v>89</v>
      </c>
      <c r="H30" s="148">
        <v>5.5</v>
      </c>
      <c r="I30" s="52">
        <f t="shared" si="1"/>
        <v>6.5</v>
      </c>
      <c r="J30" s="151"/>
      <c r="K30" s="183"/>
      <c r="L30" s="252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 ht="15.75" customHeight="1">
      <c r="A31" s="35"/>
      <c r="B31" s="153"/>
      <c r="C31" s="153"/>
      <c r="D31" s="146" t="s">
        <v>350</v>
      </c>
      <c r="E31" s="146" t="s">
        <v>350</v>
      </c>
      <c r="F31" s="253" t="str">
        <f t="shared" si="2"/>
        <v>Chai Latte ( HOT) - Chai Latte ( HOT)</v>
      </c>
      <c r="G31" s="144" t="s">
        <v>52</v>
      </c>
      <c r="H31" s="148">
        <v>6.0</v>
      </c>
      <c r="I31" s="52">
        <f t="shared" si="1"/>
        <v>6.9</v>
      </c>
      <c r="J31" s="151"/>
      <c r="K31" s="183"/>
      <c r="L31" s="252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 ht="15.75" customHeight="1">
      <c r="A32" s="35"/>
      <c r="B32" s="250">
        <v>20.0</v>
      </c>
      <c r="C32" s="251" t="str">
        <f>IF(ISNUMBER(B32), "P07" &amp; TEXT(B32, "00"), "")</f>
        <v>P0720</v>
      </c>
      <c r="D32" s="146" t="s">
        <v>351</v>
      </c>
      <c r="E32" s="146" t="s">
        <v>351</v>
      </c>
      <c r="F32" s="253" t="str">
        <f t="shared" si="2"/>
        <v>Taro Latte ( HOT) - Taro Latte ( HOT)</v>
      </c>
      <c r="G32" s="144" t="s">
        <v>89</v>
      </c>
      <c r="H32" s="148">
        <v>5.5</v>
      </c>
      <c r="I32" s="52">
        <f t="shared" si="1"/>
        <v>6.5</v>
      </c>
      <c r="J32" s="151"/>
      <c r="K32" s="183"/>
      <c r="L32" s="252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 ht="15.75" customHeight="1">
      <c r="A33" s="35"/>
      <c r="B33" s="153"/>
      <c r="C33" s="153"/>
      <c r="D33" s="146" t="s">
        <v>351</v>
      </c>
      <c r="E33" s="146" t="s">
        <v>351</v>
      </c>
      <c r="F33" s="253" t="str">
        <f t="shared" si="2"/>
        <v>Taro Latte ( HOT) - Taro Latte ( HOT)</v>
      </c>
      <c r="G33" s="144" t="s">
        <v>52</v>
      </c>
      <c r="H33" s="148">
        <v>6.0</v>
      </c>
      <c r="I33" s="52">
        <f t="shared" si="1"/>
        <v>6.9</v>
      </c>
      <c r="J33" s="151"/>
      <c r="K33" s="183"/>
      <c r="L33" s="252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 ht="15.75" customHeight="1">
      <c r="A34" s="35"/>
      <c r="B34" s="250">
        <v>21.0</v>
      </c>
      <c r="C34" s="251" t="str">
        <f>IF(ISNUMBER(B34), "P07" &amp; TEXT(B34, "00"), "")</f>
        <v>P0721</v>
      </c>
      <c r="D34" s="146" t="s">
        <v>352</v>
      </c>
      <c r="E34" s="146" t="s">
        <v>352</v>
      </c>
      <c r="F34" s="253" t="str">
        <f t="shared" si="2"/>
        <v>Biscoff Latte ( HOT) - Biscoff Latte ( HOT)</v>
      </c>
      <c r="G34" s="144" t="s">
        <v>89</v>
      </c>
      <c r="H34" s="148">
        <v>5.5</v>
      </c>
      <c r="I34" s="52">
        <f t="shared" si="1"/>
        <v>6.5</v>
      </c>
      <c r="J34" s="151"/>
      <c r="K34" s="183"/>
      <c r="L34" s="252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 ht="15.75" customHeight="1">
      <c r="A35" s="35"/>
      <c r="B35" s="153"/>
      <c r="C35" s="153"/>
      <c r="D35" s="146" t="s">
        <v>352</v>
      </c>
      <c r="E35" s="146" t="s">
        <v>352</v>
      </c>
      <c r="F35" s="253" t="str">
        <f t="shared" si="2"/>
        <v>Biscoff Latte ( HOT) - Biscoff Latte ( HOT)</v>
      </c>
      <c r="G35" s="144" t="s">
        <v>52</v>
      </c>
      <c r="H35" s="148">
        <v>6.0</v>
      </c>
      <c r="I35" s="52">
        <f t="shared" si="1"/>
        <v>6.9</v>
      </c>
      <c r="J35" s="151"/>
      <c r="K35" s="183"/>
      <c r="L35" s="252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 ht="15.75" customHeight="1">
      <c r="A36" s="35"/>
      <c r="B36" s="250">
        <v>22.0</v>
      </c>
      <c r="C36" s="251" t="str">
        <f>IF(ISNUMBER(B36), "P07" &amp; TEXT(B36, "00"), "")</f>
        <v>P0722</v>
      </c>
      <c r="D36" s="146" t="s">
        <v>353</v>
      </c>
      <c r="E36" s="146" t="s">
        <v>353</v>
      </c>
      <c r="F36" s="253" t="str">
        <f t="shared" si="2"/>
        <v>Matcha Latte ( HOT) - Matcha Latte ( HOT)</v>
      </c>
      <c r="G36" s="144" t="s">
        <v>89</v>
      </c>
      <c r="H36" s="148">
        <v>5.5</v>
      </c>
      <c r="I36" s="52">
        <f t="shared" si="1"/>
        <v>6.5</v>
      </c>
      <c r="J36" s="151"/>
      <c r="K36" s="183"/>
      <c r="L36" s="252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 ht="15.75" customHeight="1">
      <c r="A37" s="35"/>
      <c r="B37" s="153"/>
      <c r="C37" s="153"/>
      <c r="D37" s="146" t="s">
        <v>353</v>
      </c>
      <c r="E37" s="146" t="s">
        <v>353</v>
      </c>
      <c r="F37" s="253" t="str">
        <f t="shared" si="2"/>
        <v>Matcha Latte ( HOT) - Matcha Latte ( HOT)</v>
      </c>
      <c r="G37" s="144" t="s">
        <v>52</v>
      </c>
      <c r="H37" s="148">
        <v>6.0</v>
      </c>
      <c r="I37" s="52">
        <f t="shared" si="1"/>
        <v>6.9</v>
      </c>
      <c r="J37" s="151"/>
      <c r="K37" s="183"/>
      <c r="L37" s="252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</row>
    <row r="38" ht="15.75" customHeight="1">
      <c r="A38" s="35"/>
      <c r="B38" s="184"/>
      <c r="C38" s="184" t="str">
        <f t="shared" ref="C38:C46" si="5">IF(ISNUMBER(B38), "P07" &amp; TEXT(B38, "00"), "")</f>
        <v/>
      </c>
      <c r="D38" s="147"/>
      <c r="E38" s="183"/>
      <c r="F38" s="254"/>
      <c r="G38" s="184"/>
      <c r="H38" s="185"/>
      <c r="I38" s="52"/>
      <c r="J38" s="151"/>
      <c r="K38" s="183"/>
      <c r="L38" s="252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 ht="15.75" customHeight="1">
      <c r="A39" s="255"/>
      <c r="B39" s="140"/>
      <c r="C39" s="140" t="str">
        <f t="shared" si="5"/>
        <v/>
      </c>
      <c r="D39" s="256"/>
      <c r="E39" s="256"/>
      <c r="F39" s="257"/>
      <c r="G39" s="258"/>
      <c r="H39" s="259"/>
      <c r="I39" s="260"/>
      <c r="J39" s="151"/>
      <c r="K39" s="256"/>
      <c r="L39" s="252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</row>
    <row r="40" ht="15.75" customHeight="1">
      <c r="A40" s="255"/>
      <c r="B40" s="256"/>
      <c r="C40" s="256" t="str">
        <f t="shared" si="5"/>
        <v/>
      </c>
      <c r="D40" s="261" t="s">
        <v>317</v>
      </c>
      <c r="E40" s="261" t="s">
        <v>318</v>
      </c>
      <c r="F40" s="257"/>
      <c r="G40" s="258"/>
      <c r="H40" s="185">
        <v>0.5</v>
      </c>
      <c r="I40" s="52">
        <f t="shared" ref="I40:I43" si="6">LET(v,H40*1.15,
i,INT(v),
d,v-i,
IF(d&lt;=0.2,
i-0.1,
IF(d&lt;=0.7,
i+0.5,
i+0.9)))
</f>
        <v>0.5</v>
      </c>
      <c r="J40" s="151"/>
      <c r="K40" s="256"/>
      <c r="L40" s="252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</row>
    <row r="41" ht="15.75" customHeight="1">
      <c r="A41" s="255"/>
      <c r="B41" s="256"/>
      <c r="C41" s="256" t="str">
        <f t="shared" si="5"/>
        <v/>
      </c>
      <c r="D41" s="182" t="s">
        <v>319</v>
      </c>
      <c r="E41" s="262" t="s">
        <v>320</v>
      </c>
      <c r="F41" s="257"/>
      <c r="G41" s="258"/>
      <c r="H41" s="185">
        <v>0.5</v>
      </c>
      <c r="I41" s="52">
        <f t="shared" si="6"/>
        <v>0.5</v>
      </c>
      <c r="J41" s="151"/>
      <c r="K41" s="256"/>
      <c r="L41" s="252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  <c r="Z41" s="255"/>
      <c r="AA41" s="255"/>
      <c r="AB41" s="255"/>
      <c r="AC41" s="255"/>
    </row>
    <row r="42" ht="15.75" customHeight="1">
      <c r="A42" s="255"/>
      <c r="B42" s="256"/>
      <c r="C42" s="256" t="str">
        <f t="shared" si="5"/>
        <v/>
      </c>
      <c r="D42" s="182" t="s">
        <v>321</v>
      </c>
      <c r="E42" s="261" t="s">
        <v>322</v>
      </c>
      <c r="F42" s="257"/>
      <c r="G42" s="258"/>
      <c r="H42" s="148">
        <v>0.5</v>
      </c>
      <c r="I42" s="52">
        <f t="shared" si="6"/>
        <v>0.5</v>
      </c>
      <c r="J42" s="151"/>
      <c r="K42" s="256"/>
      <c r="L42" s="252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  <c r="Z42" s="255"/>
      <c r="AA42" s="255"/>
      <c r="AB42" s="255"/>
      <c r="AC42" s="255"/>
    </row>
    <row r="43" ht="15.75" customHeight="1">
      <c r="A43" s="255"/>
      <c r="B43" s="256"/>
      <c r="C43" s="256" t="str">
        <f t="shared" si="5"/>
        <v/>
      </c>
      <c r="D43" s="182" t="s">
        <v>323</v>
      </c>
      <c r="E43" s="261" t="s">
        <v>324</v>
      </c>
      <c r="F43" s="257"/>
      <c r="G43" s="258"/>
      <c r="H43" s="185">
        <v>0.8</v>
      </c>
      <c r="I43" s="52">
        <f t="shared" si="6"/>
        <v>0.9</v>
      </c>
      <c r="J43" s="153"/>
      <c r="K43" s="256"/>
      <c r="L43" s="252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  <c r="AA43" s="255"/>
      <c r="AB43" s="255"/>
      <c r="AC43" s="255"/>
    </row>
    <row r="44" ht="15.75" customHeight="1">
      <c r="A44" s="35"/>
      <c r="B44" s="33"/>
      <c r="C44" s="33" t="str">
        <f t="shared" si="5"/>
        <v/>
      </c>
      <c r="D44" s="35"/>
      <c r="E44" s="35"/>
      <c r="F44" s="40"/>
      <c r="G44" s="33"/>
      <c r="H44" s="39"/>
      <c r="I44" s="248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 ht="15.75" customHeight="1">
      <c r="A45" s="35"/>
      <c r="B45" s="144">
        <v>36.0</v>
      </c>
      <c r="C45" s="184" t="str">
        <f t="shared" si="5"/>
        <v>P0736</v>
      </c>
      <c r="D45" s="147" t="s">
        <v>354</v>
      </c>
      <c r="E45" s="183"/>
      <c r="F45" s="254"/>
      <c r="G45" s="184"/>
      <c r="H45" s="148">
        <v>45.0</v>
      </c>
      <c r="I45" s="88">
        <f t="shared" ref="I45:I46" si="7">LET(v,H45*1.15,
i,INT(v),
d,v-i,
IF(d&lt;=0.2,
i-0.1,
IF(d&lt;=0.7,
i+0.5,
i+0.9)))
</f>
        <v>51.9</v>
      </c>
      <c r="J45" s="183"/>
      <c r="K45" s="147" t="s">
        <v>355</v>
      </c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</row>
    <row r="46" ht="15.75" customHeight="1">
      <c r="A46" s="35"/>
      <c r="B46" s="144">
        <v>37.0</v>
      </c>
      <c r="C46" s="184" t="str">
        <f t="shared" si="5"/>
        <v>P0737</v>
      </c>
      <c r="D46" s="147" t="s">
        <v>356</v>
      </c>
      <c r="E46" s="183"/>
      <c r="F46" s="254"/>
      <c r="G46" s="184"/>
      <c r="H46" s="148">
        <v>45.0</v>
      </c>
      <c r="I46" s="88">
        <f t="shared" si="7"/>
        <v>51.9</v>
      </c>
      <c r="J46" s="183"/>
      <c r="K46" s="147" t="s">
        <v>355</v>
      </c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</row>
    <row r="47" ht="15.75" customHeight="1">
      <c r="A47" s="35"/>
      <c r="B47" s="33"/>
      <c r="C47" s="33"/>
      <c r="D47" s="35"/>
      <c r="E47" s="35"/>
      <c r="F47" s="40"/>
      <c r="G47" s="33"/>
      <c r="H47" s="39"/>
      <c r="I47" s="248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 ht="15.75" customHeight="1">
      <c r="A48" s="35"/>
      <c r="B48" s="33"/>
      <c r="C48" s="33"/>
      <c r="D48" s="35"/>
      <c r="E48" s="35"/>
      <c r="F48" s="40"/>
      <c r="G48" s="33"/>
      <c r="H48" s="39"/>
      <c r="I48" s="248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 ht="15.75" customHeight="1">
      <c r="A49" s="35"/>
      <c r="B49" s="114"/>
      <c r="H49" s="39"/>
      <c r="I49" s="248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 ht="15.75" customHeight="1">
      <c r="A50" s="35"/>
      <c r="B50" s="115"/>
      <c r="C50" s="115"/>
      <c r="D50" s="116"/>
      <c r="H50" s="39"/>
      <c r="I50" s="248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 ht="15.75" customHeight="1">
      <c r="A51" s="35"/>
      <c r="B51" s="115"/>
      <c r="C51" s="115"/>
      <c r="D51" s="116"/>
      <c r="H51" s="39"/>
      <c r="I51" s="248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 ht="15.75" customHeight="1">
      <c r="A52" s="35"/>
      <c r="B52" s="33"/>
      <c r="C52" s="33"/>
      <c r="D52" s="35"/>
      <c r="E52" s="35"/>
      <c r="F52" s="40"/>
      <c r="G52" s="33"/>
      <c r="H52" s="39"/>
      <c r="I52" s="248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 ht="15.75" customHeight="1">
      <c r="A53" s="35"/>
      <c r="B53" s="33"/>
      <c r="C53" s="33"/>
      <c r="D53" s="35"/>
      <c r="E53" s="35"/>
      <c r="F53" s="40"/>
      <c r="G53" s="33"/>
      <c r="H53" s="39"/>
      <c r="I53" s="248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 ht="15.75" customHeight="1">
      <c r="A54" s="35"/>
      <c r="B54" s="33"/>
      <c r="C54" s="33"/>
      <c r="D54" s="35"/>
      <c r="E54" s="35"/>
      <c r="F54" s="40"/>
      <c r="G54" s="33"/>
      <c r="H54" s="39"/>
      <c r="I54" s="248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 ht="15.75" customHeight="1">
      <c r="A55" s="35"/>
      <c r="B55" s="33"/>
      <c r="C55" s="33"/>
      <c r="D55" s="35"/>
      <c r="E55" s="35"/>
      <c r="F55" s="40"/>
      <c r="G55" s="33"/>
      <c r="H55" s="39"/>
      <c r="I55" s="248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 ht="15.75" customHeight="1">
      <c r="A56" s="35"/>
      <c r="B56" s="33"/>
      <c r="C56" s="33"/>
      <c r="D56" s="35"/>
      <c r="E56" s="35"/>
      <c r="F56" s="40"/>
      <c r="G56" s="33"/>
      <c r="H56" s="39"/>
      <c r="I56" s="248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</row>
    <row r="57" ht="15.75" customHeight="1">
      <c r="A57" s="35"/>
      <c r="B57" s="33"/>
      <c r="C57" s="33"/>
      <c r="D57" s="35"/>
      <c r="E57" s="35"/>
      <c r="F57" s="40"/>
      <c r="G57" s="33"/>
      <c r="H57" s="39"/>
      <c r="I57" s="248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 ht="15.75" customHeight="1">
      <c r="A58" s="35"/>
      <c r="B58" s="33"/>
      <c r="C58" s="33"/>
      <c r="D58" s="35"/>
      <c r="E58" s="35"/>
      <c r="F58" s="40"/>
      <c r="G58" s="33"/>
      <c r="H58" s="39"/>
      <c r="I58" s="248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</row>
    <row r="59" ht="15.75" customHeight="1">
      <c r="A59" s="35"/>
      <c r="B59" s="33"/>
      <c r="C59" s="33"/>
      <c r="D59" s="35"/>
      <c r="E59" s="35"/>
      <c r="F59" s="40"/>
      <c r="G59" s="33"/>
      <c r="H59" s="39"/>
      <c r="I59" s="248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</row>
    <row r="60" ht="15.75" customHeight="1">
      <c r="A60" s="35"/>
      <c r="B60" s="33"/>
      <c r="C60" s="33"/>
      <c r="D60" s="35"/>
      <c r="E60" s="35"/>
      <c r="F60" s="40"/>
      <c r="G60" s="33"/>
      <c r="H60" s="39"/>
      <c r="I60" s="248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</row>
    <row r="61" ht="15.75" customHeight="1">
      <c r="A61" s="35"/>
      <c r="B61" s="33"/>
      <c r="C61" s="33"/>
      <c r="D61" s="35"/>
      <c r="E61" s="35"/>
      <c r="F61" s="40"/>
      <c r="G61" s="33"/>
      <c r="H61" s="39"/>
      <c r="I61" s="248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</row>
    <row r="62" ht="15.75" customHeight="1">
      <c r="A62" s="35"/>
      <c r="B62" s="33"/>
      <c r="C62" s="33"/>
      <c r="D62" s="35"/>
      <c r="E62" s="35"/>
      <c r="F62" s="40"/>
      <c r="G62" s="33"/>
      <c r="H62" s="39"/>
      <c r="I62" s="248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</row>
    <row r="63" ht="15.75" customHeight="1">
      <c r="A63" s="35"/>
      <c r="B63" s="33"/>
      <c r="C63" s="33"/>
      <c r="D63" s="35"/>
      <c r="E63" s="35"/>
      <c r="F63" s="40"/>
      <c r="G63" s="33"/>
      <c r="H63" s="39"/>
      <c r="I63" s="248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 ht="15.75" customHeight="1">
      <c r="A64" s="35"/>
      <c r="B64" s="33"/>
      <c r="C64" s="33"/>
      <c r="D64" s="35"/>
      <c r="E64" s="35"/>
      <c r="F64" s="40"/>
      <c r="G64" s="33"/>
      <c r="H64" s="39"/>
      <c r="I64" s="248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 ht="15.75" customHeight="1">
      <c r="A65" s="35"/>
      <c r="B65" s="33"/>
      <c r="C65" s="33"/>
      <c r="D65" s="35"/>
      <c r="E65" s="35"/>
      <c r="F65" s="40"/>
      <c r="G65" s="33"/>
      <c r="H65" s="39"/>
      <c r="I65" s="248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</row>
    <row r="66" ht="15.75" customHeight="1">
      <c r="A66" s="35"/>
      <c r="B66" s="33"/>
      <c r="C66" s="33"/>
      <c r="D66" s="35"/>
      <c r="E66" s="35"/>
      <c r="F66" s="40"/>
      <c r="G66" s="33"/>
      <c r="H66" s="39"/>
      <c r="I66" s="248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</row>
    <row r="67" ht="15.75" customHeight="1">
      <c r="A67" s="35"/>
      <c r="B67" s="33"/>
      <c r="C67" s="33"/>
      <c r="D67" s="35"/>
      <c r="E67" s="35"/>
      <c r="F67" s="40"/>
      <c r="G67" s="33"/>
      <c r="H67" s="39"/>
      <c r="I67" s="248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</row>
    <row r="68" ht="15.75" customHeight="1">
      <c r="A68" s="35"/>
      <c r="B68" s="33"/>
      <c r="C68" s="33"/>
      <c r="D68" s="35"/>
      <c r="E68" s="35"/>
      <c r="F68" s="40"/>
      <c r="G68" s="33"/>
      <c r="H68" s="39"/>
      <c r="I68" s="248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 ht="15.75" customHeight="1">
      <c r="A69" s="35"/>
      <c r="B69" s="33"/>
      <c r="C69" s="33"/>
      <c r="D69" s="35"/>
      <c r="E69" s="35"/>
      <c r="F69" s="40"/>
      <c r="G69" s="33"/>
      <c r="H69" s="39"/>
      <c r="I69" s="248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</row>
    <row r="70" ht="15.75" customHeight="1">
      <c r="A70" s="35"/>
      <c r="B70" s="33"/>
      <c r="C70" s="33"/>
      <c r="D70" s="35"/>
      <c r="E70" s="35"/>
      <c r="F70" s="40"/>
      <c r="G70" s="33"/>
      <c r="H70" s="39"/>
      <c r="I70" s="248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 ht="15.75" customHeight="1">
      <c r="A71" s="35"/>
      <c r="B71" s="33"/>
      <c r="C71" s="33"/>
      <c r="D71" s="35"/>
      <c r="E71" s="35"/>
      <c r="F71" s="40"/>
      <c r="G71" s="33"/>
      <c r="H71" s="39"/>
      <c r="I71" s="248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 ht="15.75" customHeight="1">
      <c r="A72" s="35"/>
      <c r="B72" s="33"/>
      <c r="C72" s="33"/>
      <c r="D72" s="35"/>
      <c r="E72" s="35"/>
      <c r="F72" s="40"/>
      <c r="G72" s="33"/>
      <c r="H72" s="39"/>
      <c r="I72" s="248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 ht="15.75" customHeight="1">
      <c r="A73" s="35"/>
      <c r="B73" s="33"/>
      <c r="C73" s="33"/>
      <c r="D73" s="35"/>
      <c r="E73" s="35"/>
      <c r="F73" s="40"/>
      <c r="G73" s="33"/>
      <c r="H73" s="39"/>
      <c r="I73" s="248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 ht="15.75" customHeight="1">
      <c r="A74" s="35"/>
      <c r="B74" s="33"/>
      <c r="C74" s="33"/>
      <c r="D74" s="35"/>
      <c r="E74" s="35"/>
      <c r="F74" s="40"/>
      <c r="G74" s="33"/>
      <c r="H74" s="39"/>
      <c r="I74" s="248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 ht="15.75" customHeight="1">
      <c r="A75" s="35"/>
      <c r="B75" s="33"/>
      <c r="C75" s="33"/>
      <c r="D75" s="35"/>
      <c r="E75" s="35"/>
      <c r="F75" s="40"/>
      <c r="G75" s="33"/>
      <c r="H75" s="39"/>
      <c r="I75" s="248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 ht="15.75" customHeight="1">
      <c r="A76" s="35"/>
      <c r="B76" s="33"/>
      <c r="C76" s="33"/>
      <c r="D76" s="35"/>
      <c r="E76" s="35"/>
      <c r="F76" s="40"/>
      <c r="G76" s="33"/>
      <c r="H76" s="39"/>
      <c r="I76" s="248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 ht="15.75" customHeight="1">
      <c r="A77" s="35"/>
      <c r="B77" s="33"/>
      <c r="C77" s="33"/>
      <c r="D77" s="35"/>
      <c r="E77" s="35"/>
      <c r="F77" s="40"/>
      <c r="G77" s="33"/>
      <c r="H77" s="39"/>
      <c r="I77" s="248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 ht="15.75" customHeight="1">
      <c r="A78" s="35"/>
      <c r="B78" s="33"/>
      <c r="C78" s="33"/>
      <c r="D78" s="35"/>
      <c r="E78" s="35"/>
      <c r="F78" s="40"/>
      <c r="G78" s="33"/>
      <c r="H78" s="39"/>
      <c r="I78" s="248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 ht="15.75" customHeight="1">
      <c r="A79" s="35"/>
      <c r="B79" s="33"/>
      <c r="C79" s="33"/>
      <c r="D79" s="35"/>
      <c r="E79" s="35"/>
      <c r="F79" s="40"/>
      <c r="G79" s="33"/>
      <c r="H79" s="39"/>
      <c r="I79" s="248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 ht="15.75" customHeight="1">
      <c r="A80" s="35"/>
      <c r="B80" s="33"/>
      <c r="C80" s="33"/>
      <c r="D80" s="35"/>
      <c r="E80" s="35"/>
      <c r="F80" s="40"/>
      <c r="G80" s="33"/>
      <c r="H80" s="39"/>
      <c r="I80" s="248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 ht="15.75" customHeight="1">
      <c r="A81" s="35"/>
      <c r="B81" s="33"/>
      <c r="C81" s="33"/>
      <c r="D81" s="35"/>
      <c r="E81" s="35"/>
      <c r="F81" s="40"/>
      <c r="G81" s="33"/>
      <c r="H81" s="39"/>
      <c r="I81" s="248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 ht="15.75" customHeight="1">
      <c r="A82" s="35"/>
      <c r="B82" s="33"/>
      <c r="C82" s="33"/>
      <c r="D82" s="35"/>
      <c r="E82" s="35"/>
      <c r="F82" s="40"/>
      <c r="G82" s="33"/>
      <c r="H82" s="39"/>
      <c r="I82" s="248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</row>
    <row r="83" ht="15.75" customHeight="1">
      <c r="A83" s="35"/>
      <c r="B83" s="33"/>
      <c r="C83" s="33"/>
      <c r="D83" s="35"/>
      <c r="E83" s="35"/>
      <c r="F83" s="40"/>
      <c r="G83" s="33"/>
      <c r="H83" s="39"/>
      <c r="I83" s="248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</row>
    <row r="84" ht="15.75" customHeight="1">
      <c r="A84" s="35"/>
      <c r="B84" s="33"/>
      <c r="C84" s="33"/>
      <c r="D84" s="35"/>
      <c r="E84" s="35"/>
      <c r="F84" s="40"/>
      <c r="G84" s="33"/>
      <c r="H84" s="39"/>
      <c r="I84" s="248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</row>
    <row r="85" ht="15.75" customHeight="1">
      <c r="A85" s="35"/>
      <c r="B85" s="33"/>
      <c r="C85" s="33"/>
      <c r="D85" s="35"/>
      <c r="E85" s="35"/>
      <c r="F85" s="40"/>
      <c r="G85" s="33"/>
      <c r="H85" s="39"/>
      <c r="I85" s="248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</row>
    <row r="86" ht="15.75" customHeight="1">
      <c r="A86" s="35"/>
      <c r="B86" s="33"/>
      <c r="C86" s="33"/>
      <c r="D86" s="35"/>
      <c r="E86" s="35"/>
      <c r="F86" s="40"/>
      <c r="G86" s="33"/>
      <c r="H86" s="39"/>
      <c r="I86" s="248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 ht="15.75" customHeight="1">
      <c r="A87" s="35"/>
      <c r="B87" s="33"/>
      <c r="C87" s="33"/>
      <c r="D87" s="35"/>
      <c r="E87" s="35"/>
      <c r="F87" s="40"/>
      <c r="G87" s="33"/>
      <c r="H87" s="39"/>
      <c r="I87" s="248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 ht="15.75" customHeight="1">
      <c r="A88" s="35"/>
      <c r="B88" s="33"/>
      <c r="C88" s="33"/>
      <c r="D88" s="35"/>
      <c r="E88" s="35"/>
      <c r="F88" s="40"/>
      <c r="G88" s="33"/>
      <c r="H88" s="39"/>
      <c r="I88" s="248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 ht="15.75" customHeight="1">
      <c r="A89" s="35"/>
      <c r="B89" s="33"/>
      <c r="C89" s="33"/>
      <c r="D89" s="35"/>
      <c r="E89" s="35"/>
      <c r="F89" s="40"/>
      <c r="G89" s="33"/>
      <c r="H89" s="39"/>
      <c r="I89" s="248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</row>
    <row r="90" ht="15.75" customHeight="1">
      <c r="A90" s="35"/>
      <c r="B90" s="33"/>
      <c r="C90" s="33"/>
      <c r="D90" s="35"/>
      <c r="E90" s="35"/>
      <c r="F90" s="40"/>
      <c r="G90" s="33"/>
      <c r="H90" s="39"/>
      <c r="I90" s="248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</row>
    <row r="91" ht="15.75" customHeight="1">
      <c r="A91" s="35"/>
      <c r="B91" s="33"/>
      <c r="C91" s="33"/>
      <c r="D91" s="35"/>
      <c r="E91" s="35"/>
      <c r="F91" s="40"/>
      <c r="G91" s="33"/>
      <c r="H91" s="39"/>
      <c r="I91" s="248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</row>
    <row r="92" ht="15.75" customHeight="1">
      <c r="A92" s="35"/>
      <c r="B92" s="33"/>
      <c r="C92" s="33"/>
      <c r="D92" s="35"/>
      <c r="E92" s="35"/>
      <c r="F92" s="40"/>
      <c r="G92" s="33"/>
      <c r="H92" s="39"/>
      <c r="I92" s="248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</row>
    <row r="93" ht="15.75" customHeight="1">
      <c r="A93" s="35"/>
      <c r="B93" s="33"/>
      <c r="C93" s="33"/>
      <c r="D93" s="35"/>
      <c r="E93" s="35"/>
      <c r="F93" s="40"/>
      <c r="G93" s="33"/>
      <c r="H93" s="39"/>
      <c r="I93" s="248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</row>
    <row r="94" ht="15.75" customHeight="1">
      <c r="A94" s="35"/>
      <c r="B94" s="33"/>
      <c r="C94" s="33"/>
      <c r="D94" s="35"/>
      <c r="E94" s="35"/>
      <c r="F94" s="40"/>
      <c r="G94" s="33"/>
      <c r="H94" s="39"/>
      <c r="I94" s="248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</row>
    <row r="95" ht="15.75" customHeight="1">
      <c r="A95" s="35"/>
      <c r="B95" s="33"/>
      <c r="C95" s="33"/>
      <c r="D95" s="35"/>
      <c r="E95" s="35"/>
      <c r="F95" s="40"/>
      <c r="G95" s="33"/>
      <c r="H95" s="39"/>
      <c r="I95" s="248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</row>
    <row r="96" ht="15.75" customHeight="1">
      <c r="A96" s="35"/>
      <c r="B96" s="33"/>
      <c r="C96" s="33"/>
      <c r="D96" s="35"/>
      <c r="E96" s="35"/>
      <c r="F96" s="40"/>
      <c r="G96" s="33"/>
      <c r="H96" s="39"/>
      <c r="I96" s="248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</row>
    <row r="97" ht="15.75" customHeight="1">
      <c r="A97" s="35"/>
      <c r="B97" s="33"/>
      <c r="C97" s="33"/>
      <c r="D97" s="35"/>
      <c r="E97" s="35"/>
      <c r="F97" s="40"/>
      <c r="G97" s="33"/>
      <c r="H97" s="39"/>
      <c r="I97" s="248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</row>
    <row r="98" ht="15.75" customHeight="1">
      <c r="A98" s="35"/>
      <c r="B98" s="33"/>
      <c r="C98" s="33"/>
      <c r="D98" s="35"/>
      <c r="E98" s="35"/>
      <c r="F98" s="40"/>
      <c r="G98" s="33"/>
      <c r="H98" s="39"/>
      <c r="I98" s="248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</row>
    <row r="99" ht="15.75" customHeight="1">
      <c r="A99" s="35"/>
      <c r="B99" s="33"/>
      <c r="C99" s="33"/>
      <c r="D99" s="35"/>
      <c r="E99" s="35"/>
      <c r="F99" s="40"/>
      <c r="G99" s="33"/>
      <c r="H99" s="39"/>
      <c r="I99" s="248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</row>
    <row r="100" ht="15.75" customHeight="1">
      <c r="A100" s="35"/>
      <c r="B100" s="33"/>
      <c r="C100" s="33"/>
      <c r="D100" s="35"/>
      <c r="E100" s="35"/>
      <c r="F100" s="40"/>
      <c r="G100" s="33"/>
      <c r="H100" s="39"/>
      <c r="I100" s="248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</row>
    <row r="101" ht="15.75" customHeight="1">
      <c r="A101" s="35"/>
      <c r="B101" s="33"/>
      <c r="C101" s="33"/>
      <c r="D101" s="35"/>
      <c r="E101" s="35"/>
      <c r="F101" s="40"/>
      <c r="G101" s="33"/>
      <c r="H101" s="39"/>
      <c r="I101" s="248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</row>
    <row r="102" ht="15.75" customHeight="1">
      <c r="A102" s="35"/>
      <c r="B102" s="33"/>
      <c r="C102" s="33"/>
      <c r="D102" s="35"/>
      <c r="E102" s="35"/>
      <c r="F102" s="40"/>
      <c r="G102" s="33"/>
      <c r="H102" s="39"/>
      <c r="I102" s="248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</row>
    <row r="103" ht="15.75" customHeight="1">
      <c r="A103" s="35"/>
      <c r="B103" s="33"/>
      <c r="C103" s="33"/>
      <c r="D103" s="35"/>
      <c r="E103" s="35"/>
      <c r="F103" s="40"/>
      <c r="G103" s="33"/>
      <c r="H103" s="39"/>
      <c r="I103" s="248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</row>
    <row r="104" ht="15.75" customHeight="1">
      <c r="A104" s="35"/>
      <c r="B104" s="33"/>
      <c r="C104" s="33"/>
      <c r="D104" s="35"/>
      <c r="E104" s="35"/>
      <c r="F104" s="40"/>
      <c r="G104" s="33"/>
      <c r="H104" s="39"/>
      <c r="I104" s="248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</row>
    <row r="105" ht="15.75" customHeight="1">
      <c r="A105" s="35"/>
      <c r="B105" s="33"/>
      <c r="C105" s="33"/>
      <c r="D105" s="35"/>
      <c r="E105" s="35"/>
      <c r="F105" s="40"/>
      <c r="G105" s="33"/>
      <c r="H105" s="39"/>
      <c r="I105" s="248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</row>
    <row r="106" ht="15.75" customHeight="1">
      <c r="A106" s="35"/>
      <c r="B106" s="33"/>
      <c r="C106" s="33"/>
      <c r="D106" s="35"/>
      <c r="E106" s="35"/>
      <c r="F106" s="40"/>
      <c r="G106" s="33"/>
      <c r="H106" s="39"/>
      <c r="I106" s="248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</row>
    <row r="107" ht="15.75" customHeight="1">
      <c r="A107" s="35"/>
      <c r="B107" s="33"/>
      <c r="C107" s="33"/>
      <c r="D107" s="35"/>
      <c r="E107" s="35"/>
      <c r="F107" s="40"/>
      <c r="G107" s="33"/>
      <c r="H107" s="39"/>
      <c r="I107" s="248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</row>
    <row r="108" ht="15.75" customHeight="1">
      <c r="A108" s="35"/>
      <c r="B108" s="33"/>
      <c r="C108" s="33"/>
      <c r="D108" s="35"/>
      <c r="E108" s="35"/>
      <c r="F108" s="40"/>
      <c r="G108" s="33"/>
      <c r="H108" s="39"/>
      <c r="I108" s="248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</row>
    <row r="109" ht="15.75" customHeight="1">
      <c r="A109" s="35"/>
      <c r="B109" s="33"/>
      <c r="C109" s="33"/>
      <c r="D109" s="35"/>
      <c r="E109" s="35"/>
      <c r="F109" s="40"/>
      <c r="G109" s="33"/>
      <c r="H109" s="39"/>
      <c r="I109" s="248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</row>
    <row r="110" ht="15.75" customHeight="1">
      <c r="A110" s="35"/>
      <c r="B110" s="33"/>
      <c r="C110" s="33"/>
      <c r="D110" s="35"/>
      <c r="E110" s="35"/>
      <c r="F110" s="40"/>
      <c r="G110" s="33"/>
      <c r="H110" s="39"/>
      <c r="I110" s="248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</row>
    <row r="111" ht="15.75" customHeight="1">
      <c r="A111" s="35"/>
      <c r="B111" s="33"/>
      <c r="C111" s="33"/>
      <c r="D111" s="35"/>
      <c r="E111" s="35"/>
      <c r="F111" s="40"/>
      <c r="G111" s="33"/>
      <c r="H111" s="39"/>
      <c r="I111" s="248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</row>
    <row r="112" ht="15.75" customHeight="1">
      <c r="A112" s="35"/>
      <c r="B112" s="33"/>
      <c r="C112" s="33"/>
      <c r="D112" s="35"/>
      <c r="E112" s="35"/>
      <c r="F112" s="40"/>
      <c r="G112" s="33"/>
      <c r="H112" s="39"/>
      <c r="I112" s="248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</row>
    <row r="113" ht="15.75" customHeight="1">
      <c r="A113" s="35"/>
      <c r="B113" s="33"/>
      <c r="C113" s="33"/>
      <c r="D113" s="35"/>
      <c r="E113" s="35"/>
      <c r="F113" s="40"/>
      <c r="G113" s="33"/>
      <c r="H113" s="39"/>
      <c r="I113" s="248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</row>
    <row r="114" ht="15.75" customHeight="1">
      <c r="A114" s="35"/>
      <c r="B114" s="33"/>
      <c r="C114" s="33"/>
      <c r="D114" s="35"/>
      <c r="E114" s="35"/>
      <c r="F114" s="40"/>
      <c r="G114" s="33"/>
      <c r="H114" s="39"/>
      <c r="I114" s="248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</row>
    <row r="115" ht="15.75" customHeight="1">
      <c r="A115" s="35"/>
      <c r="B115" s="33"/>
      <c r="C115" s="33"/>
      <c r="D115" s="35"/>
      <c r="E115" s="35"/>
      <c r="F115" s="40"/>
      <c r="G115" s="33"/>
      <c r="H115" s="39"/>
      <c r="I115" s="248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</row>
    <row r="116" ht="15.75" customHeight="1">
      <c r="A116" s="35"/>
      <c r="B116" s="33"/>
      <c r="C116" s="33"/>
      <c r="D116" s="35"/>
      <c r="E116" s="35"/>
      <c r="F116" s="40"/>
      <c r="G116" s="33"/>
      <c r="H116" s="39"/>
      <c r="I116" s="248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</row>
    <row r="117" ht="15.75" customHeight="1">
      <c r="A117" s="35"/>
      <c r="B117" s="33"/>
      <c r="C117" s="33"/>
      <c r="D117" s="35"/>
      <c r="E117" s="35"/>
      <c r="F117" s="40"/>
      <c r="G117" s="33"/>
      <c r="H117" s="39"/>
      <c r="I117" s="248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</row>
    <row r="118" ht="15.75" customHeight="1">
      <c r="A118" s="35"/>
      <c r="B118" s="33"/>
      <c r="C118" s="33"/>
      <c r="D118" s="35"/>
      <c r="E118" s="35"/>
      <c r="F118" s="40"/>
      <c r="G118" s="33"/>
      <c r="H118" s="39"/>
      <c r="I118" s="248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</row>
    <row r="119" ht="15.75" customHeight="1">
      <c r="A119" s="35"/>
      <c r="B119" s="33"/>
      <c r="C119" s="33"/>
      <c r="D119" s="35"/>
      <c r="E119" s="35"/>
      <c r="F119" s="40"/>
      <c r="G119" s="33"/>
      <c r="H119" s="39"/>
      <c r="I119" s="248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</row>
    <row r="120" ht="15.75" customHeight="1">
      <c r="A120" s="35"/>
      <c r="B120" s="33"/>
      <c r="C120" s="33"/>
      <c r="D120" s="35"/>
      <c r="E120" s="35"/>
      <c r="F120" s="40"/>
      <c r="G120" s="33"/>
      <c r="H120" s="39"/>
      <c r="I120" s="248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</row>
    <row r="121" ht="15.75" customHeight="1">
      <c r="A121" s="35"/>
      <c r="B121" s="33"/>
      <c r="C121" s="33"/>
      <c r="D121" s="35"/>
      <c r="E121" s="35"/>
      <c r="F121" s="40"/>
      <c r="G121" s="33"/>
      <c r="H121" s="39"/>
      <c r="I121" s="248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</row>
    <row r="122" ht="15.75" customHeight="1">
      <c r="A122" s="35"/>
      <c r="B122" s="33"/>
      <c r="C122" s="33"/>
      <c r="D122" s="35"/>
      <c r="E122" s="35"/>
      <c r="F122" s="40"/>
      <c r="G122" s="33"/>
      <c r="H122" s="39"/>
      <c r="I122" s="248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</row>
    <row r="123" ht="15.75" customHeight="1">
      <c r="A123" s="35"/>
      <c r="B123" s="33"/>
      <c r="C123" s="33"/>
      <c r="D123" s="35"/>
      <c r="E123" s="35"/>
      <c r="F123" s="40"/>
      <c r="G123" s="33"/>
      <c r="H123" s="39"/>
      <c r="I123" s="248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</row>
    <row r="124" ht="15.75" customHeight="1">
      <c r="A124" s="35"/>
      <c r="B124" s="33"/>
      <c r="C124" s="33"/>
      <c r="D124" s="35"/>
      <c r="E124" s="35"/>
      <c r="F124" s="40"/>
      <c r="G124" s="33"/>
      <c r="H124" s="39"/>
      <c r="I124" s="248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</row>
    <row r="125" ht="15.75" customHeight="1">
      <c r="A125" s="35"/>
      <c r="B125" s="33"/>
      <c r="C125" s="33"/>
      <c r="D125" s="35"/>
      <c r="E125" s="35"/>
      <c r="F125" s="40"/>
      <c r="G125" s="33"/>
      <c r="H125" s="39"/>
      <c r="I125" s="248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</row>
    <row r="126" ht="15.75" customHeight="1">
      <c r="A126" s="35"/>
      <c r="B126" s="33"/>
      <c r="C126" s="33"/>
      <c r="D126" s="35"/>
      <c r="E126" s="35"/>
      <c r="F126" s="40"/>
      <c r="G126" s="33"/>
      <c r="H126" s="39"/>
      <c r="I126" s="248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</row>
    <row r="127" ht="15.75" customHeight="1">
      <c r="A127" s="35"/>
      <c r="B127" s="33"/>
      <c r="C127" s="33"/>
      <c r="D127" s="35"/>
      <c r="E127" s="35"/>
      <c r="F127" s="40"/>
      <c r="G127" s="33"/>
      <c r="H127" s="39"/>
      <c r="I127" s="248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</row>
    <row r="128" ht="15.75" customHeight="1">
      <c r="A128" s="35"/>
      <c r="B128" s="33"/>
      <c r="C128" s="33"/>
      <c r="D128" s="35"/>
      <c r="E128" s="35"/>
      <c r="F128" s="40"/>
      <c r="G128" s="33"/>
      <c r="H128" s="39"/>
      <c r="I128" s="248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</row>
    <row r="129" ht="15.75" customHeight="1">
      <c r="A129" s="35"/>
      <c r="B129" s="33"/>
      <c r="C129" s="33"/>
      <c r="D129" s="35"/>
      <c r="E129" s="35"/>
      <c r="F129" s="40"/>
      <c r="G129" s="33"/>
      <c r="H129" s="39"/>
      <c r="I129" s="248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</row>
    <row r="130" ht="15.75" customHeight="1">
      <c r="A130" s="35"/>
      <c r="B130" s="33"/>
      <c r="C130" s="33"/>
      <c r="D130" s="35"/>
      <c r="E130" s="35"/>
      <c r="F130" s="40"/>
      <c r="G130" s="33"/>
      <c r="H130" s="39"/>
      <c r="I130" s="248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</row>
    <row r="131" ht="15.75" customHeight="1">
      <c r="A131" s="35"/>
      <c r="B131" s="33"/>
      <c r="C131" s="33"/>
      <c r="D131" s="35"/>
      <c r="E131" s="35"/>
      <c r="F131" s="40"/>
      <c r="G131" s="33"/>
      <c r="H131" s="39"/>
      <c r="I131" s="248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</row>
    <row r="132" ht="15.75" customHeight="1">
      <c r="A132" s="35"/>
      <c r="B132" s="33"/>
      <c r="C132" s="33"/>
      <c r="D132" s="35"/>
      <c r="E132" s="35"/>
      <c r="F132" s="40"/>
      <c r="G132" s="33"/>
      <c r="H132" s="39"/>
      <c r="I132" s="248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</row>
    <row r="133" ht="15.75" customHeight="1">
      <c r="A133" s="35"/>
      <c r="B133" s="33"/>
      <c r="C133" s="33"/>
      <c r="D133" s="35"/>
      <c r="E133" s="35"/>
      <c r="F133" s="40"/>
      <c r="G133" s="33"/>
      <c r="H133" s="39"/>
      <c r="I133" s="248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</row>
    <row r="134" ht="15.75" customHeight="1">
      <c r="A134" s="35"/>
      <c r="B134" s="33"/>
      <c r="C134" s="33"/>
      <c r="D134" s="35"/>
      <c r="E134" s="35"/>
      <c r="F134" s="40"/>
      <c r="G134" s="33"/>
      <c r="H134" s="39"/>
      <c r="I134" s="248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</row>
    <row r="135" ht="15.75" customHeight="1">
      <c r="A135" s="35"/>
      <c r="B135" s="33"/>
      <c r="C135" s="33"/>
      <c r="D135" s="35"/>
      <c r="E135" s="35"/>
      <c r="F135" s="40"/>
      <c r="G135" s="33"/>
      <c r="H135" s="39"/>
      <c r="I135" s="248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</row>
    <row r="136" ht="15.75" customHeight="1">
      <c r="A136" s="35"/>
      <c r="B136" s="33"/>
      <c r="C136" s="33"/>
      <c r="D136" s="35"/>
      <c r="E136" s="35"/>
      <c r="F136" s="40"/>
      <c r="G136" s="33"/>
      <c r="H136" s="39"/>
      <c r="I136" s="248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</row>
    <row r="137" ht="15.75" customHeight="1">
      <c r="A137" s="35"/>
      <c r="B137" s="33"/>
      <c r="C137" s="33"/>
      <c r="D137" s="35"/>
      <c r="E137" s="35"/>
      <c r="F137" s="40"/>
      <c r="G137" s="33"/>
      <c r="H137" s="39"/>
      <c r="I137" s="248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</row>
    <row r="138" ht="15.75" customHeight="1">
      <c r="A138" s="35"/>
      <c r="B138" s="33"/>
      <c r="C138" s="33"/>
      <c r="D138" s="35"/>
      <c r="E138" s="35"/>
      <c r="F138" s="40"/>
      <c r="G138" s="33"/>
      <c r="H138" s="39"/>
      <c r="I138" s="248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</row>
    <row r="139" ht="15.75" customHeight="1">
      <c r="A139" s="35"/>
      <c r="B139" s="33"/>
      <c r="C139" s="33"/>
      <c r="D139" s="35"/>
      <c r="E139" s="35"/>
      <c r="F139" s="40"/>
      <c r="G139" s="33"/>
      <c r="H139" s="39"/>
      <c r="I139" s="248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</row>
    <row r="140" ht="15.75" customHeight="1">
      <c r="A140" s="35"/>
      <c r="B140" s="33"/>
      <c r="C140" s="33"/>
      <c r="D140" s="35"/>
      <c r="E140" s="35"/>
      <c r="F140" s="40"/>
      <c r="G140" s="33"/>
      <c r="H140" s="39"/>
      <c r="I140" s="248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</row>
    <row r="141" ht="15.75" customHeight="1">
      <c r="A141" s="35"/>
      <c r="B141" s="33"/>
      <c r="C141" s="33"/>
      <c r="D141" s="35"/>
      <c r="E141" s="35"/>
      <c r="F141" s="40"/>
      <c r="G141" s="33"/>
      <c r="H141" s="39"/>
      <c r="I141" s="248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</row>
    <row r="142" ht="15.75" customHeight="1">
      <c r="A142" s="35"/>
      <c r="B142" s="33"/>
      <c r="C142" s="33"/>
      <c r="D142" s="35"/>
      <c r="E142" s="35"/>
      <c r="F142" s="40"/>
      <c r="G142" s="33"/>
      <c r="H142" s="39"/>
      <c r="I142" s="248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</row>
    <row r="143" ht="15.75" customHeight="1">
      <c r="A143" s="35"/>
      <c r="B143" s="33"/>
      <c r="C143" s="33"/>
      <c r="D143" s="35"/>
      <c r="E143" s="35"/>
      <c r="F143" s="40"/>
      <c r="G143" s="33"/>
      <c r="H143" s="39"/>
      <c r="I143" s="248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</row>
    <row r="144" ht="15.75" customHeight="1">
      <c r="A144" s="35"/>
      <c r="B144" s="33"/>
      <c r="C144" s="33"/>
      <c r="D144" s="35"/>
      <c r="E144" s="35"/>
      <c r="F144" s="40"/>
      <c r="G144" s="33"/>
      <c r="H144" s="39"/>
      <c r="I144" s="248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</row>
    <row r="145" ht="15.75" customHeight="1">
      <c r="A145" s="35"/>
      <c r="B145" s="33"/>
      <c r="C145" s="33"/>
      <c r="D145" s="35"/>
      <c r="E145" s="35"/>
      <c r="F145" s="40"/>
      <c r="G145" s="33"/>
      <c r="H145" s="39"/>
      <c r="I145" s="248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</row>
    <row r="146" ht="15.75" customHeight="1">
      <c r="A146" s="35"/>
      <c r="B146" s="33"/>
      <c r="C146" s="33"/>
      <c r="D146" s="35"/>
      <c r="E146" s="35"/>
      <c r="F146" s="40"/>
      <c r="G146" s="33"/>
      <c r="H146" s="39"/>
      <c r="I146" s="248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</row>
    <row r="147" ht="15.75" customHeight="1">
      <c r="A147" s="35"/>
      <c r="B147" s="33"/>
      <c r="C147" s="33"/>
      <c r="D147" s="35"/>
      <c r="E147" s="35"/>
      <c r="F147" s="40"/>
      <c r="G147" s="33"/>
      <c r="H147" s="39"/>
      <c r="I147" s="248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</row>
    <row r="148" ht="15.75" customHeight="1">
      <c r="A148" s="35"/>
      <c r="B148" s="33"/>
      <c r="C148" s="33"/>
      <c r="D148" s="35"/>
      <c r="E148" s="35"/>
      <c r="F148" s="40"/>
      <c r="G148" s="33"/>
      <c r="H148" s="39"/>
      <c r="I148" s="248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</row>
    <row r="149" ht="15.75" customHeight="1">
      <c r="A149" s="35"/>
      <c r="B149" s="33"/>
      <c r="C149" s="33"/>
      <c r="D149" s="35"/>
      <c r="E149" s="35"/>
      <c r="F149" s="40"/>
      <c r="G149" s="33"/>
      <c r="H149" s="39"/>
      <c r="I149" s="248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</row>
    <row r="150" ht="15.75" customHeight="1">
      <c r="A150" s="35"/>
      <c r="B150" s="33"/>
      <c r="C150" s="33"/>
      <c r="D150" s="35"/>
      <c r="E150" s="35"/>
      <c r="F150" s="40"/>
      <c r="G150" s="33"/>
      <c r="H150" s="39"/>
      <c r="I150" s="248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</row>
    <row r="151" ht="15.75" customHeight="1">
      <c r="A151" s="35"/>
      <c r="B151" s="33"/>
      <c r="C151" s="33"/>
      <c r="D151" s="35"/>
      <c r="E151" s="35"/>
      <c r="F151" s="40"/>
      <c r="G151" s="33"/>
      <c r="H151" s="39"/>
      <c r="I151" s="248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</row>
    <row r="152" ht="15.75" customHeight="1">
      <c r="A152" s="35"/>
      <c r="B152" s="33"/>
      <c r="C152" s="33"/>
      <c r="D152" s="35"/>
      <c r="E152" s="35"/>
      <c r="F152" s="40"/>
      <c r="G152" s="33"/>
      <c r="H152" s="39"/>
      <c r="I152" s="248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</row>
    <row r="153" ht="15.75" customHeight="1">
      <c r="A153" s="35"/>
      <c r="B153" s="33"/>
      <c r="C153" s="33"/>
      <c r="D153" s="35"/>
      <c r="E153" s="35"/>
      <c r="F153" s="40"/>
      <c r="G153" s="33"/>
      <c r="H153" s="39"/>
      <c r="I153" s="248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</row>
    <row r="154" ht="15.75" customHeight="1">
      <c r="A154" s="35"/>
      <c r="B154" s="33"/>
      <c r="C154" s="33"/>
      <c r="D154" s="35"/>
      <c r="E154" s="35"/>
      <c r="F154" s="40"/>
      <c r="G154" s="33"/>
      <c r="H154" s="39"/>
      <c r="I154" s="248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</row>
    <row r="155" ht="15.75" customHeight="1">
      <c r="A155" s="35"/>
      <c r="B155" s="33"/>
      <c r="C155" s="33"/>
      <c r="D155" s="35"/>
      <c r="E155" s="35"/>
      <c r="F155" s="40"/>
      <c r="G155" s="33"/>
      <c r="H155" s="39"/>
      <c r="I155" s="248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</row>
    <row r="156" ht="15.75" customHeight="1">
      <c r="A156" s="35"/>
      <c r="B156" s="33"/>
      <c r="C156" s="33"/>
      <c r="D156" s="35"/>
      <c r="E156" s="35"/>
      <c r="F156" s="40"/>
      <c r="G156" s="33"/>
      <c r="H156" s="39"/>
      <c r="I156" s="248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</row>
    <row r="157" ht="15.75" customHeight="1">
      <c r="A157" s="35"/>
      <c r="B157" s="33"/>
      <c r="C157" s="33"/>
      <c r="D157" s="35"/>
      <c r="E157" s="35"/>
      <c r="F157" s="40"/>
      <c r="G157" s="33"/>
      <c r="H157" s="39"/>
      <c r="I157" s="248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</row>
    <row r="158" ht="15.75" customHeight="1">
      <c r="A158" s="35"/>
      <c r="B158" s="33"/>
      <c r="C158" s="33"/>
      <c r="D158" s="35"/>
      <c r="E158" s="35"/>
      <c r="F158" s="40"/>
      <c r="G158" s="33"/>
      <c r="H158" s="39"/>
      <c r="I158" s="248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</row>
    <row r="159" ht="15.75" customHeight="1">
      <c r="A159" s="35"/>
      <c r="B159" s="33"/>
      <c r="C159" s="33"/>
      <c r="D159" s="35"/>
      <c r="E159" s="35"/>
      <c r="F159" s="40"/>
      <c r="G159" s="33"/>
      <c r="H159" s="39"/>
      <c r="I159" s="248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</row>
    <row r="160" ht="15.75" customHeight="1">
      <c r="A160" s="35"/>
      <c r="B160" s="33"/>
      <c r="C160" s="33"/>
      <c r="D160" s="35"/>
      <c r="E160" s="35"/>
      <c r="F160" s="40"/>
      <c r="G160" s="33"/>
      <c r="H160" s="39"/>
      <c r="I160" s="248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</row>
    <row r="161" ht="15.75" customHeight="1">
      <c r="A161" s="35"/>
      <c r="B161" s="33"/>
      <c r="C161" s="33"/>
      <c r="D161" s="35"/>
      <c r="E161" s="35"/>
      <c r="F161" s="40"/>
      <c r="G161" s="33"/>
      <c r="H161" s="39"/>
      <c r="I161" s="248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</row>
    <row r="162" ht="15.75" customHeight="1">
      <c r="A162" s="35"/>
      <c r="B162" s="33"/>
      <c r="C162" s="33"/>
      <c r="D162" s="35"/>
      <c r="E162" s="35"/>
      <c r="F162" s="40"/>
      <c r="G162" s="33"/>
      <c r="H162" s="39"/>
      <c r="I162" s="248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</row>
    <row r="163" ht="15.75" customHeight="1">
      <c r="A163" s="35"/>
      <c r="B163" s="33"/>
      <c r="C163" s="33"/>
      <c r="D163" s="35"/>
      <c r="E163" s="35"/>
      <c r="F163" s="40"/>
      <c r="G163" s="33"/>
      <c r="H163" s="39"/>
      <c r="I163" s="248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</row>
    <row r="164" ht="15.75" customHeight="1">
      <c r="A164" s="35"/>
      <c r="B164" s="33"/>
      <c r="C164" s="33"/>
      <c r="D164" s="35"/>
      <c r="E164" s="35"/>
      <c r="F164" s="40"/>
      <c r="G164" s="33"/>
      <c r="H164" s="39"/>
      <c r="I164" s="248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</row>
    <row r="165" ht="15.75" customHeight="1">
      <c r="A165" s="35"/>
      <c r="B165" s="33"/>
      <c r="C165" s="33"/>
      <c r="D165" s="35"/>
      <c r="E165" s="35"/>
      <c r="F165" s="40"/>
      <c r="G165" s="33"/>
      <c r="H165" s="39"/>
      <c r="I165" s="248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</row>
    <row r="166" ht="15.75" customHeight="1">
      <c r="A166" s="35"/>
      <c r="B166" s="33"/>
      <c r="C166" s="33"/>
      <c r="D166" s="35"/>
      <c r="E166" s="35"/>
      <c r="F166" s="40"/>
      <c r="G166" s="33"/>
      <c r="H166" s="39"/>
      <c r="I166" s="248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</row>
    <row r="167" ht="15.75" customHeight="1">
      <c r="A167" s="35"/>
      <c r="B167" s="33"/>
      <c r="C167" s="33"/>
      <c r="D167" s="35"/>
      <c r="E167" s="35"/>
      <c r="F167" s="40"/>
      <c r="G167" s="33"/>
      <c r="H167" s="39"/>
      <c r="I167" s="248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</row>
    <row r="168" ht="15.75" customHeight="1">
      <c r="A168" s="35"/>
      <c r="B168" s="33"/>
      <c r="C168" s="33"/>
      <c r="D168" s="35"/>
      <c r="E168" s="35"/>
      <c r="F168" s="40"/>
      <c r="G168" s="33"/>
      <c r="H168" s="39"/>
      <c r="I168" s="248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</row>
    <row r="169" ht="15.75" customHeight="1">
      <c r="A169" s="35"/>
      <c r="B169" s="33"/>
      <c r="C169" s="33"/>
      <c r="D169" s="35"/>
      <c r="E169" s="35"/>
      <c r="F169" s="40"/>
      <c r="G169" s="33"/>
      <c r="H169" s="39"/>
      <c r="I169" s="248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</row>
    <row r="170" ht="15.75" customHeight="1">
      <c r="A170" s="35"/>
      <c r="B170" s="33"/>
      <c r="C170" s="33"/>
      <c r="D170" s="35"/>
      <c r="E170" s="35"/>
      <c r="F170" s="40"/>
      <c r="G170" s="33"/>
      <c r="H170" s="39"/>
      <c r="I170" s="248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</row>
    <row r="171" ht="15.75" customHeight="1">
      <c r="A171" s="35"/>
      <c r="B171" s="33"/>
      <c r="C171" s="33"/>
      <c r="D171" s="35"/>
      <c r="E171" s="35"/>
      <c r="F171" s="40"/>
      <c r="G171" s="33"/>
      <c r="H171" s="39"/>
      <c r="I171" s="248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</row>
    <row r="172" ht="15.75" customHeight="1">
      <c r="A172" s="35"/>
      <c r="B172" s="33"/>
      <c r="C172" s="33"/>
      <c r="D172" s="35"/>
      <c r="E172" s="35"/>
      <c r="F172" s="40"/>
      <c r="G172" s="33"/>
      <c r="H172" s="39"/>
      <c r="I172" s="248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</row>
    <row r="173" ht="15.75" customHeight="1">
      <c r="A173" s="35"/>
      <c r="B173" s="33"/>
      <c r="C173" s="33"/>
      <c r="D173" s="35"/>
      <c r="E173" s="35"/>
      <c r="F173" s="40"/>
      <c r="G173" s="33"/>
      <c r="H173" s="39"/>
      <c r="I173" s="248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</row>
    <row r="174" ht="15.75" customHeight="1">
      <c r="A174" s="35"/>
      <c r="B174" s="33"/>
      <c r="C174" s="33"/>
      <c r="D174" s="35"/>
      <c r="E174" s="35"/>
      <c r="F174" s="40"/>
      <c r="G174" s="33"/>
      <c r="H174" s="39"/>
      <c r="I174" s="248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</row>
    <row r="175" ht="15.75" customHeight="1">
      <c r="A175" s="35"/>
      <c r="B175" s="33"/>
      <c r="C175" s="33"/>
      <c r="D175" s="35"/>
      <c r="E175" s="35"/>
      <c r="F175" s="40"/>
      <c r="G175" s="33"/>
      <c r="H175" s="39"/>
      <c r="I175" s="248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</row>
    <row r="176" ht="15.75" customHeight="1">
      <c r="A176" s="35"/>
      <c r="B176" s="33"/>
      <c r="C176" s="33"/>
      <c r="D176" s="35"/>
      <c r="E176" s="35"/>
      <c r="F176" s="40"/>
      <c r="G176" s="33"/>
      <c r="H176" s="39"/>
      <c r="I176" s="248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</row>
    <row r="177" ht="15.75" customHeight="1">
      <c r="A177" s="35"/>
      <c r="B177" s="33"/>
      <c r="C177" s="33"/>
      <c r="D177" s="35"/>
      <c r="E177" s="35"/>
      <c r="F177" s="40"/>
      <c r="G177" s="33"/>
      <c r="H177" s="39"/>
      <c r="I177" s="248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</row>
    <row r="178" ht="15.75" customHeight="1">
      <c r="A178" s="35"/>
      <c r="B178" s="33"/>
      <c r="C178" s="33"/>
      <c r="D178" s="35"/>
      <c r="E178" s="35"/>
      <c r="F178" s="40"/>
      <c r="G178" s="33"/>
      <c r="H178" s="39"/>
      <c r="I178" s="248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</row>
    <row r="179" ht="15.75" customHeight="1">
      <c r="A179" s="35"/>
      <c r="B179" s="33"/>
      <c r="C179" s="33"/>
      <c r="D179" s="35"/>
      <c r="E179" s="35"/>
      <c r="F179" s="40"/>
      <c r="G179" s="33"/>
      <c r="H179" s="39"/>
      <c r="I179" s="248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</row>
    <row r="180" ht="15.75" customHeight="1">
      <c r="A180" s="35"/>
      <c r="B180" s="33"/>
      <c r="C180" s="33"/>
      <c r="D180" s="35"/>
      <c r="E180" s="35"/>
      <c r="F180" s="40"/>
      <c r="G180" s="33"/>
      <c r="H180" s="39"/>
      <c r="I180" s="248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</row>
    <row r="181" ht="15.75" customHeight="1">
      <c r="A181" s="35"/>
      <c r="B181" s="33"/>
      <c r="C181" s="33"/>
      <c r="D181" s="35"/>
      <c r="E181" s="35"/>
      <c r="F181" s="40"/>
      <c r="G181" s="33"/>
      <c r="H181" s="39"/>
      <c r="I181" s="248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</row>
    <row r="182" ht="15.75" customHeight="1">
      <c r="A182" s="35"/>
      <c r="B182" s="33"/>
      <c r="C182" s="33"/>
      <c r="D182" s="35"/>
      <c r="E182" s="35"/>
      <c r="F182" s="40"/>
      <c r="G182" s="33"/>
      <c r="H182" s="39"/>
      <c r="I182" s="248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</row>
    <row r="183" ht="15.75" customHeight="1">
      <c r="A183" s="35"/>
      <c r="B183" s="33"/>
      <c r="C183" s="33"/>
      <c r="D183" s="35"/>
      <c r="E183" s="35"/>
      <c r="F183" s="40"/>
      <c r="G183" s="33"/>
      <c r="H183" s="39"/>
      <c r="I183" s="248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</row>
    <row r="184" ht="15.75" customHeight="1">
      <c r="A184" s="35"/>
      <c r="B184" s="33"/>
      <c r="C184" s="33"/>
      <c r="D184" s="35"/>
      <c r="E184" s="35"/>
      <c r="F184" s="40"/>
      <c r="G184" s="33"/>
      <c r="H184" s="39"/>
      <c r="I184" s="248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</row>
    <row r="185" ht="15.75" customHeight="1">
      <c r="A185" s="35"/>
      <c r="B185" s="33"/>
      <c r="C185" s="33"/>
      <c r="D185" s="35"/>
      <c r="E185" s="35"/>
      <c r="F185" s="40"/>
      <c r="G185" s="33"/>
      <c r="H185" s="39"/>
      <c r="I185" s="248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</row>
    <row r="186" ht="15.75" customHeight="1">
      <c r="A186" s="35"/>
      <c r="B186" s="33"/>
      <c r="C186" s="33"/>
      <c r="D186" s="35"/>
      <c r="E186" s="35"/>
      <c r="F186" s="40"/>
      <c r="G186" s="33"/>
      <c r="H186" s="39"/>
      <c r="I186" s="248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</row>
    <row r="187" ht="15.75" customHeight="1">
      <c r="A187" s="35"/>
      <c r="B187" s="33"/>
      <c r="C187" s="33"/>
      <c r="D187" s="35"/>
      <c r="E187" s="35"/>
      <c r="F187" s="40"/>
      <c r="G187" s="33"/>
      <c r="H187" s="39"/>
      <c r="I187" s="248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</row>
    <row r="188" ht="15.75" customHeight="1">
      <c r="A188" s="35"/>
      <c r="B188" s="33"/>
      <c r="C188" s="33"/>
      <c r="D188" s="35"/>
      <c r="E188" s="35"/>
      <c r="F188" s="40"/>
      <c r="G188" s="33"/>
      <c r="H188" s="39"/>
      <c r="I188" s="248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</row>
    <row r="189" ht="15.75" customHeight="1">
      <c r="A189" s="35"/>
      <c r="B189" s="33"/>
      <c r="C189" s="33"/>
      <c r="D189" s="35"/>
      <c r="E189" s="35"/>
      <c r="F189" s="40"/>
      <c r="G189" s="33"/>
      <c r="H189" s="39"/>
      <c r="I189" s="248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</row>
    <row r="190" ht="15.75" customHeight="1">
      <c r="A190" s="35"/>
      <c r="B190" s="33"/>
      <c r="C190" s="33"/>
      <c r="D190" s="35"/>
      <c r="E190" s="35"/>
      <c r="F190" s="40"/>
      <c r="G190" s="33"/>
      <c r="H190" s="39"/>
      <c r="I190" s="248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</row>
    <row r="191" ht="15.75" customHeight="1">
      <c r="A191" s="35"/>
      <c r="B191" s="33"/>
      <c r="C191" s="33"/>
      <c r="D191" s="35"/>
      <c r="E191" s="35"/>
      <c r="F191" s="40"/>
      <c r="G191" s="33"/>
      <c r="H191" s="39"/>
      <c r="I191" s="248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</row>
    <row r="192" ht="15.75" customHeight="1">
      <c r="A192" s="35"/>
      <c r="B192" s="33"/>
      <c r="C192" s="33"/>
      <c r="D192" s="35"/>
      <c r="E192" s="35"/>
      <c r="F192" s="40"/>
      <c r="G192" s="33"/>
      <c r="H192" s="39"/>
      <c r="I192" s="248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</row>
    <row r="193" ht="15.75" customHeight="1">
      <c r="A193" s="35"/>
      <c r="B193" s="33"/>
      <c r="C193" s="33"/>
      <c r="D193" s="35"/>
      <c r="E193" s="35"/>
      <c r="F193" s="40"/>
      <c r="G193" s="33"/>
      <c r="H193" s="39"/>
      <c r="I193" s="248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</row>
    <row r="194" ht="15.75" customHeight="1">
      <c r="A194" s="35"/>
      <c r="B194" s="33"/>
      <c r="C194" s="33"/>
      <c r="D194" s="35"/>
      <c r="E194" s="35"/>
      <c r="F194" s="40"/>
      <c r="G194" s="33"/>
      <c r="H194" s="39"/>
      <c r="I194" s="248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</row>
    <row r="195" ht="15.75" customHeight="1">
      <c r="A195" s="35"/>
      <c r="B195" s="33"/>
      <c r="C195" s="33"/>
      <c r="D195" s="35"/>
      <c r="E195" s="35"/>
      <c r="F195" s="40"/>
      <c r="G195" s="33"/>
      <c r="H195" s="39"/>
      <c r="I195" s="248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</row>
    <row r="196" ht="15.75" customHeight="1">
      <c r="A196" s="35"/>
      <c r="B196" s="33"/>
      <c r="C196" s="33"/>
      <c r="D196" s="35"/>
      <c r="E196" s="35"/>
      <c r="F196" s="40"/>
      <c r="G196" s="33"/>
      <c r="H196" s="39"/>
      <c r="I196" s="248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</row>
    <row r="197" ht="15.75" customHeight="1">
      <c r="A197" s="35"/>
      <c r="B197" s="33"/>
      <c r="C197" s="33"/>
      <c r="D197" s="35"/>
      <c r="E197" s="35"/>
      <c r="F197" s="40"/>
      <c r="G197" s="33"/>
      <c r="H197" s="39"/>
      <c r="I197" s="248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</row>
    <row r="198" ht="15.75" customHeight="1">
      <c r="A198" s="35"/>
      <c r="B198" s="33"/>
      <c r="C198" s="33"/>
      <c r="D198" s="35"/>
      <c r="E198" s="35"/>
      <c r="F198" s="40"/>
      <c r="G198" s="33"/>
      <c r="H198" s="39"/>
      <c r="I198" s="248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</row>
    <row r="199" ht="15.75" customHeight="1">
      <c r="A199" s="35"/>
      <c r="B199" s="33"/>
      <c r="C199" s="33"/>
      <c r="D199" s="35"/>
      <c r="E199" s="35"/>
      <c r="F199" s="40"/>
      <c r="G199" s="33"/>
      <c r="H199" s="39"/>
      <c r="I199" s="248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</row>
    <row r="200" ht="15.75" customHeight="1">
      <c r="A200" s="35"/>
      <c r="B200" s="33"/>
      <c r="C200" s="33"/>
      <c r="D200" s="35"/>
      <c r="E200" s="35"/>
      <c r="F200" s="40"/>
      <c r="G200" s="33"/>
      <c r="H200" s="39"/>
      <c r="I200" s="248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</row>
    <row r="201" ht="15.75" customHeight="1">
      <c r="A201" s="35"/>
      <c r="B201" s="33"/>
      <c r="C201" s="33"/>
      <c r="D201" s="35"/>
      <c r="E201" s="35"/>
      <c r="F201" s="40"/>
      <c r="G201" s="33"/>
      <c r="H201" s="39"/>
      <c r="I201" s="248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</row>
    <row r="202" ht="15.75" customHeight="1">
      <c r="A202" s="35"/>
      <c r="B202" s="33"/>
      <c r="C202" s="33"/>
      <c r="D202" s="35"/>
      <c r="E202" s="35"/>
      <c r="F202" s="40"/>
      <c r="G202" s="33"/>
      <c r="H202" s="39"/>
      <c r="I202" s="248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</row>
    <row r="203" ht="15.75" customHeight="1">
      <c r="A203" s="35"/>
      <c r="B203" s="33"/>
      <c r="C203" s="33"/>
      <c r="D203" s="35"/>
      <c r="E203" s="35"/>
      <c r="F203" s="40"/>
      <c r="G203" s="33"/>
      <c r="H203" s="39"/>
      <c r="I203" s="248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</row>
    <row r="204" ht="15.75" customHeight="1">
      <c r="A204" s="35"/>
      <c r="B204" s="33"/>
      <c r="C204" s="33"/>
      <c r="D204" s="35"/>
      <c r="E204" s="35"/>
      <c r="F204" s="40"/>
      <c r="G204" s="33"/>
      <c r="H204" s="39"/>
      <c r="I204" s="248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</row>
    <row r="205" ht="15.75" customHeight="1">
      <c r="A205" s="35"/>
      <c r="B205" s="33"/>
      <c r="C205" s="33"/>
      <c r="D205" s="35"/>
      <c r="E205" s="35"/>
      <c r="F205" s="40"/>
      <c r="G205" s="33"/>
      <c r="H205" s="39"/>
      <c r="I205" s="248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</row>
    <row r="206" ht="15.75" customHeight="1">
      <c r="A206" s="35"/>
      <c r="B206" s="33"/>
      <c r="C206" s="33"/>
      <c r="D206" s="35"/>
      <c r="E206" s="35"/>
      <c r="F206" s="40"/>
      <c r="G206" s="33"/>
      <c r="H206" s="39"/>
      <c r="I206" s="248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</row>
    <row r="207" ht="15.75" customHeight="1">
      <c r="A207" s="35"/>
      <c r="B207" s="33"/>
      <c r="C207" s="33"/>
      <c r="D207" s="35"/>
      <c r="E207" s="35"/>
      <c r="F207" s="40"/>
      <c r="G207" s="33"/>
      <c r="H207" s="39"/>
      <c r="I207" s="248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</row>
    <row r="208" ht="15.75" customHeight="1">
      <c r="A208" s="35"/>
      <c r="B208" s="33"/>
      <c r="C208" s="33"/>
      <c r="D208" s="35"/>
      <c r="E208" s="35"/>
      <c r="F208" s="40"/>
      <c r="G208" s="33"/>
      <c r="H208" s="39"/>
      <c r="I208" s="248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</row>
    <row r="209" ht="15.75" customHeight="1">
      <c r="A209" s="35"/>
      <c r="B209" s="33"/>
      <c r="C209" s="33"/>
      <c r="D209" s="35"/>
      <c r="E209" s="35"/>
      <c r="F209" s="40"/>
      <c r="G209" s="33"/>
      <c r="H209" s="39"/>
      <c r="I209" s="248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</row>
    <row r="210" ht="15.75" customHeight="1">
      <c r="A210" s="35"/>
      <c r="B210" s="33"/>
      <c r="C210" s="33"/>
      <c r="D210" s="35"/>
      <c r="E210" s="35"/>
      <c r="F210" s="40"/>
      <c r="G210" s="33"/>
      <c r="H210" s="39"/>
      <c r="I210" s="248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</row>
    <row r="211" ht="15.75" customHeight="1">
      <c r="A211" s="35"/>
      <c r="B211" s="33"/>
      <c r="C211" s="33"/>
      <c r="D211" s="35"/>
      <c r="E211" s="35"/>
      <c r="F211" s="40"/>
      <c r="G211" s="33"/>
      <c r="H211" s="39"/>
      <c r="I211" s="248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</row>
    <row r="212" ht="15.75" customHeight="1">
      <c r="A212" s="35"/>
      <c r="B212" s="33"/>
      <c r="C212" s="33"/>
      <c r="D212" s="35"/>
      <c r="E212" s="35"/>
      <c r="F212" s="40"/>
      <c r="G212" s="33"/>
      <c r="H212" s="39"/>
      <c r="I212" s="248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</row>
    <row r="213" ht="15.75" customHeight="1">
      <c r="A213" s="35"/>
      <c r="B213" s="33"/>
      <c r="C213" s="33"/>
      <c r="D213" s="35"/>
      <c r="E213" s="35"/>
      <c r="F213" s="40"/>
      <c r="G213" s="33"/>
      <c r="H213" s="39"/>
      <c r="I213" s="248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</row>
    <row r="214" ht="15.75" customHeight="1">
      <c r="A214" s="35"/>
      <c r="B214" s="33"/>
      <c r="C214" s="33"/>
      <c r="D214" s="35"/>
      <c r="E214" s="35"/>
      <c r="F214" s="40"/>
      <c r="G214" s="33"/>
      <c r="H214" s="39"/>
      <c r="I214" s="248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</row>
    <row r="215" ht="15.75" customHeight="1">
      <c r="A215" s="35"/>
      <c r="B215" s="33"/>
      <c r="C215" s="33"/>
      <c r="D215" s="35"/>
      <c r="E215" s="35"/>
      <c r="F215" s="40"/>
      <c r="G215" s="33"/>
      <c r="H215" s="39"/>
      <c r="I215" s="248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</row>
    <row r="216" ht="15.75" customHeight="1">
      <c r="A216" s="35"/>
      <c r="B216" s="33"/>
      <c r="C216" s="33"/>
      <c r="D216" s="35"/>
      <c r="E216" s="35"/>
      <c r="F216" s="40"/>
      <c r="G216" s="33"/>
      <c r="H216" s="39"/>
      <c r="I216" s="248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</row>
    <row r="217" ht="15.75" customHeight="1">
      <c r="A217" s="35"/>
      <c r="B217" s="33"/>
      <c r="C217" s="33"/>
      <c r="D217" s="35"/>
      <c r="E217" s="35"/>
      <c r="F217" s="40"/>
      <c r="G217" s="33"/>
      <c r="H217" s="39"/>
      <c r="I217" s="248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</row>
    <row r="218" ht="15.75" customHeight="1">
      <c r="A218" s="35"/>
      <c r="B218" s="33"/>
      <c r="C218" s="33"/>
      <c r="D218" s="35"/>
      <c r="E218" s="35"/>
      <c r="F218" s="40"/>
      <c r="G218" s="33"/>
      <c r="H218" s="39"/>
      <c r="I218" s="248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</row>
    <row r="219" ht="15.75" customHeight="1">
      <c r="A219" s="35"/>
      <c r="B219" s="33"/>
      <c r="C219" s="33"/>
      <c r="D219" s="35"/>
      <c r="E219" s="35"/>
      <c r="F219" s="40"/>
      <c r="G219" s="33"/>
      <c r="H219" s="39"/>
      <c r="I219" s="248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</row>
    <row r="220" ht="15.75" customHeight="1">
      <c r="A220" s="35"/>
      <c r="B220" s="33"/>
      <c r="C220" s="33"/>
      <c r="D220" s="35"/>
      <c r="E220" s="35"/>
      <c r="F220" s="40"/>
      <c r="G220" s="33"/>
      <c r="H220" s="39"/>
      <c r="I220" s="248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</row>
    <row r="221" ht="15.75" customHeight="1">
      <c r="A221" s="35"/>
      <c r="B221" s="33"/>
      <c r="C221" s="33"/>
      <c r="D221" s="35"/>
      <c r="E221" s="35"/>
      <c r="F221" s="40"/>
      <c r="G221" s="33"/>
      <c r="H221" s="39"/>
      <c r="I221" s="248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</row>
    <row r="222" ht="15.75" customHeight="1">
      <c r="A222" s="35"/>
      <c r="B222" s="33"/>
      <c r="C222" s="33"/>
      <c r="D222" s="35"/>
      <c r="E222" s="35"/>
      <c r="F222" s="40"/>
      <c r="G222" s="33"/>
      <c r="H222" s="39"/>
      <c r="I222" s="248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</row>
    <row r="223" ht="15.75" customHeight="1">
      <c r="A223" s="35"/>
      <c r="B223" s="33"/>
      <c r="C223" s="33"/>
      <c r="D223" s="35"/>
      <c r="E223" s="35"/>
      <c r="F223" s="40"/>
      <c r="G223" s="33"/>
      <c r="H223" s="39"/>
      <c r="I223" s="248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</row>
    <row r="224" ht="15.75" customHeight="1">
      <c r="A224" s="35"/>
      <c r="B224" s="33"/>
      <c r="C224" s="33"/>
      <c r="D224" s="35"/>
      <c r="E224" s="35"/>
      <c r="F224" s="40"/>
      <c r="G224" s="33"/>
      <c r="H224" s="39"/>
      <c r="I224" s="248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</row>
    <row r="225" ht="15.75" customHeight="1">
      <c r="A225" s="35"/>
      <c r="B225" s="33"/>
      <c r="C225" s="33"/>
      <c r="D225" s="35"/>
      <c r="E225" s="35"/>
      <c r="F225" s="40"/>
      <c r="G225" s="33"/>
      <c r="H225" s="39"/>
      <c r="I225" s="248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</row>
    <row r="226" ht="15.75" customHeight="1">
      <c r="A226" s="35"/>
      <c r="B226" s="33"/>
      <c r="C226" s="33"/>
      <c r="D226" s="35"/>
      <c r="E226" s="35"/>
      <c r="F226" s="40"/>
      <c r="G226" s="33"/>
      <c r="H226" s="39"/>
      <c r="I226" s="248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</row>
    <row r="227" ht="15.75" customHeight="1">
      <c r="A227" s="35"/>
      <c r="B227" s="33"/>
      <c r="C227" s="33"/>
      <c r="D227" s="35"/>
      <c r="E227" s="35"/>
      <c r="F227" s="40"/>
      <c r="G227" s="33"/>
      <c r="H227" s="39"/>
      <c r="I227" s="248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</row>
    <row r="228" ht="15.75" customHeight="1">
      <c r="A228" s="35"/>
      <c r="B228" s="33"/>
      <c r="C228" s="33"/>
      <c r="D228" s="35"/>
      <c r="E228" s="35"/>
      <c r="F228" s="40"/>
      <c r="G228" s="33"/>
      <c r="H228" s="39"/>
      <c r="I228" s="248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</row>
    <row r="229" ht="15.75" customHeight="1">
      <c r="A229" s="35"/>
      <c r="B229" s="33"/>
      <c r="C229" s="33"/>
      <c r="D229" s="35"/>
      <c r="E229" s="35"/>
      <c r="F229" s="40"/>
      <c r="G229" s="33"/>
      <c r="H229" s="39"/>
      <c r="I229" s="248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</row>
    <row r="230" ht="15.75" customHeight="1">
      <c r="A230" s="35"/>
      <c r="B230" s="33"/>
      <c r="C230" s="33"/>
      <c r="D230" s="35"/>
      <c r="E230" s="35"/>
      <c r="F230" s="40"/>
      <c r="G230" s="33"/>
      <c r="H230" s="39"/>
      <c r="I230" s="248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</row>
    <row r="231" ht="15.75" customHeight="1">
      <c r="A231" s="35"/>
      <c r="B231" s="33"/>
      <c r="C231" s="33"/>
      <c r="D231" s="35"/>
      <c r="E231" s="35"/>
      <c r="F231" s="40"/>
      <c r="G231" s="33"/>
      <c r="H231" s="39"/>
      <c r="I231" s="248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</row>
    <row r="232" ht="15.75" customHeight="1">
      <c r="A232" s="35"/>
      <c r="B232" s="33"/>
      <c r="C232" s="33"/>
      <c r="D232" s="35"/>
      <c r="E232" s="35"/>
      <c r="F232" s="40"/>
      <c r="G232" s="33"/>
      <c r="H232" s="39"/>
      <c r="I232" s="248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</row>
    <row r="233" ht="15.75" customHeight="1">
      <c r="A233" s="35"/>
      <c r="B233" s="33"/>
      <c r="C233" s="33"/>
      <c r="D233" s="35"/>
      <c r="E233" s="35"/>
      <c r="F233" s="40"/>
      <c r="G233" s="33"/>
      <c r="H233" s="39"/>
      <c r="I233" s="248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</row>
    <row r="234" ht="15.75" customHeight="1">
      <c r="A234" s="35"/>
      <c r="B234" s="33"/>
      <c r="C234" s="33"/>
      <c r="D234" s="35"/>
      <c r="E234" s="35"/>
      <c r="F234" s="40"/>
      <c r="G234" s="33"/>
      <c r="H234" s="39"/>
      <c r="I234" s="248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</row>
    <row r="235" ht="15.75" customHeight="1">
      <c r="A235" s="35"/>
      <c r="B235" s="33"/>
      <c r="C235" s="33"/>
      <c r="D235" s="35"/>
      <c r="E235" s="35"/>
      <c r="F235" s="40"/>
      <c r="G235" s="33"/>
      <c r="H235" s="39"/>
      <c r="I235" s="248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</row>
    <row r="236" ht="15.75" customHeight="1">
      <c r="A236" s="35"/>
      <c r="B236" s="33"/>
      <c r="C236" s="33"/>
      <c r="D236" s="35"/>
      <c r="E236" s="35"/>
      <c r="F236" s="40"/>
      <c r="G236" s="33"/>
      <c r="H236" s="39"/>
      <c r="I236" s="248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</row>
    <row r="237" ht="15.75" customHeight="1">
      <c r="A237" s="35"/>
      <c r="B237" s="33"/>
      <c r="C237" s="33"/>
      <c r="D237" s="35"/>
      <c r="E237" s="35"/>
      <c r="F237" s="40"/>
      <c r="G237" s="33"/>
      <c r="H237" s="39"/>
      <c r="I237" s="248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</row>
    <row r="238" ht="15.75" customHeight="1">
      <c r="A238" s="35"/>
      <c r="B238" s="33"/>
      <c r="C238" s="33"/>
      <c r="D238" s="35"/>
      <c r="E238" s="35"/>
      <c r="F238" s="40"/>
      <c r="G238" s="33"/>
      <c r="H238" s="39"/>
      <c r="I238" s="248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</row>
    <row r="239" ht="15.75" customHeight="1">
      <c r="A239" s="35"/>
      <c r="B239" s="33"/>
      <c r="C239" s="33"/>
      <c r="D239" s="35"/>
      <c r="E239" s="35"/>
      <c r="F239" s="40"/>
      <c r="G239" s="33"/>
      <c r="H239" s="39"/>
      <c r="I239" s="248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</row>
    <row r="240" ht="15.75" customHeight="1">
      <c r="A240" s="35"/>
      <c r="B240" s="33"/>
      <c r="C240" s="33"/>
      <c r="D240" s="35"/>
      <c r="E240" s="35"/>
      <c r="F240" s="40"/>
      <c r="G240" s="33"/>
      <c r="H240" s="39"/>
      <c r="I240" s="248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</row>
    <row r="241" ht="15.75" customHeight="1">
      <c r="A241" s="35"/>
      <c r="B241" s="33"/>
      <c r="C241" s="33"/>
      <c r="D241" s="35"/>
      <c r="E241" s="35"/>
      <c r="F241" s="40"/>
      <c r="G241" s="33"/>
      <c r="H241" s="39"/>
      <c r="I241" s="248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</row>
    <row r="242" ht="15.75" customHeight="1">
      <c r="A242" s="35"/>
      <c r="B242" s="33"/>
      <c r="C242" s="33"/>
      <c r="D242" s="35"/>
      <c r="E242" s="35"/>
      <c r="F242" s="40"/>
      <c r="G242" s="33"/>
      <c r="H242" s="39"/>
      <c r="I242" s="248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</row>
    <row r="243" ht="15.75" customHeight="1">
      <c r="A243" s="35"/>
      <c r="B243" s="33"/>
      <c r="C243" s="33"/>
      <c r="D243" s="35"/>
      <c r="E243" s="35"/>
      <c r="F243" s="40"/>
      <c r="G243" s="33"/>
      <c r="H243" s="39"/>
      <c r="I243" s="248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</row>
    <row r="244" ht="15.75" customHeight="1">
      <c r="A244" s="35"/>
      <c r="B244" s="33"/>
      <c r="C244" s="33"/>
      <c r="D244" s="35"/>
      <c r="E244" s="35"/>
      <c r="F244" s="40"/>
      <c r="G244" s="33"/>
      <c r="H244" s="39"/>
      <c r="I244" s="248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</row>
    <row r="245" ht="15.75" customHeight="1">
      <c r="A245" s="35"/>
      <c r="B245" s="33"/>
      <c r="C245" s="33"/>
      <c r="D245" s="35"/>
      <c r="E245" s="35"/>
      <c r="F245" s="40"/>
      <c r="G245" s="33"/>
      <c r="H245" s="39"/>
      <c r="I245" s="248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</row>
    <row r="246" ht="15.75" customHeight="1">
      <c r="A246" s="35"/>
      <c r="B246" s="33"/>
      <c r="C246" s="33"/>
      <c r="D246" s="35"/>
      <c r="E246" s="35"/>
      <c r="F246" s="40"/>
      <c r="G246" s="33"/>
      <c r="H246" s="39"/>
      <c r="I246" s="248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</row>
    <row r="247" ht="15.75" customHeight="1">
      <c r="A247" s="35"/>
      <c r="B247" s="33"/>
      <c r="C247" s="33"/>
      <c r="D247" s="35"/>
      <c r="E247" s="35"/>
      <c r="F247" s="40"/>
      <c r="G247" s="33"/>
      <c r="H247" s="39"/>
      <c r="I247" s="248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</row>
    <row r="248" ht="15.75" customHeight="1">
      <c r="A248" s="35"/>
      <c r="B248" s="33"/>
      <c r="C248" s="33"/>
      <c r="D248" s="35"/>
      <c r="E248" s="35"/>
      <c r="F248" s="40"/>
      <c r="G248" s="33"/>
      <c r="H248" s="39"/>
      <c r="I248" s="248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</row>
    <row r="249" ht="15.75" customHeight="1">
      <c r="A249" s="35"/>
      <c r="B249" s="33"/>
      <c r="C249" s="33"/>
      <c r="D249" s="35"/>
      <c r="E249" s="35"/>
      <c r="F249" s="40"/>
      <c r="G249" s="33"/>
      <c r="H249" s="39"/>
      <c r="I249" s="248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</row>
    <row r="250" ht="15.75" customHeight="1">
      <c r="A250" s="35"/>
      <c r="B250" s="33"/>
      <c r="C250" s="33"/>
      <c r="D250" s="35"/>
      <c r="E250" s="35"/>
      <c r="F250" s="40"/>
      <c r="G250" s="33"/>
      <c r="H250" s="39"/>
      <c r="I250" s="248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</row>
    <row r="251" ht="15.75" customHeight="1">
      <c r="A251" s="35"/>
      <c r="B251" s="33"/>
      <c r="C251" s="33"/>
      <c r="D251" s="35"/>
      <c r="E251" s="35"/>
      <c r="F251" s="40"/>
      <c r="G251" s="33"/>
      <c r="H251" s="39"/>
      <c r="I251" s="248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</row>
    <row r="252" ht="15.75" customHeight="1">
      <c r="A252" s="35"/>
      <c r="B252" s="33"/>
      <c r="C252" s="33"/>
      <c r="D252" s="35"/>
      <c r="E252" s="35"/>
      <c r="F252" s="40"/>
      <c r="G252" s="33"/>
      <c r="H252" s="39"/>
      <c r="I252" s="248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</row>
    <row r="253" ht="15.75" customHeight="1">
      <c r="A253" s="35"/>
      <c r="B253" s="33"/>
      <c r="C253" s="33"/>
      <c r="D253" s="35"/>
      <c r="E253" s="35"/>
      <c r="F253" s="40"/>
      <c r="G253" s="33"/>
      <c r="H253" s="39"/>
      <c r="I253" s="248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</row>
    <row r="254" ht="15.75" customHeight="1">
      <c r="A254" s="35"/>
      <c r="B254" s="33"/>
      <c r="C254" s="33"/>
      <c r="D254" s="35"/>
      <c r="E254" s="35"/>
      <c r="F254" s="40"/>
      <c r="G254" s="33"/>
      <c r="H254" s="39"/>
      <c r="I254" s="248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</row>
    <row r="255" ht="15.75" customHeight="1">
      <c r="A255" s="35"/>
      <c r="B255" s="33"/>
      <c r="C255" s="33"/>
      <c r="D255" s="35"/>
      <c r="E255" s="35"/>
      <c r="F255" s="40"/>
      <c r="G255" s="33"/>
      <c r="H255" s="39"/>
      <c r="I255" s="248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</row>
    <row r="256" ht="15.75" customHeight="1">
      <c r="A256" s="35"/>
      <c r="B256" s="33"/>
      <c r="C256" s="33"/>
      <c r="D256" s="35"/>
      <c r="E256" s="35"/>
      <c r="F256" s="40"/>
      <c r="G256" s="33"/>
      <c r="H256" s="39"/>
      <c r="I256" s="248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</row>
    <row r="257" ht="15.75" customHeight="1">
      <c r="A257" s="35"/>
      <c r="B257" s="33"/>
      <c r="C257" s="33"/>
      <c r="D257" s="35"/>
      <c r="E257" s="35"/>
      <c r="F257" s="40"/>
      <c r="G257" s="33"/>
      <c r="H257" s="39"/>
      <c r="I257" s="248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</row>
    <row r="258" ht="15.75" customHeight="1">
      <c r="A258" s="35"/>
      <c r="B258" s="33"/>
      <c r="C258" s="33"/>
      <c r="D258" s="35"/>
      <c r="E258" s="35"/>
      <c r="F258" s="40"/>
      <c r="G258" s="33"/>
      <c r="H258" s="39"/>
      <c r="I258" s="248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</row>
    <row r="259" ht="15.75" customHeight="1">
      <c r="A259" s="35"/>
      <c r="B259" s="33"/>
      <c r="C259" s="33"/>
      <c r="D259" s="35"/>
      <c r="E259" s="35"/>
      <c r="F259" s="40"/>
      <c r="G259" s="33"/>
      <c r="H259" s="39"/>
      <c r="I259" s="248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</row>
    <row r="260" ht="15.75" customHeight="1">
      <c r="A260" s="35"/>
      <c r="B260" s="33"/>
      <c r="C260" s="33"/>
      <c r="D260" s="35"/>
      <c r="E260" s="35"/>
      <c r="F260" s="40"/>
      <c r="G260" s="33"/>
      <c r="H260" s="39"/>
      <c r="I260" s="248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</row>
    <row r="261" ht="15.75" customHeight="1">
      <c r="A261" s="35"/>
      <c r="B261" s="33"/>
      <c r="C261" s="33"/>
      <c r="D261" s="35"/>
      <c r="E261" s="35"/>
      <c r="F261" s="40"/>
      <c r="G261" s="33"/>
      <c r="H261" s="39"/>
      <c r="I261" s="248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</row>
    <row r="262" ht="15.75" customHeight="1">
      <c r="A262" s="35"/>
      <c r="B262" s="33"/>
      <c r="C262" s="33"/>
      <c r="D262" s="35"/>
      <c r="E262" s="35"/>
      <c r="F262" s="40"/>
      <c r="G262" s="33"/>
      <c r="H262" s="39"/>
      <c r="I262" s="248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</row>
    <row r="263" ht="15.75" customHeight="1">
      <c r="A263" s="35"/>
      <c r="B263" s="33"/>
      <c r="C263" s="33"/>
      <c r="D263" s="35"/>
      <c r="E263" s="35"/>
      <c r="F263" s="40"/>
      <c r="G263" s="33"/>
      <c r="H263" s="39"/>
      <c r="I263" s="248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</row>
    <row r="264" ht="15.75" customHeight="1">
      <c r="A264" s="35"/>
      <c r="B264" s="33"/>
      <c r="C264" s="33"/>
      <c r="D264" s="35"/>
      <c r="E264" s="35"/>
      <c r="F264" s="40"/>
      <c r="G264" s="33"/>
      <c r="H264" s="39"/>
      <c r="I264" s="248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</row>
    <row r="265" ht="15.75" customHeight="1">
      <c r="A265" s="35"/>
      <c r="B265" s="33"/>
      <c r="C265" s="33"/>
      <c r="D265" s="35"/>
      <c r="E265" s="35"/>
      <c r="F265" s="40"/>
      <c r="G265" s="33"/>
      <c r="H265" s="39"/>
      <c r="I265" s="248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</row>
    <row r="266" ht="15.75" customHeight="1">
      <c r="A266" s="35"/>
      <c r="B266" s="33"/>
      <c r="C266" s="33"/>
      <c r="D266" s="35"/>
      <c r="E266" s="35"/>
      <c r="F266" s="40"/>
      <c r="G266" s="33"/>
      <c r="H266" s="39"/>
      <c r="I266" s="248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</row>
    <row r="267" ht="15.75" customHeight="1">
      <c r="A267" s="35"/>
      <c r="B267" s="33"/>
      <c r="C267" s="33"/>
      <c r="D267" s="35"/>
      <c r="E267" s="35"/>
      <c r="F267" s="40"/>
      <c r="G267" s="33"/>
      <c r="H267" s="39"/>
      <c r="I267" s="248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</row>
    <row r="268" ht="15.75" customHeight="1">
      <c r="A268" s="35"/>
      <c r="B268" s="33"/>
      <c r="C268" s="33"/>
      <c r="D268" s="35"/>
      <c r="E268" s="35"/>
      <c r="F268" s="40"/>
      <c r="G268" s="33"/>
      <c r="H268" s="39"/>
      <c r="I268" s="248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</row>
    <row r="269" ht="15.75" customHeight="1">
      <c r="A269" s="35"/>
      <c r="B269" s="33"/>
      <c r="C269" s="33"/>
      <c r="D269" s="35"/>
      <c r="E269" s="35"/>
      <c r="F269" s="40"/>
      <c r="G269" s="33"/>
      <c r="H269" s="39"/>
      <c r="I269" s="248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</row>
    <row r="270" ht="15.75" customHeight="1">
      <c r="A270" s="35"/>
      <c r="B270" s="33"/>
      <c r="C270" s="33"/>
      <c r="D270" s="35"/>
      <c r="E270" s="35"/>
      <c r="F270" s="40"/>
      <c r="G270" s="33"/>
      <c r="H270" s="39"/>
      <c r="I270" s="248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</row>
    <row r="271" ht="15.75" customHeight="1">
      <c r="A271" s="35"/>
      <c r="B271" s="33"/>
      <c r="C271" s="33"/>
      <c r="D271" s="35"/>
      <c r="E271" s="35"/>
      <c r="F271" s="40"/>
      <c r="G271" s="33"/>
      <c r="H271" s="39"/>
      <c r="I271" s="248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</row>
    <row r="272" ht="15.75" customHeight="1">
      <c r="A272" s="35"/>
      <c r="B272" s="33"/>
      <c r="C272" s="33"/>
      <c r="D272" s="35"/>
      <c r="E272" s="35"/>
      <c r="F272" s="40"/>
      <c r="G272" s="33"/>
      <c r="H272" s="39"/>
      <c r="I272" s="248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</row>
    <row r="273" ht="15.75" customHeight="1">
      <c r="A273" s="35"/>
      <c r="B273" s="33"/>
      <c r="C273" s="33"/>
      <c r="D273" s="35"/>
      <c r="E273" s="35"/>
      <c r="F273" s="40"/>
      <c r="G273" s="33"/>
      <c r="H273" s="39"/>
      <c r="I273" s="248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</row>
    <row r="274" ht="15.75" customHeight="1">
      <c r="A274" s="35"/>
      <c r="B274" s="33"/>
      <c r="C274" s="33"/>
      <c r="D274" s="35"/>
      <c r="E274" s="35"/>
      <c r="F274" s="40"/>
      <c r="G274" s="33"/>
      <c r="H274" s="39"/>
      <c r="I274" s="248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</row>
    <row r="275" ht="15.75" customHeight="1">
      <c r="A275" s="35"/>
      <c r="B275" s="33"/>
      <c r="C275" s="33"/>
      <c r="D275" s="35"/>
      <c r="E275" s="35"/>
      <c r="F275" s="40"/>
      <c r="G275" s="33"/>
      <c r="H275" s="39"/>
      <c r="I275" s="248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</row>
    <row r="276" ht="15.75" customHeight="1">
      <c r="A276" s="35"/>
      <c r="B276" s="33"/>
      <c r="C276" s="33"/>
      <c r="D276" s="35"/>
      <c r="E276" s="35"/>
      <c r="F276" s="40"/>
      <c r="G276" s="33"/>
      <c r="H276" s="39"/>
      <c r="I276" s="248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</row>
    <row r="277" ht="15.75" customHeight="1">
      <c r="A277" s="35"/>
      <c r="B277" s="33"/>
      <c r="C277" s="33"/>
      <c r="D277" s="35"/>
      <c r="E277" s="35"/>
      <c r="F277" s="40"/>
      <c r="G277" s="33"/>
      <c r="H277" s="39"/>
      <c r="I277" s="248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</row>
    <row r="278" ht="15.75" customHeight="1">
      <c r="A278" s="35"/>
      <c r="B278" s="33"/>
      <c r="C278" s="33"/>
      <c r="D278" s="35"/>
      <c r="E278" s="35"/>
      <c r="F278" s="40"/>
      <c r="G278" s="33"/>
      <c r="H278" s="39"/>
      <c r="I278" s="248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</row>
    <row r="279" ht="15.75" customHeight="1">
      <c r="A279" s="35"/>
      <c r="B279" s="33"/>
      <c r="C279" s="33"/>
      <c r="D279" s="35"/>
      <c r="E279" s="35"/>
      <c r="F279" s="40"/>
      <c r="G279" s="33"/>
      <c r="H279" s="39"/>
      <c r="I279" s="248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</row>
    <row r="280" ht="15.75" customHeight="1">
      <c r="A280" s="35"/>
      <c r="B280" s="33"/>
      <c r="C280" s="33"/>
      <c r="D280" s="35"/>
      <c r="E280" s="35"/>
      <c r="F280" s="40"/>
      <c r="G280" s="33"/>
      <c r="H280" s="39"/>
      <c r="I280" s="248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</row>
    <row r="281" ht="15.75" customHeight="1">
      <c r="A281" s="35"/>
      <c r="B281" s="33"/>
      <c r="C281" s="33"/>
      <c r="D281" s="35"/>
      <c r="E281" s="35"/>
      <c r="F281" s="40"/>
      <c r="G281" s="33"/>
      <c r="H281" s="39"/>
      <c r="I281" s="248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</row>
    <row r="282" ht="15.75" customHeight="1">
      <c r="A282" s="35"/>
      <c r="B282" s="33"/>
      <c r="C282" s="33"/>
      <c r="D282" s="35"/>
      <c r="E282" s="35"/>
      <c r="F282" s="40"/>
      <c r="G282" s="33"/>
      <c r="H282" s="39"/>
      <c r="I282" s="248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</row>
    <row r="283" ht="15.75" customHeight="1">
      <c r="A283" s="35"/>
      <c r="B283" s="33"/>
      <c r="C283" s="33"/>
      <c r="D283" s="35"/>
      <c r="E283" s="35"/>
      <c r="F283" s="40"/>
      <c r="G283" s="33"/>
      <c r="H283" s="39"/>
      <c r="I283" s="248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</row>
    <row r="284" ht="15.75" customHeight="1">
      <c r="A284" s="35"/>
      <c r="B284" s="33"/>
      <c r="C284" s="33"/>
      <c r="D284" s="35"/>
      <c r="E284" s="35"/>
      <c r="F284" s="40"/>
      <c r="G284" s="33"/>
      <c r="H284" s="39"/>
      <c r="I284" s="248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</row>
    <row r="285" ht="15.75" customHeight="1">
      <c r="A285" s="35"/>
      <c r="B285" s="33"/>
      <c r="C285" s="33"/>
      <c r="D285" s="35"/>
      <c r="E285" s="35"/>
      <c r="F285" s="40"/>
      <c r="G285" s="33"/>
      <c r="H285" s="39"/>
      <c r="I285" s="248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</row>
    <row r="286" ht="15.75" customHeight="1">
      <c r="A286" s="35"/>
      <c r="B286" s="33"/>
      <c r="C286" s="33"/>
      <c r="D286" s="35"/>
      <c r="E286" s="35"/>
      <c r="F286" s="40"/>
      <c r="G286" s="33"/>
      <c r="H286" s="39"/>
      <c r="I286" s="248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</row>
    <row r="287" ht="15.75" customHeight="1">
      <c r="A287" s="35"/>
      <c r="B287" s="33"/>
      <c r="C287" s="33"/>
      <c r="D287" s="35"/>
      <c r="E287" s="35"/>
      <c r="F287" s="40"/>
      <c r="G287" s="33"/>
      <c r="H287" s="39"/>
      <c r="I287" s="248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</row>
    <row r="288" ht="15.75" customHeight="1">
      <c r="A288" s="35"/>
      <c r="B288" s="33"/>
      <c r="C288" s="33"/>
      <c r="D288" s="35"/>
      <c r="E288" s="35"/>
      <c r="F288" s="40"/>
      <c r="G288" s="33"/>
      <c r="H288" s="39"/>
      <c r="I288" s="248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</row>
    <row r="289" ht="15.75" customHeight="1">
      <c r="A289" s="35"/>
      <c r="B289" s="33"/>
      <c r="C289" s="33"/>
      <c r="D289" s="35"/>
      <c r="E289" s="35"/>
      <c r="F289" s="40"/>
      <c r="G289" s="33"/>
      <c r="H289" s="39"/>
      <c r="I289" s="248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</row>
    <row r="290" ht="15.75" customHeight="1">
      <c r="A290" s="35"/>
      <c r="B290" s="33"/>
      <c r="C290" s="33"/>
      <c r="D290" s="35"/>
      <c r="E290" s="35"/>
      <c r="F290" s="40"/>
      <c r="G290" s="33"/>
      <c r="H290" s="39"/>
      <c r="I290" s="248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</row>
    <row r="291" ht="15.75" customHeight="1">
      <c r="A291" s="35"/>
      <c r="B291" s="33"/>
      <c r="C291" s="33"/>
      <c r="D291" s="35"/>
      <c r="E291" s="35"/>
      <c r="F291" s="40"/>
      <c r="G291" s="33"/>
      <c r="H291" s="39"/>
      <c r="I291" s="248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</row>
    <row r="292" ht="15.75" customHeight="1">
      <c r="A292" s="35"/>
      <c r="B292" s="33"/>
      <c r="C292" s="33"/>
      <c r="D292" s="35"/>
      <c r="E292" s="35"/>
      <c r="F292" s="40"/>
      <c r="G292" s="33"/>
      <c r="H292" s="39"/>
      <c r="I292" s="248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</row>
    <row r="293" ht="15.75" customHeight="1">
      <c r="A293" s="35"/>
      <c r="B293" s="33"/>
      <c r="C293" s="33"/>
      <c r="D293" s="35"/>
      <c r="E293" s="35"/>
      <c r="F293" s="40"/>
      <c r="G293" s="33"/>
      <c r="H293" s="39"/>
      <c r="I293" s="248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</row>
    <row r="294" ht="15.75" customHeight="1">
      <c r="A294" s="35"/>
      <c r="B294" s="33"/>
      <c r="C294" s="33"/>
      <c r="D294" s="35"/>
      <c r="E294" s="35"/>
      <c r="F294" s="40"/>
      <c r="G294" s="33"/>
      <c r="H294" s="39"/>
      <c r="I294" s="248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</row>
    <row r="295" ht="15.75" customHeight="1">
      <c r="A295" s="35"/>
      <c r="B295" s="33"/>
      <c r="C295" s="33"/>
      <c r="D295" s="35"/>
      <c r="E295" s="35"/>
      <c r="F295" s="40"/>
      <c r="G295" s="33"/>
      <c r="H295" s="39"/>
      <c r="I295" s="248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</row>
    <row r="296" ht="15.75" customHeight="1">
      <c r="A296" s="35"/>
      <c r="B296" s="33"/>
      <c r="C296" s="33"/>
      <c r="D296" s="35"/>
      <c r="E296" s="35"/>
      <c r="F296" s="40"/>
      <c r="G296" s="33"/>
      <c r="H296" s="39"/>
      <c r="I296" s="248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</row>
    <row r="297" ht="15.75" customHeight="1">
      <c r="A297" s="35"/>
      <c r="B297" s="33"/>
      <c r="C297" s="33"/>
      <c r="D297" s="35"/>
      <c r="E297" s="35"/>
      <c r="F297" s="40"/>
      <c r="G297" s="33"/>
      <c r="H297" s="39"/>
      <c r="I297" s="248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</row>
    <row r="298" ht="15.75" customHeight="1">
      <c r="A298" s="35"/>
      <c r="B298" s="33"/>
      <c r="C298" s="33"/>
      <c r="D298" s="35"/>
      <c r="E298" s="35"/>
      <c r="F298" s="40"/>
      <c r="G298" s="33"/>
      <c r="H298" s="39"/>
      <c r="I298" s="248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</row>
    <row r="299" ht="15.75" customHeight="1">
      <c r="A299" s="35"/>
      <c r="B299" s="33"/>
      <c r="C299" s="33"/>
      <c r="D299" s="35"/>
      <c r="E299" s="35"/>
      <c r="F299" s="40"/>
      <c r="G299" s="33"/>
      <c r="H299" s="39"/>
      <c r="I299" s="248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</row>
    <row r="300" ht="15.75" customHeight="1">
      <c r="A300" s="35"/>
      <c r="B300" s="33"/>
      <c r="C300" s="33"/>
      <c r="D300" s="35"/>
      <c r="E300" s="35"/>
      <c r="F300" s="40"/>
      <c r="G300" s="33"/>
      <c r="H300" s="39"/>
      <c r="I300" s="248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</row>
    <row r="301" ht="15.75" customHeight="1">
      <c r="A301" s="35"/>
      <c r="B301" s="33"/>
      <c r="C301" s="33"/>
      <c r="D301" s="35"/>
      <c r="E301" s="35"/>
      <c r="F301" s="40"/>
      <c r="G301" s="33"/>
      <c r="H301" s="39"/>
      <c r="I301" s="248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</row>
    <row r="302" ht="15.75" customHeight="1">
      <c r="A302" s="35"/>
      <c r="B302" s="33"/>
      <c r="C302" s="33"/>
      <c r="D302" s="35"/>
      <c r="E302" s="35"/>
      <c r="F302" s="40"/>
      <c r="G302" s="33"/>
      <c r="H302" s="39"/>
      <c r="I302" s="248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</row>
    <row r="303" ht="15.75" customHeight="1">
      <c r="A303" s="35"/>
      <c r="B303" s="33"/>
      <c r="C303" s="33"/>
      <c r="D303" s="35"/>
      <c r="E303" s="35"/>
      <c r="F303" s="40"/>
      <c r="G303" s="33"/>
      <c r="H303" s="39"/>
      <c r="I303" s="248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</row>
    <row r="304" ht="15.75" customHeight="1">
      <c r="A304" s="35"/>
      <c r="B304" s="33"/>
      <c r="C304" s="33"/>
      <c r="D304" s="35"/>
      <c r="E304" s="35"/>
      <c r="F304" s="40"/>
      <c r="G304" s="33"/>
      <c r="H304" s="39"/>
      <c r="I304" s="248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</row>
    <row r="305" ht="15.75" customHeight="1">
      <c r="A305" s="35"/>
      <c r="B305" s="33"/>
      <c r="C305" s="33"/>
      <c r="D305" s="35"/>
      <c r="E305" s="35"/>
      <c r="F305" s="40"/>
      <c r="G305" s="33"/>
      <c r="H305" s="39"/>
      <c r="I305" s="248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</row>
    <row r="306" ht="15.75" customHeight="1">
      <c r="A306" s="35"/>
      <c r="B306" s="33"/>
      <c r="C306" s="33"/>
      <c r="D306" s="35"/>
      <c r="E306" s="35"/>
      <c r="F306" s="40"/>
      <c r="G306" s="33"/>
      <c r="H306" s="39"/>
      <c r="I306" s="248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</row>
    <row r="307" ht="15.75" customHeight="1">
      <c r="A307" s="35"/>
      <c r="B307" s="33"/>
      <c r="C307" s="33"/>
      <c r="D307" s="35"/>
      <c r="E307" s="35"/>
      <c r="F307" s="40"/>
      <c r="G307" s="33"/>
      <c r="H307" s="39"/>
      <c r="I307" s="248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</row>
    <row r="308" ht="15.75" customHeight="1">
      <c r="A308" s="35"/>
      <c r="B308" s="33"/>
      <c r="C308" s="33"/>
      <c r="D308" s="35"/>
      <c r="E308" s="35"/>
      <c r="F308" s="40"/>
      <c r="G308" s="33"/>
      <c r="H308" s="39"/>
      <c r="I308" s="248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</row>
    <row r="309" ht="15.75" customHeight="1">
      <c r="A309" s="35"/>
      <c r="B309" s="33"/>
      <c r="C309" s="33"/>
      <c r="D309" s="35"/>
      <c r="E309" s="35"/>
      <c r="F309" s="40"/>
      <c r="G309" s="33"/>
      <c r="H309" s="39"/>
      <c r="I309" s="248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</row>
    <row r="310" ht="15.75" customHeight="1">
      <c r="A310" s="35"/>
      <c r="B310" s="33"/>
      <c r="C310" s="33"/>
      <c r="D310" s="35"/>
      <c r="E310" s="35"/>
      <c r="F310" s="40"/>
      <c r="G310" s="33"/>
      <c r="H310" s="39"/>
      <c r="I310" s="248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</row>
    <row r="311" ht="15.75" customHeight="1">
      <c r="A311" s="35"/>
      <c r="B311" s="33"/>
      <c r="C311" s="33"/>
      <c r="D311" s="35"/>
      <c r="E311" s="35"/>
      <c r="F311" s="40"/>
      <c r="G311" s="33"/>
      <c r="H311" s="39"/>
      <c r="I311" s="248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</row>
    <row r="312" ht="15.75" customHeight="1">
      <c r="A312" s="35"/>
      <c r="B312" s="33"/>
      <c r="C312" s="33"/>
      <c r="D312" s="35"/>
      <c r="E312" s="35"/>
      <c r="F312" s="40"/>
      <c r="G312" s="33"/>
      <c r="H312" s="39"/>
      <c r="I312" s="248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</row>
    <row r="313" ht="15.75" customHeight="1">
      <c r="A313" s="35"/>
      <c r="B313" s="33"/>
      <c r="C313" s="33"/>
      <c r="D313" s="35"/>
      <c r="E313" s="35"/>
      <c r="F313" s="40"/>
      <c r="G313" s="33"/>
      <c r="H313" s="39"/>
      <c r="I313" s="248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</row>
    <row r="314" ht="15.75" customHeight="1">
      <c r="A314" s="35"/>
      <c r="B314" s="33"/>
      <c r="C314" s="33"/>
      <c r="D314" s="35"/>
      <c r="E314" s="35"/>
      <c r="F314" s="40"/>
      <c r="G314" s="33"/>
      <c r="H314" s="39"/>
      <c r="I314" s="248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</row>
    <row r="315" ht="15.75" customHeight="1">
      <c r="A315" s="35"/>
      <c r="B315" s="33"/>
      <c r="C315" s="33"/>
      <c r="D315" s="35"/>
      <c r="E315" s="35"/>
      <c r="F315" s="40"/>
      <c r="G315" s="33"/>
      <c r="H315" s="39"/>
      <c r="I315" s="248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</row>
    <row r="316" ht="15.75" customHeight="1">
      <c r="A316" s="35"/>
      <c r="B316" s="33"/>
      <c r="C316" s="33"/>
      <c r="D316" s="35"/>
      <c r="E316" s="35"/>
      <c r="F316" s="40"/>
      <c r="G316" s="33"/>
      <c r="H316" s="39"/>
      <c r="I316" s="248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</row>
    <row r="317" ht="15.75" customHeight="1">
      <c r="A317" s="35"/>
      <c r="B317" s="33"/>
      <c r="C317" s="33"/>
      <c r="D317" s="35"/>
      <c r="E317" s="35"/>
      <c r="F317" s="40"/>
      <c r="G317" s="33"/>
      <c r="H317" s="39"/>
      <c r="I317" s="248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</row>
    <row r="318" ht="15.75" customHeight="1">
      <c r="A318" s="35"/>
      <c r="B318" s="33"/>
      <c r="C318" s="33"/>
      <c r="D318" s="35"/>
      <c r="E318" s="35"/>
      <c r="F318" s="40"/>
      <c r="G318" s="33"/>
      <c r="H318" s="39"/>
      <c r="I318" s="248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</row>
    <row r="319" ht="15.75" customHeight="1">
      <c r="A319" s="35"/>
      <c r="B319" s="33"/>
      <c r="C319" s="33"/>
      <c r="D319" s="35"/>
      <c r="E319" s="35"/>
      <c r="F319" s="40"/>
      <c r="G319" s="33"/>
      <c r="H319" s="39"/>
      <c r="I319" s="248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</row>
    <row r="320" ht="15.75" customHeight="1">
      <c r="A320" s="35"/>
      <c r="B320" s="33"/>
      <c r="C320" s="33"/>
      <c r="D320" s="35"/>
      <c r="E320" s="35"/>
      <c r="F320" s="40"/>
      <c r="G320" s="33"/>
      <c r="H320" s="39"/>
      <c r="I320" s="248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</row>
    <row r="321" ht="15.75" customHeight="1">
      <c r="A321" s="35"/>
      <c r="B321" s="33"/>
      <c r="C321" s="33"/>
      <c r="D321" s="35"/>
      <c r="E321" s="35"/>
      <c r="F321" s="40"/>
      <c r="G321" s="33"/>
      <c r="H321" s="39"/>
      <c r="I321" s="248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</row>
    <row r="322" ht="15.75" customHeight="1">
      <c r="A322" s="35"/>
      <c r="B322" s="33"/>
      <c r="C322" s="33"/>
      <c r="D322" s="35"/>
      <c r="E322" s="35"/>
      <c r="F322" s="40"/>
      <c r="G322" s="33"/>
      <c r="H322" s="39"/>
      <c r="I322" s="248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</row>
    <row r="323" ht="15.75" customHeight="1">
      <c r="A323" s="35"/>
      <c r="B323" s="33"/>
      <c r="C323" s="33"/>
      <c r="D323" s="35"/>
      <c r="E323" s="35"/>
      <c r="F323" s="40"/>
      <c r="G323" s="33"/>
      <c r="H323" s="39"/>
      <c r="I323" s="248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</row>
    <row r="324" ht="15.75" customHeight="1">
      <c r="A324" s="35"/>
      <c r="B324" s="33"/>
      <c r="C324" s="33"/>
      <c r="D324" s="35"/>
      <c r="E324" s="35"/>
      <c r="F324" s="40"/>
      <c r="G324" s="33"/>
      <c r="H324" s="39"/>
      <c r="I324" s="248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</row>
    <row r="325" ht="15.75" customHeight="1">
      <c r="A325" s="35"/>
      <c r="B325" s="33"/>
      <c r="C325" s="33"/>
      <c r="D325" s="35"/>
      <c r="E325" s="35"/>
      <c r="F325" s="40"/>
      <c r="G325" s="33"/>
      <c r="H325" s="39"/>
      <c r="I325" s="248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</row>
    <row r="326" ht="15.75" customHeight="1">
      <c r="A326" s="35"/>
      <c r="B326" s="33"/>
      <c r="C326" s="33"/>
      <c r="D326" s="35"/>
      <c r="E326" s="35"/>
      <c r="F326" s="40"/>
      <c r="G326" s="33"/>
      <c r="H326" s="39"/>
      <c r="I326" s="248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</row>
    <row r="327" ht="15.75" customHeight="1">
      <c r="A327" s="35"/>
      <c r="B327" s="33"/>
      <c r="C327" s="33"/>
      <c r="D327" s="35"/>
      <c r="E327" s="35"/>
      <c r="F327" s="40"/>
      <c r="G327" s="33"/>
      <c r="H327" s="39"/>
      <c r="I327" s="248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</row>
    <row r="328" ht="15.75" customHeight="1">
      <c r="A328" s="35"/>
      <c r="B328" s="33"/>
      <c r="C328" s="33"/>
      <c r="D328" s="35"/>
      <c r="E328" s="35"/>
      <c r="F328" s="40"/>
      <c r="G328" s="33"/>
      <c r="H328" s="39"/>
      <c r="I328" s="248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</row>
    <row r="329" ht="15.75" customHeight="1">
      <c r="A329" s="35"/>
      <c r="B329" s="33"/>
      <c r="C329" s="33"/>
      <c r="D329" s="35"/>
      <c r="E329" s="35"/>
      <c r="F329" s="40"/>
      <c r="G329" s="33"/>
      <c r="H329" s="39"/>
      <c r="I329" s="248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</row>
    <row r="330" ht="15.75" customHeight="1">
      <c r="A330" s="35"/>
      <c r="B330" s="33"/>
      <c r="C330" s="33"/>
      <c r="D330" s="35"/>
      <c r="E330" s="35"/>
      <c r="F330" s="40"/>
      <c r="G330" s="33"/>
      <c r="H330" s="39"/>
      <c r="I330" s="248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</row>
    <row r="331" ht="15.75" customHeight="1">
      <c r="A331" s="35"/>
      <c r="B331" s="33"/>
      <c r="C331" s="33"/>
      <c r="D331" s="35"/>
      <c r="E331" s="35"/>
      <c r="F331" s="40"/>
      <c r="G331" s="33"/>
      <c r="H331" s="39"/>
      <c r="I331" s="248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</row>
    <row r="332" ht="15.75" customHeight="1">
      <c r="A332" s="35"/>
      <c r="B332" s="33"/>
      <c r="C332" s="33"/>
      <c r="D332" s="35"/>
      <c r="E332" s="35"/>
      <c r="F332" s="40"/>
      <c r="G332" s="33"/>
      <c r="H332" s="39"/>
      <c r="I332" s="248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</row>
    <row r="333" ht="15.75" customHeight="1">
      <c r="A333" s="35"/>
      <c r="B333" s="33"/>
      <c r="C333" s="33"/>
      <c r="D333" s="35"/>
      <c r="E333" s="35"/>
      <c r="F333" s="40"/>
      <c r="G333" s="33"/>
      <c r="H333" s="39"/>
      <c r="I333" s="248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</row>
    <row r="334" ht="15.75" customHeight="1">
      <c r="A334" s="35"/>
      <c r="B334" s="33"/>
      <c r="C334" s="33"/>
      <c r="D334" s="35"/>
      <c r="E334" s="35"/>
      <c r="F334" s="40"/>
      <c r="G334" s="33"/>
      <c r="H334" s="39"/>
      <c r="I334" s="248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</row>
    <row r="335" ht="15.75" customHeight="1">
      <c r="A335" s="35"/>
      <c r="B335" s="33"/>
      <c r="C335" s="33"/>
      <c r="D335" s="35"/>
      <c r="E335" s="35"/>
      <c r="F335" s="40"/>
      <c r="G335" s="33"/>
      <c r="H335" s="39"/>
      <c r="I335" s="248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</row>
    <row r="336" ht="15.75" customHeight="1">
      <c r="A336" s="35"/>
      <c r="B336" s="33"/>
      <c r="C336" s="33"/>
      <c r="D336" s="35"/>
      <c r="E336" s="35"/>
      <c r="F336" s="40"/>
      <c r="G336" s="33"/>
      <c r="H336" s="39"/>
      <c r="I336" s="248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</row>
    <row r="337" ht="15.75" customHeight="1">
      <c r="A337" s="35"/>
      <c r="B337" s="33"/>
      <c r="C337" s="33"/>
      <c r="D337" s="35"/>
      <c r="E337" s="35"/>
      <c r="F337" s="40"/>
      <c r="G337" s="33"/>
      <c r="H337" s="39"/>
      <c r="I337" s="248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</row>
    <row r="338" ht="15.75" customHeight="1">
      <c r="A338" s="35"/>
      <c r="B338" s="33"/>
      <c r="C338" s="33"/>
      <c r="D338" s="35"/>
      <c r="E338" s="35"/>
      <c r="F338" s="40"/>
      <c r="G338" s="33"/>
      <c r="H338" s="39"/>
      <c r="I338" s="248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</row>
    <row r="339" ht="15.75" customHeight="1">
      <c r="A339" s="35"/>
      <c r="B339" s="33"/>
      <c r="C339" s="33"/>
      <c r="D339" s="35"/>
      <c r="E339" s="35"/>
      <c r="F339" s="40"/>
      <c r="G339" s="33"/>
      <c r="H339" s="39"/>
      <c r="I339" s="248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</row>
    <row r="340" ht="15.75" customHeight="1">
      <c r="A340" s="35"/>
      <c r="B340" s="33"/>
      <c r="C340" s="33"/>
      <c r="D340" s="35"/>
      <c r="E340" s="35"/>
      <c r="F340" s="40"/>
      <c r="G340" s="33"/>
      <c r="H340" s="39"/>
      <c r="I340" s="248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</row>
    <row r="341" ht="15.75" customHeight="1">
      <c r="A341" s="35"/>
      <c r="B341" s="33"/>
      <c r="C341" s="33"/>
      <c r="D341" s="35"/>
      <c r="E341" s="35"/>
      <c r="F341" s="40"/>
      <c r="G341" s="33"/>
      <c r="H341" s="39"/>
      <c r="I341" s="248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</row>
    <row r="342" ht="15.75" customHeight="1">
      <c r="A342" s="35"/>
      <c r="B342" s="33"/>
      <c r="C342" s="33"/>
      <c r="D342" s="35"/>
      <c r="E342" s="35"/>
      <c r="F342" s="40"/>
      <c r="G342" s="33"/>
      <c r="H342" s="39"/>
      <c r="I342" s="248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</row>
    <row r="343" ht="15.75" customHeight="1">
      <c r="A343" s="35"/>
      <c r="B343" s="33"/>
      <c r="C343" s="33"/>
      <c r="D343" s="35"/>
      <c r="E343" s="35"/>
      <c r="F343" s="40"/>
      <c r="G343" s="33"/>
      <c r="H343" s="39"/>
      <c r="I343" s="248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</row>
    <row r="344" ht="15.75" customHeight="1">
      <c r="A344" s="35"/>
      <c r="B344" s="33"/>
      <c r="C344" s="33"/>
      <c r="D344" s="35"/>
      <c r="E344" s="35"/>
      <c r="F344" s="40"/>
      <c r="G344" s="33"/>
      <c r="H344" s="39"/>
      <c r="I344" s="248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</row>
    <row r="345" ht="15.75" customHeight="1">
      <c r="A345" s="35"/>
      <c r="B345" s="33"/>
      <c r="C345" s="33"/>
      <c r="D345" s="35"/>
      <c r="E345" s="35"/>
      <c r="F345" s="40"/>
      <c r="G345" s="33"/>
      <c r="H345" s="39"/>
      <c r="I345" s="248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</row>
    <row r="346" ht="15.75" customHeight="1">
      <c r="A346" s="35"/>
      <c r="B346" s="33"/>
      <c r="C346" s="33"/>
      <c r="D346" s="35"/>
      <c r="E346" s="35"/>
      <c r="F346" s="40"/>
      <c r="G346" s="33"/>
      <c r="H346" s="39"/>
      <c r="I346" s="248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</row>
    <row r="347" ht="15.75" customHeight="1">
      <c r="A347" s="35"/>
      <c r="B347" s="33"/>
      <c r="C347" s="33"/>
      <c r="D347" s="35"/>
      <c r="E347" s="35"/>
      <c r="F347" s="40"/>
      <c r="G347" s="33"/>
      <c r="H347" s="39"/>
      <c r="I347" s="248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</row>
    <row r="348" ht="15.75" customHeight="1">
      <c r="A348" s="35"/>
      <c r="B348" s="33"/>
      <c r="C348" s="33"/>
      <c r="D348" s="35"/>
      <c r="E348" s="35"/>
      <c r="F348" s="40"/>
      <c r="G348" s="33"/>
      <c r="H348" s="39"/>
      <c r="I348" s="248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</row>
    <row r="349" ht="15.75" customHeight="1">
      <c r="A349" s="35"/>
      <c r="B349" s="33"/>
      <c r="C349" s="33"/>
      <c r="D349" s="35"/>
      <c r="E349" s="35"/>
      <c r="F349" s="40"/>
      <c r="G349" s="33"/>
      <c r="H349" s="39"/>
      <c r="I349" s="248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</row>
    <row r="350" ht="15.75" customHeight="1">
      <c r="A350" s="35"/>
      <c r="B350" s="33"/>
      <c r="C350" s="33"/>
      <c r="D350" s="35"/>
      <c r="E350" s="35"/>
      <c r="F350" s="40"/>
      <c r="G350" s="33"/>
      <c r="H350" s="39"/>
      <c r="I350" s="248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</row>
    <row r="351" ht="15.75" customHeight="1">
      <c r="A351" s="35"/>
      <c r="B351" s="33"/>
      <c r="C351" s="33"/>
      <c r="D351" s="35"/>
      <c r="E351" s="35"/>
      <c r="F351" s="40"/>
      <c r="G351" s="33"/>
      <c r="H351" s="39"/>
      <c r="I351" s="248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</row>
    <row r="352" ht="15.75" customHeight="1">
      <c r="A352" s="35"/>
      <c r="B352" s="33"/>
      <c r="C352" s="33"/>
      <c r="D352" s="35"/>
      <c r="E352" s="35"/>
      <c r="F352" s="40"/>
      <c r="G352" s="33"/>
      <c r="H352" s="39"/>
      <c r="I352" s="248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</row>
    <row r="353" ht="15.75" customHeight="1">
      <c r="A353" s="35"/>
      <c r="B353" s="33"/>
      <c r="C353" s="33"/>
      <c r="D353" s="35"/>
      <c r="E353" s="35"/>
      <c r="F353" s="40"/>
      <c r="G353" s="33"/>
      <c r="H353" s="39"/>
      <c r="I353" s="248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</row>
    <row r="354" ht="15.75" customHeight="1">
      <c r="A354" s="35"/>
      <c r="B354" s="33"/>
      <c r="C354" s="33"/>
      <c r="D354" s="35"/>
      <c r="E354" s="35"/>
      <c r="F354" s="40"/>
      <c r="G354" s="33"/>
      <c r="H354" s="39"/>
      <c r="I354" s="248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</row>
    <row r="355" ht="15.75" customHeight="1">
      <c r="A355" s="35"/>
      <c r="B355" s="33"/>
      <c r="C355" s="33"/>
      <c r="D355" s="35"/>
      <c r="E355" s="35"/>
      <c r="F355" s="40"/>
      <c r="G355" s="33"/>
      <c r="H355" s="39"/>
      <c r="I355" s="248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</row>
    <row r="356" ht="15.75" customHeight="1">
      <c r="A356" s="35"/>
      <c r="B356" s="33"/>
      <c r="C356" s="33"/>
      <c r="D356" s="35"/>
      <c r="E356" s="35"/>
      <c r="F356" s="40"/>
      <c r="G356" s="33"/>
      <c r="H356" s="39"/>
      <c r="I356" s="248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</row>
    <row r="357" ht="15.75" customHeight="1">
      <c r="A357" s="35"/>
      <c r="B357" s="33"/>
      <c r="C357" s="33"/>
      <c r="D357" s="35"/>
      <c r="E357" s="35"/>
      <c r="F357" s="40"/>
      <c r="G357" s="33"/>
      <c r="H357" s="39"/>
      <c r="I357" s="248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</row>
    <row r="358" ht="15.75" customHeight="1">
      <c r="A358" s="35"/>
      <c r="B358" s="33"/>
      <c r="C358" s="33"/>
      <c r="D358" s="35"/>
      <c r="E358" s="35"/>
      <c r="F358" s="40"/>
      <c r="G358" s="33"/>
      <c r="H358" s="39"/>
      <c r="I358" s="248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</row>
    <row r="359" ht="15.75" customHeight="1">
      <c r="A359" s="35"/>
      <c r="B359" s="33"/>
      <c r="C359" s="33"/>
      <c r="D359" s="35"/>
      <c r="E359" s="35"/>
      <c r="F359" s="40"/>
      <c r="G359" s="33"/>
      <c r="H359" s="39"/>
      <c r="I359" s="248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</row>
    <row r="360" ht="15.75" customHeight="1">
      <c r="A360" s="35"/>
      <c r="B360" s="33"/>
      <c r="C360" s="33"/>
      <c r="D360" s="35"/>
      <c r="E360" s="35"/>
      <c r="F360" s="40"/>
      <c r="G360" s="33"/>
      <c r="H360" s="39"/>
      <c r="I360" s="248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</row>
    <row r="361" ht="15.75" customHeight="1">
      <c r="A361" s="35"/>
      <c r="B361" s="33"/>
      <c r="C361" s="33"/>
      <c r="D361" s="35"/>
      <c r="E361" s="35"/>
      <c r="F361" s="40"/>
      <c r="G361" s="33"/>
      <c r="H361" s="39"/>
      <c r="I361" s="248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</row>
    <row r="362" ht="15.75" customHeight="1">
      <c r="A362" s="35"/>
      <c r="B362" s="33"/>
      <c r="C362" s="33"/>
      <c r="D362" s="35"/>
      <c r="E362" s="35"/>
      <c r="F362" s="40"/>
      <c r="G362" s="33"/>
      <c r="H362" s="39"/>
      <c r="I362" s="248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</row>
    <row r="363" ht="15.75" customHeight="1">
      <c r="A363" s="35"/>
      <c r="B363" s="33"/>
      <c r="C363" s="33"/>
      <c r="D363" s="35"/>
      <c r="E363" s="35"/>
      <c r="F363" s="40"/>
      <c r="G363" s="33"/>
      <c r="H363" s="39"/>
      <c r="I363" s="248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</row>
    <row r="364" ht="15.75" customHeight="1">
      <c r="A364" s="35"/>
      <c r="B364" s="33"/>
      <c r="C364" s="33"/>
      <c r="D364" s="35"/>
      <c r="E364" s="35"/>
      <c r="F364" s="40"/>
      <c r="G364" s="33"/>
      <c r="H364" s="39"/>
      <c r="I364" s="248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</row>
    <row r="365" ht="15.75" customHeight="1">
      <c r="A365" s="35"/>
      <c r="B365" s="33"/>
      <c r="C365" s="33"/>
      <c r="D365" s="35"/>
      <c r="E365" s="35"/>
      <c r="F365" s="40"/>
      <c r="G365" s="33"/>
      <c r="H365" s="39"/>
      <c r="I365" s="248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</row>
    <row r="366" ht="15.75" customHeight="1">
      <c r="A366" s="35"/>
      <c r="B366" s="33"/>
      <c r="C366" s="33"/>
      <c r="D366" s="35"/>
      <c r="E366" s="35"/>
      <c r="F366" s="40"/>
      <c r="G366" s="33"/>
      <c r="H366" s="39"/>
      <c r="I366" s="248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</row>
    <row r="367" ht="15.75" customHeight="1">
      <c r="A367" s="35"/>
      <c r="B367" s="33"/>
      <c r="C367" s="33"/>
      <c r="D367" s="35"/>
      <c r="E367" s="35"/>
      <c r="F367" s="40"/>
      <c r="G367" s="33"/>
      <c r="H367" s="39"/>
      <c r="I367" s="248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</row>
    <row r="368" ht="15.75" customHeight="1">
      <c r="A368" s="35"/>
      <c r="B368" s="33"/>
      <c r="C368" s="33"/>
      <c r="D368" s="35"/>
      <c r="E368" s="35"/>
      <c r="F368" s="40"/>
      <c r="G368" s="33"/>
      <c r="H368" s="39"/>
      <c r="I368" s="248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</row>
    <row r="369" ht="15.75" customHeight="1">
      <c r="A369" s="35"/>
      <c r="B369" s="33"/>
      <c r="C369" s="33"/>
      <c r="D369" s="35"/>
      <c r="E369" s="35"/>
      <c r="F369" s="40"/>
      <c r="G369" s="33"/>
      <c r="H369" s="39"/>
      <c r="I369" s="248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</row>
    <row r="370" ht="15.75" customHeight="1">
      <c r="A370" s="35"/>
      <c r="B370" s="33"/>
      <c r="C370" s="33"/>
      <c r="D370" s="35"/>
      <c r="E370" s="35"/>
      <c r="F370" s="40"/>
      <c r="G370" s="33"/>
      <c r="H370" s="39"/>
      <c r="I370" s="248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</row>
    <row r="371" ht="15.75" customHeight="1">
      <c r="A371" s="35"/>
      <c r="B371" s="33"/>
      <c r="C371" s="33"/>
      <c r="D371" s="35"/>
      <c r="E371" s="35"/>
      <c r="F371" s="40"/>
      <c r="G371" s="33"/>
      <c r="H371" s="39"/>
      <c r="I371" s="248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</row>
    <row r="372" ht="15.75" customHeight="1">
      <c r="A372" s="35"/>
      <c r="B372" s="33"/>
      <c r="C372" s="33"/>
      <c r="D372" s="35"/>
      <c r="E372" s="35"/>
      <c r="F372" s="40"/>
      <c r="G372" s="33"/>
      <c r="H372" s="39"/>
      <c r="I372" s="248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</row>
    <row r="373" ht="15.75" customHeight="1">
      <c r="A373" s="35"/>
      <c r="B373" s="33"/>
      <c r="C373" s="33"/>
      <c r="D373" s="35"/>
      <c r="E373" s="35"/>
      <c r="F373" s="40"/>
      <c r="G373" s="33"/>
      <c r="H373" s="39"/>
      <c r="I373" s="248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</row>
    <row r="374" ht="15.75" customHeight="1">
      <c r="A374" s="35"/>
      <c r="B374" s="33"/>
      <c r="C374" s="33"/>
      <c r="D374" s="35"/>
      <c r="E374" s="35"/>
      <c r="F374" s="40"/>
      <c r="G374" s="33"/>
      <c r="H374" s="39"/>
      <c r="I374" s="248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</row>
    <row r="375" ht="15.75" customHeight="1">
      <c r="A375" s="35"/>
      <c r="B375" s="33"/>
      <c r="C375" s="33"/>
      <c r="D375" s="35"/>
      <c r="E375" s="35"/>
      <c r="F375" s="40"/>
      <c r="G375" s="33"/>
      <c r="H375" s="39"/>
      <c r="I375" s="248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</row>
    <row r="376" ht="15.75" customHeight="1">
      <c r="A376" s="35"/>
      <c r="B376" s="33"/>
      <c r="C376" s="33"/>
      <c r="D376" s="35"/>
      <c r="E376" s="35"/>
      <c r="F376" s="40"/>
      <c r="G376" s="33"/>
      <c r="H376" s="39"/>
      <c r="I376" s="248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</row>
    <row r="377" ht="15.75" customHeight="1">
      <c r="A377" s="35"/>
      <c r="B377" s="33"/>
      <c r="C377" s="33"/>
      <c r="D377" s="35"/>
      <c r="E377" s="35"/>
      <c r="F377" s="40"/>
      <c r="G377" s="33"/>
      <c r="H377" s="39"/>
      <c r="I377" s="248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</row>
    <row r="378" ht="15.75" customHeight="1">
      <c r="A378" s="35"/>
      <c r="B378" s="33"/>
      <c r="C378" s="33"/>
      <c r="D378" s="35"/>
      <c r="E378" s="35"/>
      <c r="F378" s="40"/>
      <c r="G378" s="33"/>
      <c r="H378" s="39"/>
      <c r="I378" s="248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</row>
    <row r="379" ht="15.75" customHeight="1">
      <c r="A379" s="35"/>
      <c r="B379" s="33"/>
      <c r="C379" s="33"/>
      <c r="D379" s="35"/>
      <c r="E379" s="35"/>
      <c r="F379" s="40"/>
      <c r="G379" s="33"/>
      <c r="H379" s="39"/>
      <c r="I379" s="248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</row>
    <row r="380" ht="15.75" customHeight="1">
      <c r="A380" s="35"/>
      <c r="B380" s="33"/>
      <c r="C380" s="33"/>
      <c r="D380" s="35"/>
      <c r="E380" s="35"/>
      <c r="F380" s="40"/>
      <c r="G380" s="33"/>
      <c r="H380" s="39"/>
      <c r="I380" s="248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</row>
    <row r="381" ht="15.75" customHeight="1">
      <c r="A381" s="35"/>
      <c r="B381" s="33"/>
      <c r="C381" s="33"/>
      <c r="D381" s="35"/>
      <c r="E381" s="35"/>
      <c r="F381" s="40"/>
      <c r="G381" s="33"/>
      <c r="H381" s="39"/>
      <c r="I381" s="248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</row>
    <row r="382" ht="15.75" customHeight="1">
      <c r="A382" s="35"/>
      <c r="B382" s="33"/>
      <c r="C382" s="33"/>
      <c r="D382" s="35"/>
      <c r="E382" s="35"/>
      <c r="F382" s="40"/>
      <c r="G382" s="33"/>
      <c r="H382" s="39"/>
      <c r="I382" s="248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</row>
    <row r="383" ht="15.75" customHeight="1">
      <c r="A383" s="35"/>
      <c r="B383" s="33"/>
      <c r="C383" s="33"/>
      <c r="D383" s="35"/>
      <c r="E383" s="35"/>
      <c r="F383" s="40"/>
      <c r="G383" s="33"/>
      <c r="H383" s="39"/>
      <c r="I383" s="248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</row>
    <row r="384" ht="15.75" customHeight="1">
      <c r="A384" s="35"/>
      <c r="B384" s="33"/>
      <c r="C384" s="33"/>
      <c r="D384" s="35"/>
      <c r="E384" s="35"/>
      <c r="F384" s="40"/>
      <c r="G384" s="33"/>
      <c r="H384" s="39"/>
      <c r="I384" s="248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</row>
    <row r="385" ht="15.75" customHeight="1">
      <c r="A385" s="35"/>
      <c r="B385" s="33"/>
      <c r="C385" s="33"/>
      <c r="D385" s="35"/>
      <c r="E385" s="35"/>
      <c r="F385" s="40"/>
      <c r="G385" s="33"/>
      <c r="H385" s="39"/>
      <c r="I385" s="248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</row>
    <row r="386" ht="15.75" customHeight="1">
      <c r="A386" s="35"/>
      <c r="B386" s="33"/>
      <c r="C386" s="33"/>
      <c r="D386" s="35"/>
      <c r="E386" s="35"/>
      <c r="F386" s="40"/>
      <c r="G386" s="33"/>
      <c r="H386" s="39"/>
      <c r="I386" s="248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</row>
    <row r="387" ht="15.75" customHeight="1">
      <c r="A387" s="35"/>
      <c r="B387" s="33"/>
      <c r="C387" s="33"/>
      <c r="D387" s="35"/>
      <c r="E387" s="35"/>
      <c r="F387" s="40"/>
      <c r="G387" s="33"/>
      <c r="H387" s="39"/>
      <c r="I387" s="248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</row>
    <row r="388" ht="15.75" customHeight="1">
      <c r="A388" s="35"/>
      <c r="B388" s="33"/>
      <c r="C388" s="33"/>
      <c r="D388" s="35"/>
      <c r="E388" s="35"/>
      <c r="F388" s="40"/>
      <c r="G388" s="33"/>
      <c r="H388" s="39"/>
      <c r="I388" s="248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</row>
    <row r="389" ht="15.75" customHeight="1">
      <c r="A389" s="35"/>
      <c r="B389" s="33"/>
      <c r="C389" s="33"/>
      <c r="D389" s="35"/>
      <c r="E389" s="35"/>
      <c r="F389" s="40"/>
      <c r="G389" s="33"/>
      <c r="H389" s="39"/>
      <c r="I389" s="248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</row>
    <row r="390" ht="15.75" customHeight="1">
      <c r="A390" s="35"/>
      <c r="B390" s="33"/>
      <c r="C390" s="33"/>
      <c r="D390" s="35"/>
      <c r="E390" s="35"/>
      <c r="F390" s="40"/>
      <c r="G390" s="33"/>
      <c r="H390" s="39"/>
      <c r="I390" s="248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</row>
    <row r="391" ht="15.75" customHeight="1">
      <c r="A391" s="35"/>
      <c r="B391" s="33"/>
      <c r="C391" s="33"/>
      <c r="D391" s="35"/>
      <c r="E391" s="35"/>
      <c r="F391" s="40"/>
      <c r="G391" s="33"/>
      <c r="H391" s="39"/>
      <c r="I391" s="248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</row>
    <row r="392" ht="15.75" customHeight="1">
      <c r="A392" s="35"/>
      <c r="B392" s="33"/>
      <c r="C392" s="33"/>
      <c r="D392" s="35"/>
      <c r="E392" s="35"/>
      <c r="F392" s="40"/>
      <c r="G392" s="33"/>
      <c r="H392" s="39"/>
      <c r="I392" s="248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</row>
    <row r="393" ht="15.75" customHeight="1">
      <c r="A393" s="35"/>
      <c r="B393" s="33"/>
      <c r="C393" s="33"/>
      <c r="D393" s="35"/>
      <c r="E393" s="35"/>
      <c r="F393" s="40"/>
      <c r="G393" s="33"/>
      <c r="H393" s="39"/>
      <c r="I393" s="248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</row>
    <row r="394" ht="15.75" customHeight="1">
      <c r="A394" s="35"/>
      <c r="B394" s="33"/>
      <c r="C394" s="33"/>
      <c r="D394" s="35"/>
      <c r="E394" s="35"/>
      <c r="F394" s="40"/>
      <c r="G394" s="33"/>
      <c r="H394" s="39"/>
      <c r="I394" s="248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</row>
    <row r="395" ht="15.75" customHeight="1">
      <c r="A395" s="35"/>
      <c r="B395" s="33"/>
      <c r="C395" s="33"/>
      <c r="D395" s="35"/>
      <c r="E395" s="35"/>
      <c r="F395" s="40"/>
      <c r="G395" s="33"/>
      <c r="H395" s="39"/>
      <c r="I395" s="248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</row>
    <row r="396" ht="15.75" customHeight="1">
      <c r="A396" s="35"/>
      <c r="B396" s="33"/>
      <c r="C396" s="33"/>
      <c r="D396" s="35"/>
      <c r="E396" s="35"/>
      <c r="F396" s="40"/>
      <c r="G396" s="33"/>
      <c r="H396" s="39"/>
      <c r="I396" s="248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</row>
    <row r="397" ht="15.75" customHeight="1">
      <c r="A397" s="35"/>
      <c r="B397" s="33"/>
      <c r="C397" s="33"/>
      <c r="D397" s="35"/>
      <c r="E397" s="35"/>
      <c r="F397" s="40"/>
      <c r="G397" s="33"/>
      <c r="H397" s="39"/>
      <c r="I397" s="248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</row>
    <row r="398" ht="15.75" customHeight="1">
      <c r="A398" s="35"/>
      <c r="B398" s="33"/>
      <c r="C398" s="33"/>
      <c r="D398" s="35"/>
      <c r="E398" s="35"/>
      <c r="F398" s="40"/>
      <c r="G398" s="33"/>
      <c r="H398" s="39"/>
      <c r="I398" s="248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</row>
    <row r="399" ht="15.75" customHeight="1">
      <c r="A399" s="35"/>
      <c r="B399" s="33"/>
      <c r="C399" s="33"/>
      <c r="D399" s="35"/>
      <c r="E399" s="35"/>
      <c r="F399" s="40"/>
      <c r="G399" s="33"/>
      <c r="H399" s="39"/>
      <c r="I399" s="248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</row>
    <row r="400" ht="15.75" customHeight="1">
      <c r="A400" s="35"/>
      <c r="B400" s="33"/>
      <c r="C400" s="33"/>
      <c r="D400" s="35"/>
      <c r="E400" s="35"/>
      <c r="F400" s="40"/>
      <c r="G400" s="33"/>
      <c r="H400" s="39"/>
      <c r="I400" s="248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</row>
    <row r="401" ht="15.75" customHeight="1">
      <c r="A401" s="35"/>
      <c r="B401" s="33"/>
      <c r="C401" s="33"/>
      <c r="D401" s="35"/>
      <c r="E401" s="35"/>
      <c r="F401" s="40"/>
      <c r="G401" s="33"/>
      <c r="H401" s="39"/>
      <c r="I401" s="248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</row>
    <row r="402" ht="15.75" customHeight="1">
      <c r="A402" s="35"/>
      <c r="B402" s="33"/>
      <c r="C402" s="33"/>
      <c r="D402" s="35"/>
      <c r="E402" s="35"/>
      <c r="F402" s="40"/>
      <c r="G402" s="33"/>
      <c r="H402" s="39"/>
      <c r="I402" s="248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</row>
    <row r="403" ht="15.75" customHeight="1">
      <c r="A403" s="35"/>
      <c r="B403" s="33"/>
      <c r="C403" s="33"/>
      <c r="D403" s="35"/>
      <c r="E403" s="35"/>
      <c r="F403" s="40"/>
      <c r="G403" s="33"/>
      <c r="H403" s="39"/>
      <c r="I403" s="248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</row>
    <row r="404" ht="15.75" customHeight="1">
      <c r="A404" s="35"/>
      <c r="B404" s="33"/>
      <c r="C404" s="33"/>
      <c r="D404" s="35"/>
      <c r="E404" s="35"/>
      <c r="F404" s="40"/>
      <c r="G404" s="33"/>
      <c r="H404" s="39"/>
      <c r="I404" s="248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</row>
    <row r="405" ht="15.75" customHeight="1">
      <c r="A405" s="35"/>
      <c r="B405" s="33"/>
      <c r="C405" s="33"/>
      <c r="D405" s="35"/>
      <c r="E405" s="35"/>
      <c r="F405" s="40"/>
      <c r="G405" s="33"/>
      <c r="H405" s="39"/>
      <c r="I405" s="248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</row>
    <row r="406" ht="15.75" customHeight="1">
      <c r="A406" s="35"/>
      <c r="B406" s="33"/>
      <c r="C406" s="33"/>
      <c r="D406" s="35"/>
      <c r="E406" s="35"/>
      <c r="F406" s="40"/>
      <c r="G406" s="33"/>
      <c r="H406" s="39"/>
      <c r="I406" s="248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</row>
    <row r="407" ht="15.75" customHeight="1">
      <c r="A407" s="35"/>
      <c r="B407" s="33"/>
      <c r="C407" s="33"/>
      <c r="D407" s="35"/>
      <c r="E407" s="35"/>
      <c r="F407" s="40"/>
      <c r="G407" s="33"/>
      <c r="H407" s="39"/>
      <c r="I407" s="248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</row>
    <row r="408" ht="15.75" customHeight="1">
      <c r="A408" s="35"/>
      <c r="B408" s="33"/>
      <c r="C408" s="33"/>
      <c r="D408" s="35"/>
      <c r="E408" s="35"/>
      <c r="F408" s="40"/>
      <c r="G408" s="33"/>
      <c r="H408" s="39"/>
      <c r="I408" s="248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</row>
    <row r="409" ht="15.75" customHeight="1">
      <c r="A409" s="35"/>
      <c r="B409" s="33"/>
      <c r="C409" s="33"/>
      <c r="D409" s="35"/>
      <c r="E409" s="35"/>
      <c r="F409" s="40"/>
      <c r="G409" s="33"/>
      <c r="H409" s="39"/>
      <c r="I409" s="248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</row>
    <row r="410" ht="15.75" customHeight="1">
      <c r="A410" s="35"/>
      <c r="B410" s="33"/>
      <c r="C410" s="33"/>
      <c r="D410" s="35"/>
      <c r="E410" s="35"/>
      <c r="F410" s="40"/>
      <c r="G410" s="33"/>
      <c r="H410" s="39"/>
      <c r="I410" s="248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</row>
    <row r="411" ht="15.75" customHeight="1">
      <c r="A411" s="35"/>
      <c r="B411" s="33"/>
      <c r="C411" s="33"/>
      <c r="D411" s="35"/>
      <c r="E411" s="35"/>
      <c r="F411" s="40"/>
      <c r="G411" s="33"/>
      <c r="H411" s="39"/>
      <c r="I411" s="248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</row>
    <row r="412" ht="15.75" customHeight="1">
      <c r="A412" s="35"/>
      <c r="B412" s="33"/>
      <c r="C412" s="33"/>
      <c r="D412" s="35"/>
      <c r="E412" s="35"/>
      <c r="F412" s="40"/>
      <c r="G412" s="33"/>
      <c r="H412" s="39"/>
      <c r="I412" s="248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</row>
    <row r="413" ht="15.75" customHeight="1">
      <c r="A413" s="35"/>
      <c r="B413" s="33"/>
      <c r="C413" s="33"/>
      <c r="D413" s="35"/>
      <c r="E413" s="35"/>
      <c r="F413" s="40"/>
      <c r="G413" s="33"/>
      <c r="H413" s="39"/>
      <c r="I413" s="248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</row>
    <row r="414" ht="15.75" customHeight="1">
      <c r="A414" s="35"/>
      <c r="B414" s="33"/>
      <c r="C414" s="33"/>
      <c r="D414" s="35"/>
      <c r="E414" s="35"/>
      <c r="F414" s="40"/>
      <c r="G414" s="33"/>
      <c r="H414" s="39"/>
      <c r="I414" s="248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</row>
    <row r="415" ht="15.75" customHeight="1">
      <c r="A415" s="35"/>
      <c r="B415" s="33"/>
      <c r="C415" s="33"/>
      <c r="D415" s="35"/>
      <c r="E415" s="35"/>
      <c r="F415" s="40"/>
      <c r="G415" s="33"/>
      <c r="H415" s="39"/>
      <c r="I415" s="248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</row>
    <row r="416" ht="15.75" customHeight="1">
      <c r="A416" s="35"/>
      <c r="B416" s="33"/>
      <c r="C416" s="33"/>
      <c r="D416" s="35"/>
      <c r="E416" s="35"/>
      <c r="F416" s="40"/>
      <c r="G416" s="33"/>
      <c r="H416" s="39"/>
      <c r="I416" s="248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</row>
    <row r="417" ht="15.75" customHeight="1">
      <c r="A417" s="35"/>
      <c r="B417" s="33"/>
      <c r="C417" s="33"/>
      <c r="D417" s="35"/>
      <c r="E417" s="35"/>
      <c r="F417" s="40"/>
      <c r="G417" s="33"/>
      <c r="H417" s="39"/>
      <c r="I417" s="248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</row>
    <row r="418" ht="15.75" customHeight="1">
      <c r="A418" s="35"/>
      <c r="B418" s="33"/>
      <c r="C418" s="33"/>
      <c r="D418" s="35"/>
      <c r="E418" s="35"/>
      <c r="F418" s="40"/>
      <c r="G418" s="33"/>
      <c r="H418" s="39"/>
      <c r="I418" s="248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</row>
    <row r="419" ht="15.75" customHeight="1">
      <c r="A419" s="35"/>
      <c r="B419" s="33"/>
      <c r="C419" s="33"/>
      <c r="D419" s="35"/>
      <c r="E419" s="35"/>
      <c r="F419" s="40"/>
      <c r="G419" s="33"/>
      <c r="H419" s="39"/>
      <c r="I419" s="248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</row>
    <row r="420" ht="15.75" customHeight="1">
      <c r="A420" s="35"/>
      <c r="B420" s="33"/>
      <c r="C420" s="33"/>
      <c r="D420" s="35"/>
      <c r="E420" s="35"/>
      <c r="F420" s="40"/>
      <c r="G420" s="33"/>
      <c r="H420" s="39"/>
      <c r="I420" s="248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</row>
    <row r="421" ht="15.75" customHeight="1">
      <c r="A421" s="35"/>
      <c r="B421" s="33"/>
      <c r="C421" s="33"/>
      <c r="D421" s="35"/>
      <c r="E421" s="35"/>
      <c r="F421" s="40"/>
      <c r="G421" s="33"/>
      <c r="H421" s="39"/>
      <c r="I421" s="248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</row>
    <row r="422" ht="15.75" customHeight="1">
      <c r="A422" s="35"/>
      <c r="B422" s="33"/>
      <c r="C422" s="33"/>
      <c r="D422" s="35"/>
      <c r="E422" s="35"/>
      <c r="F422" s="40"/>
      <c r="G422" s="33"/>
      <c r="H422" s="39"/>
      <c r="I422" s="248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</row>
    <row r="423" ht="15.75" customHeight="1">
      <c r="A423" s="35"/>
      <c r="B423" s="33"/>
      <c r="C423" s="33"/>
      <c r="D423" s="35"/>
      <c r="E423" s="35"/>
      <c r="F423" s="40"/>
      <c r="G423" s="33"/>
      <c r="H423" s="39"/>
      <c r="I423" s="248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</row>
    <row r="424" ht="15.75" customHeight="1">
      <c r="A424" s="35"/>
      <c r="B424" s="33"/>
      <c r="C424" s="33"/>
      <c r="D424" s="35"/>
      <c r="E424" s="35"/>
      <c r="F424" s="40"/>
      <c r="G424" s="33"/>
      <c r="H424" s="39"/>
      <c r="I424" s="248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</row>
    <row r="425" ht="15.75" customHeight="1">
      <c r="A425" s="35"/>
      <c r="B425" s="33"/>
      <c r="C425" s="33"/>
      <c r="D425" s="35"/>
      <c r="E425" s="35"/>
      <c r="F425" s="40"/>
      <c r="G425" s="33"/>
      <c r="H425" s="39"/>
      <c r="I425" s="248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</row>
    <row r="426" ht="15.75" customHeight="1">
      <c r="A426" s="35"/>
      <c r="B426" s="33"/>
      <c r="C426" s="33"/>
      <c r="D426" s="35"/>
      <c r="E426" s="35"/>
      <c r="F426" s="40"/>
      <c r="G426" s="33"/>
      <c r="H426" s="39"/>
      <c r="I426" s="248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</row>
    <row r="427" ht="15.75" customHeight="1">
      <c r="A427" s="35"/>
      <c r="B427" s="33"/>
      <c r="C427" s="33"/>
      <c r="D427" s="35"/>
      <c r="E427" s="35"/>
      <c r="F427" s="40"/>
      <c r="G427" s="33"/>
      <c r="H427" s="39"/>
      <c r="I427" s="248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</row>
    <row r="428" ht="15.75" customHeight="1">
      <c r="A428" s="35"/>
      <c r="B428" s="33"/>
      <c r="C428" s="33"/>
      <c r="D428" s="35"/>
      <c r="E428" s="35"/>
      <c r="F428" s="40"/>
      <c r="G428" s="33"/>
      <c r="H428" s="39"/>
      <c r="I428" s="248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</row>
    <row r="429" ht="15.75" customHeight="1">
      <c r="A429" s="35"/>
      <c r="B429" s="33"/>
      <c r="C429" s="33"/>
      <c r="D429" s="35"/>
      <c r="E429" s="35"/>
      <c r="F429" s="40"/>
      <c r="G429" s="33"/>
      <c r="H429" s="39"/>
      <c r="I429" s="248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</row>
    <row r="430" ht="15.75" customHeight="1">
      <c r="A430" s="35"/>
      <c r="B430" s="33"/>
      <c r="C430" s="33"/>
      <c r="D430" s="35"/>
      <c r="E430" s="35"/>
      <c r="F430" s="40"/>
      <c r="G430" s="33"/>
      <c r="H430" s="39"/>
      <c r="I430" s="248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</row>
    <row r="431" ht="15.75" customHeight="1">
      <c r="A431" s="35"/>
      <c r="B431" s="33"/>
      <c r="C431" s="33"/>
      <c r="D431" s="35"/>
      <c r="E431" s="35"/>
      <c r="F431" s="40"/>
      <c r="G431" s="33"/>
      <c r="H431" s="39"/>
      <c r="I431" s="248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</row>
    <row r="432" ht="15.75" customHeight="1">
      <c r="A432" s="35"/>
      <c r="B432" s="33"/>
      <c r="C432" s="33"/>
      <c r="D432" s="35"/>
      <c r="E432" s="35"/>
      <c r="F432" s="40"/>
      <c r="G432" s="33"/>
      <c r="H432" s="39"/>
      <c r="I432" s="248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</row>
    <row r="433" ht="15.75" customHeight="1">
      <c r="A433" s="35"/>
      <c r="B433" s="33"/>
      <c r="C433" s="33"/>
      <c r="D433" s="35"/>
      <c r="E433" s="35"/>
      <c r="F433" s="40"/>
      <c r="G433" s="33"/>
      <c r="H433" s="39"/>
      <c r="I433" s="248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</row>
    <row r="434" ht="15.75" customHeight="1">
      <c r="A434" s="35"/>
      <c r="B434" s="33"/>
      <c r="C434" s="33"/>
      <c r="D434" s="35"/>
      <c r="E434" s="35"/>
      <c r="F434" s="40"/>
      <c r="G434" s="33"/>
      <c r="H434" s="39"/>
      <c r="I434" s="248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</row>
    <row r="435" ht="15.75" customHeight="1">
      <c r="A435" s="35"/>
      <c r="B435" s="33"/>
      <c r="C435" s="33"/>
      <c r="D435" s="35"/>
      <c r="E435" s="35"/>
      <c r="F435" s="40"/>
      <c r="G435" s="33"/>
      <c r="H435" s="39"/>
      <c r="I435" s="248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</row>
    <row r="436" ht="15.75" customHeight="1">
      <c r="A436" s="35"/>
      <c r="B436" s="33"/>
      <c r="C436" s="33"/>
      <c r="D436" s="35"/>
      <c r="E436" s="35"/>
      <c r="F436" s="40"/>
      <c r="G436" s="33"/>
      <c r="H436" s="39"/>
      <c r="I436" s="248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</row>
    <row r="437" ht="15.75" customHeight="1">
      <c r="A437" s="35"/>
      <c r="B437" s="33"/>
      <c r="C437" s="33"/>
      <c r="D437" s="35"/>
      <c r="E437" s="35"/>
      <c r="F437" s="40"/>
      <c r="G437" s="33"/>
      <c r="H437" s="39"/>
      <c r="I437" s="248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</row>
    <row r="438" ht="15.75" customHeight="1">
      <c r="A438" s="35"/>
      <c r="B438" s="33"/>
      <c r="C438" s="33"/>
      <c r="D438" s="35"/>
      <c r="E438" s="35"/>
      <c r="F438" s="40"/>
      <c r="G438" s="33"/>
      <c r="H438" s="39"/>
      <c r="I438" s="248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</row>
    <row r="439" ht="15.75" customHeight="1">
      <c r="A439" s="35"/>
      <c r="B439" s="33"/>
      <c r="C439" s="33"/>
      <c r="D439" s="35"/>
      <c r="E439" s="35"/>
      <c r="F439" s="40"/>
      <c r="G439" s="33"/>
      <c r="H439" s="39"/>
      <c r="I439" s="248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</row>
    <row r="440" ht="15.75" customHeight="1">
      <c r="A440" s="35"/>
      <c r="B440" s="33"/>
      <c r="C440" s="33"/>
      <c r="D440" s="35"/>
      <c r="E440" s="35"/>
      <c r="F440" s="40"/>
      <c r="G440" s="33"/>
      <c r="H440" s="39"/>
      <c r="I440" s="248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</row>
    <row r="441" ht="15.75" customHeight="1">
      <c r="A441" s="35"/>
      <c r="B441" s="33"/>
      <c r="C441" s="33"/>
      <c r="D441" s="35"/>
      <c r="E441" s="35"/>
      <c r="F441" s="40"/>
      <c r="G441" s="33"/>
      <c r="H441" s="39"/>
      <c r="I441" s="248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</row>
    <row r="442" ht="15.75" customHeight="1">
      <c r="A442" s="35"/>
      <c r="B442" s="33"/>
      <c r="C442" s="33"/>
      <c r="D442" s="35"/>
      <c r="E442" s="35"/>
      <c r="F442" s="40"/>
      <c r="G442" s="33"/>
      <c r="H442" s="39"/>
      <c r="I442" s="248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</row>
    <row r="443" ht="15.75" customHeight="1">
      <c r="A443" s="35"/>
      <c r="B443" s="33"/>
      <c r="C443" s="33"/>
      <c r="D443" s="35"/>
      <c r="E443" s="35"/>
      <c r="F443" s="40"/>
      <c r="G443" s="33"/>
      <c r="H443" s="39"/>
      <c r="I443" s="248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</row>
    <row r="444" ht="15.75" customHeight="1">
      <c r="A444" s="35"/>
      <c r="B444" s="33"/>
      <c r="C444" s="33"/>
      <c r="D444" s="35"/>
      <c r="E444" s="35"/>
      <c r="F444" s="40"/>
      <c r="G444" s="33"/>
      <c r="H444" s="39"/>
      <c r="I444" s="248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</row>
    <row r="445" ht="15.75" customHeight="1">
      <c r="A445" s="35"/>
      <c r="B445" s="33"/>
      <c r="C445" s="33"/>
      <c r="D445" s="35"/>
      <c r="E445" s="35"/>
      <c r="F445" s="40"/>
      <c r="G445" s="33"/>
      <c r="H445" s="39"/>
      <c r="I445" s="248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</row>
    <row r="446" ht="15.75" customHeight="1">
      <c r="A446" s="35"/>
      <c r="B446" s="33"/>
      <c r="C446" s="33"/>
      <c r="D446" s="35"/>
      <c r="E446" s="35"/>
      <c r="F446" s="40"/>
      <c r="G446" s="33"/>
      <c r="H446" s="39"/>
      <c r="I446" s="248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</row>
    <row r="447" ht="15.75" customHeight="1">
      <c r="A447" s="35"/>
      <c r="B447" s="33"/>
      <c r="C447" s="33"/>
      <c r="D447" s="35"/>
      <c r="E447" s="35"/>
      <c r="F447" s="40"/>
      <c r="G447" s="33"/>
      <c r="H447" s="39"/>
      <c r="I447" s="248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</row>
    <row r="448" ht="15.75" customHeight="1">
      <c r="A448" s="35"/>
      <c r="B448" s="33"/>
      <c r="C448" s="33"/>
      <c r="D448" s="35"/>
      <c r="E448" s="35"/>
      <c r="F448" s="40"/>
      <c r="G448" s="33"/>
      <c r="H448" s="39"/>
      <c r="I448" s="248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</row>
    <row r="449" ht="15.75" customHeight="1">
      <c r="A449" s="35"/>
      <c r="B449" s="33"/>
      <c r="C449" s="33"/>
      <c r="D449" s="35"/>
      <c r="E449" s="35"/>
      <c r="F449" s="40"/>
      <c r="G449" s="33"/>
      <c r="H449" s="39"/>
      <c r="I449" s="248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</row>
    <row r="450" ht="15.75" customHeight="1">
      <c r="A450" s="35"/>
      <c r="B450" s="33"/>
      <c r="C450" s="33"/>
      <c r="D450" s="35"/>
      <c r="E450" s="35"/>
      <c r="F450" s="40"/>
      <c r="G450" s="33"/>
      <c r="H450" s="39"/>
      <c r="I450" s="248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</row>
    <row r="451" ht="15.75" customHeight="1">
      <c r="A451" s="35"/>
      <c r="B451" s="33"/>
      <c r="C451" s="33"/>
      <c r="D451" s="35"/>
      <c r="E451" s="35"/>
      <c r="F451" s="40"/>
      <c r="G451" s="33"/>
      <c r="H451" s="39"/>
      <c r="I451" s="248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</row>
    <row r="452" ht="15.75" customHeight="1">
      <c r="A452" s="35"/>
      <c r="B452" s="33"/>
      <c r="C452" s="33"/>
      <c r="D452" s="35"/>
      <c r="E452" s="35"/>
      <c r="F452" s="40"/>
      <c r="G452" s="33"/>
      <c r="H452" s="39"/>
      <c r="I452" s="248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</row>
    <row r="453" ht="15.75" customHeight="1">
      <c r="A453" s="35"/>
      <c r="B453" s="33"/>
      <c r="C453" s="33"/>
      <c r="D453" s="35"/>
      <c r="E453" s="35"/>
      <c r="F453" s="40"/>
      <c r="G453" s="33"/>
      <c r="H453" s="39"/>
      <c r="I453" s="248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</row>
    <row r="454" ht="15.75" customHeight="1">
      <c r="A454" s="35"/>
      <c r="B454" s="33"/>
      <c r="C454" s="33"/>
      <c r="D454" s="35"/>
      <c r="E454" s="35"/>
      <c r="F454" s="40"/>
      <c r="G454" s="33"/>
      <c r="H454" s="39"/>
      <c r="I454" s="248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</row>
    <row r="455" ht="15.75" customHeight="1">
      <c r="A455" s="35"/>
      <c r="B455" s="33"/>
      <c r="C455" s="33"/>
      <c r="D455" s="35"/>
      <c r="E455" s="35"/>
      <c r="F455" s="40"/>
      <c r="G455" s="33"/>
      <c r="H455" s="39"/>
      <c r="I455" s="248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</row>
    <row r="456" ht="15.75" customHeight="1">
      <c r="A456" s="35"/>
      <c r="B456" s="33"/>
      <c r="C456" s="33"/>
      <c r="D456" s="35"/>
      <c r="E456" s="35"/>
      <c r="F456" s="40"/>
      <c r="G456" s="33"/>
      <c r="H456" s="39"/>
      <c r="I456" s="248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</row>
    <row r="457" ht="15.75" customHeight="1">
      <c r="A457" s="35"/>
      <c r="B457" s="33"/>
      <c r="C457" s="33"/>
      <c r="D457" s="35"/>
      <c r="E457" s="35"/>
      <c r="F457" s="40"/>
      <c r="G457" s="33"/>
      <c r="H457" s="39"/>
      <c r="I457" s="248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</row>
    <row r="458" ht="15.75" customHeight="1">
      <c r="A458" s="35"/>
      <c r="B458" s="33"/>
      <c r="C458" s="33"/>
      <c r="D458" s="35"/>
      <c r="E458" s="35"/>
      <c r="F458" s="40"/>
      <c r="G458" s="33"/>
      <c r="H458" s="39"/>
      <c r="I458" s="248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</row>
    <row r="459" ht="15.75" customHeight="1">
      <c r="A459" s="35"/>
      <c r="B459" s="33"/>
      <c r="C459" s="33"/>
      <c r="D459" s="35"/>
      <c r="E459" s="35"/>
      <c r="F459" s="40"/>
      <c r="G459" s="33"/>
      <c r="H459" s="39"/>
      <c r="I459" s="248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</row>
    <row r="460" ht="15.75" customHeight="1">
      <c r="A460" s="35"/>
      <c r="B460" s="33"/>
      <c r="C460" s="33"/>
      <c r="D460" s="35"/>
      <c r="E460" s="35"/>
      <c r="F460" s="40"/>
      <c r="G460" s="33"/>
      <c r="H460" s="39"/>
      <c r="I460" s="248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</row>
    <row r="461" ht="15.75" customHeight="1">
      <c r="A461" s="35"/>
      <c r="B461" s="33"/>
      <c r="C461" s="33"/>
      <c r="D461" s="35"/>
      <c r="E461" s="35"/>
      <c r="F461" s="40"/>
      <c r="G461" s="33"/>
      <c r="H461" s="39"/>
      <c r="I461" s="248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</row>
    <row r="462" ht="15.75" customHeight="1">
      <c r="A462" s="35"/>
      <c r="B462" s="33"/>
      <c r="C462" s="33"/>
      <c r="D462" s="35"/>
      <c r="E462" s="35"/>
      <c r="F462" s="40"/>
      <c r="G462" s="33"/>
      <c r="H462" s="39"/>
      <c r="I462" s="248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</row>
    <row r="463" ht="15.75" customHeight="1">
      <c r="A463" s="35"/>
      <c r="B463" s="33"/>
      <c r="C463" s="33"/>
      <c r="D463" s="35"/>
      <c r="E463" s="35"/>
      <c r="F463" s="40"/>
      <c r="G463" s="33"/>
      <c r="H463" s="39"/>
      <c r="I463" s="248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</row>
    <row r="464" ht="15.75" customHeight="1">
      <c r="A464" s="35"/>
      <c r="B464" s="33"/>
      <c r="C464" s="33"/>
      <c r="D464" s="35"/>
      <c r="E464" s="35"/>
      <c r="F464" s="40"/>
      <c r="G464" s="33"/>
      <c r="H464" s="39"/>
      <c r="I464" s="248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</row>
    <row r="465" ht="15.75" customHeight="1">
      <c r="A465" s="35"/>
      <c r="B465" s="33"/>
      <c r="C465" s="33"/>
      <c r="D465" s="35"/>
      <c r="E465" s="35"/>
      <c r="F465" s="40"/>
      <c r="G465" s="33"/>
      <c r="H465" s="39"/>
      <c r="I465" s="248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</row>
    <row r="466" ht="15.75" customHeight="1">
      <c r="A466" s="35"/>
      <c r="B466" s="33"/>
      <c r="C466" s="33"/>
      <c r="D466" s="35"/>
      <c r="E466" s="35"/>
      <c r="F466" s="40"/>
      <c r="G466" s="33"/>
      <c r="H466" s="39"/>
      <c r="I466" s="248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</row>
    <row r="467" ht="15.75" customHeight="1">
      <c r="A467" s="35"/>
      <c r="B467" s="33"/>
      <c r="C467" s="33"/>
      <c r="D467" s="35"/>
      <c r="E467" s="35"/>
      <c r="F467" s="40"/>
      <c r="G467" s="33"/>
      <c r="H467" s="39"/>
      <c r="I467" s="248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</row>
    <row r="468" ht="15.75" customHeight="1">
      <c r="A468" s="35"/>
      <c r="B468" s="33"/>
      <c r="C468" s="33"/>
      <c r="D468" s="35"/>
      <c r="E468" s="35"/>
      <c r="F468" s="40"/>
      <c r="G468" s="33"/>
      <c r="H468" s="39"/>
      <c r="I468" s="248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</row>
    <row r="469" ht="15.75" customHeight="1">
      <c r="A469" s="35"/>
      <c r="B469" s="33"/>
      <c r="C469" s="33"/>
      <c r="D469" s="35"/>
      <c r="E469" s="35"/>
      <c r="F469" s="40"/>
      <c r="G469" s="33"/>
      <c r="H469" s="39"/>
      <c r="I469" s="248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</row>
    <row r="470" ht="15.75" customHeight="1">
      <c r="A470" s="35"/>
      <c r="B470" s="33"/>
      <c r="C470" s="33"/>
      <c r="D470" s="35"/>
      <c r="E470" s="35"/>
      <c r="F470" s="40"/>
      <c r="G470" s="33"/>
      <c r="H470" s="39"/>
      <c r="I470" s="248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</row>
    <row r="471" ht="15.75" customHeight="1">
      <c r="A471" s="35"/>
      <c r="B471" s="33"/>
      <c r="C471" s="33"/>
      <c r="D471" s="35"/>
      <c r="E471" s="35"/>
      <c r="F471" s="40"/>
      <c r="G471" s="33"/>
      <c r="H471" s="39"/>
      <c r="I471" s="248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</row>
    <row r="472" ht="15.75" customHeight="1">
      <c r="A472" s="35"/>
      <c r="B472" s="33"/>
      <c r="C472" s="33"/>
      <c r="D472" s="35"/>
      <c r="E472" s="35"/>
      <c r="F472" s="40"/>
      <c r="G472" s="33"/>
      <c r="H472" s="39"/>
      <c r="I472" s="248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</row>
    <row r="473" ht="15.75" customHeight="1">
      <c r="A473" s="35"/>
      <c r="B473" s="33"/>
      <c r="C473" s="33"/>
      <c r="D473" s="35"/>
      <c r="E473" s="35"/>
      <c r="F473" s="40"/>
      <c r="G473" s="33"/>
      <c r="H473" s="39"/>
      <c r="I473" s="248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</row>
    <row r="474" ht="15.75" customHeight="1">
      <c r="A474" s="35"/>
      <c r="B474" s="33"/>
      <c r="C474" s="33"/>
      <c r="D474" s="35"/>
      <c r="E474" s="35"/>
      <c r="F474" s="40"/>
      <c r="G474" s="33"/>
      <c r="H474" s="39"/>
      <c r="I474" s="248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</row>
    <row r="475" ht="15.75" customHeight="1">
      <c r="A475" s="35"/>
      <c r="B475" s="33"/>
      <c r="C475" s="33"/>
      <c r="D475" s="35"/>
      <c r="E475" s="35"/>
      <c r="F475" s="40"/>
      <c r="G475" s="33"/>
      <c r="H475" s="39"/>
      <c r="I475" s="248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</row>
    <row r="476" ht="15.75" customHeight="1">
      <c r="A476" s="35"/>
      <c r="B476" s="33"/>
      <c r="C476" s="33"/>
      <c r="D476" s="35"/>
      <c r="E476" s="35"/>
      <c r="F476" s="40"/>
      <c r="G476" s="33"/>
      <c r="H476" s="39"/>
      <c r="I476" s="248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</row>
    <row r="477" ht="15.75" customHeight="1">
      <c r="A477" s="35"/>
      <c r="B477" s="33"/>
      <c r="C477" s="33"/>
      <c r="D477" s="35"/>
      <c r="E477" s="35"/>
      <c r="F477" s="40"/>
      <c r="G477" s="33"/>
      <c r="H477" s="39"/>
      <c r="I477" s="248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</row>
    <row r="478" ht="15.75" customHeight="1">
      <c r="A478" s="35"/>
      <c r="B478" s="33"/>
      <c r="C478" s="33"/>
      <c r="D478" s="35"/>
      <c r="E478" s="35"/>
      <c r="F478" s="40"/>
      <c r="G478" s="33"/>
      <c r="H478" s="39"/>
      <c r="I478" s="248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</row>
    <row r="479" ht="15.75" customHeight="1">
      <c r="A479" s="35"/>
      <c r="B479" s="33"/>
      <c r="C479" s="33"/>
      <c r="D479" s="35"/>
      <c r="E479" s="35"/>
      <c r="F479" s="40"/>
      <c r="G479" s="33"/>
      <c r="H479" s="39"/>
      <c r="I479" s="248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</row>
    <row r="480" ht="15.75" customHeight="1">
      <c r="A480" s="35"/>
      <c r="B480" s="33"/>
      <c r="C480" s="33"/>
      <c r="D480" s="35"/>
      <c r="E480" s="35"/>
      <c r="F480" s="40"/>
      <c r="G480" s="33"/>
      <c r="H480" s="39"/>
      <c r="I480" s="248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</row>
    <row r="481" ht="15.75" customHeight="1">
      <c r="A481" s="35"/>
      <c r="B481" s="33"/>
      <c r="C481" s="33"/>
      <c r="D481" s="35"/>
      <c r="E481" s="35"/>
      <c r="F481" s="40"/>
      <c r="G481" s="33"/>
      <c r="H481" s="39"/>
      <c r="I481" s="248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</row>
    <row r="482" ht="15.75" customHeight="1">
      <c r="A482" s="35"/>
      <c r="B482" s="33"/>
      <c r="C482" s="33"/>
      <c r="D482" s="35"/>
      <c r="E482" s="35"/>
      <c r="F482" s="40"/>
      <c r="G482" s="33"/>
      <c r="H482" s="39"/>
      <c r="I482" s="248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</row>
    <row r="483" ht="15.75" customHeight="1">
      <c r="A483" s="35"/>
      <c r="B483" s="33"/>
      <c r="C483" s="33"/>
      <c r="D483" s="35"/>
      <c r="E483" s="35"/>
      <c r="F483" s="40"/>
      <c r="G483" s="33"/>
      <c r="H483" s="39"/>
      <c r="I483" s="248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</row>
    <row r="484" ht="15.75" customHeight="1">
      <c r="A484" s="35"/>
      <c r="B484" s="33"/>
      <c r="C484" s="33"/>
      <c r="D484" s="35"/>
      <c r="E484" s="35"/>
      <c r="F484" s="40"/>
      <c r="G484" s="33"/>
      <c r="H484" s="39"/>
      <c r="I484" s="248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</row>
    <row r="485" ht="15.75" customHeight="1">
      <c r="A485" s="35"/>
      <c r="B485" s="33"/>
      <c r="C485" s="33"/>
      <c r="D485" s="35"/>
      <c r="E485" s="35"/>
      <c r="F485" s="40"/>
      <c r="G485" s="33"/>
      <c r="H485" s="39"/>
      <c r="I485" s="248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</row>
    <row r="486" ht="15.75" customHeight="1">
      <c r="A486" s="35"/>
      <c r="B486" s="33"/>
      <c r="C486" s="33"/>
      <c r="D486" s="35"/>
      <c r="E486" s="35"/>
      <c r="F486" s="40"/>
      <c r="G486" s="33"/>
      <c r="H486" s="39"/>
      <c r="I486" s="248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</row>
    <row r="487" ht="15.75" customHeight="1">
      <c r="A487" s="35"/>
      <c r="B487" s="33"/>
      <c r="C487" s="33"/>
      <c r="D487" s="35"/>
      <c r="E487" s="35"/>
      <c r="F487" s="40"/>
      <c r="G487" s="33"/>
      <c r="H487" s="39"/>
      <c r="I487" s="248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</row>
    <row r="488" ht="15.75" customHeight="1">
      <c r="A488" s="35"/>
      <c r="B488" s="33"/>
      <c r="C488" s="33"/>
      <c r="D488" s="35"/>
      <c r="E488" s="35"/>
      <c r="F488" s="40"/>
      <c r="G488" s="33"/>
      <c r="H488" s="39"/>
      <c r="I488" s="248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</row>
    <row r="489" ht="15.75" customHeight="1">
      <c r="A489" s="35"/>
      <c r="B489" s="33"/>
      <c r="C489" s="33"/>
      <c r="D489" s="35"/>
      <c r="E489" s="35"/>
      <c r="F489" s="40"/>
      <c r="G489" s="33"/>
      <c r="H489" s="39"/>
      <c r="I489" s="248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</row>
    <row r="490" ht="15.75" customHeight="1">
      <c r="A490" s="35"/>
      <c r="B490" s="33"/>
      <c r="C490" s="33"/>
      <c r="D490" s="35"/>
      <c r="E490" s="35"/>
      <c r="F490" s="40"/>
      <c r="G490" s="33"/>
      <c r="H490" s="39"/>
      <c r="I490" s="248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</row>
    <row r="491" ht="15.75" customHeight="1">
      <c r="A491" s="35"/>
      <c r="B491" s="33"/>
      <c r="C491" s="33"/>
      <c r="D491" s="35"/>
      <c r="E491" s="35"/>
      <c r="F491" s="40"/>
      <c r="G491" s="33"/>
      <c r="H491" s="39"/>
      <c r="I491" s="248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</row>
    <row r="492" ht="15.75" customHeight="1">
      <c r="A492" s="35"/>
      <c r="B492" s="33"/>
      <c r="C492" s="33"/>
      <c r="D492" s="35"/>
      <c r="E492" s="35"/>
      <c r="F492" s="40"/>
      <c r="G492" s="33"/>
      <c r="H492" s="39"/>
      <c r="I492" s="248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</row>
    <row r="493" ht="15.75" customHeight="1">
      <c r="A493" s="35"/>
      <c r="B493" s="33"/>
      <c r="C493" s="33"/>
      <c r="D493" s="35"/>
      <c r="E493" s="35"/>
      <c r="F493" s="40"/>
      <c r="G493" s="33"/>
      <c r="H493" s="39"/>
      <c r="I493" s="248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</row>
    <row r="494" ht="15.75" customHeight="1">
      <c r="A494" s="35"/>
      <c r="B494" s="33"/>
      <c r="C494" s="33"/>
      <c r="D494" s="35"/>
      <c r="E494" s="35"/>
      <c r="F494" s="40"/>
      <c r="G494" s="33"/>
      <c r="H494" s="39"/>
      <c r="I494" s="248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</row>
    <row r="495" ht="15.75" customHeight="1">
      <c r="A495" s="35"/>
      <c r="B495" s="33"/>
      <c r="C495" s="33"/>
      <c r="D495" s="35"/>
      <c r="E495" s="35"/>
      <c r="F495" s="40"/>
      <c r="G495" s="33"/>
      <c r="H495" s="39"/>
      <c r="I495" s="248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</row>
    <row r="496" ht="15.75" customHeight="1">
      <c r="A496" s="35"/>
      <c r="B496" s="33"/>
      <c r="C496" s="33"/>
      <c r="D496" s="35"/>
      <c r="E496" s="35"/>
      <c r="F496" s="40"/>
      <c r="G496" s="33"/>
      <c r="H496" s="39"/>
      <c r="I496" s="248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</row>
    <row r="497" ht="15.75" customHeight="1">
      <c r="A497" s="35"/>
      <c r="B497" s="33"/>
      <c r="C497" s="33"/>
      <c r="D497" s="35"/>
      <c r="E497" s="35"/>
      <c r="F497" s="40"/>
      <c r="G497" s="33"/>
      <c r="H497" s="39"/>
      <c r="I497" s="248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</row>
    <row r="498" ht="15.75" customHeight="1">
      <c r="A498" s="35"/>
      <c r="B498" s="33"/>
      <c r="C498" s="33"/>
      <c r="D498" s="35"/>
      <c r="E498" s="35"/>
      <c r="F498" s="40"/>
      <c r="G498" s="33"/>
      <c r="H498" s="39"/>
      <c r="I498" s="248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</row>
    <row r="499" ht="15.75" customHeight="1">
      <c r="A499" s="35"/>
      <c r="B499" s="33"/>
      <c r="C499" s="33"/>
      <c r="D499" s="35"/>
      <c r="E499" s="35"/>
      <c r="F499" s="40"/>
      <c r="G499" s="33"/>
      <c r="H499" s="39"/>
      <c r="I499" s="248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</row>
    <row r="500" ht="15.75" customHeight="1">
      <c r="A500" s="35"/>
      <c r="B500" s="33"/>
      <c r="C500" s="33"/>
      <c r="D500" s="35"/>
      <c r="E500" s="35"/>
      <c r="F500" s="40"/>
      <c r="G500" s="33"/>
      <c r="H500" s="39"/>
      <c r="I500" s="248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</row>
    <row r="501" ht="15.75" customHeight="1">
      <c r="A501" s="35"/>
      <c r="B501" s="33"/>
      <c r="C501" s="33"/>
      <c r="D501" s="35"/>
      <c r="E501" s="35"/>
      <c r="F501" s="40"/>
      <c r="G501" s="33"/>
      <c r="H501" s="39"/>
      <c r="I501" s="248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</row>
    <row r="502" ht="15.75" customHeight="1">
      <c r="A502" s="35"/>
      <c r="B502" s="33"/>
      <c r="C502" s="33"/>
      <c r="D502" s="35"/>
      <c r="E502" s="35"/>
      <c r="F502" s="40"/>
      <c r="G502" s="33"/>
      <c r="H502" s="39"/>
      <c r="I502" s="248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</row>
    <row r="503" ht="15.75" customHeight="1">
      <c r="A503" s="35"/>
      <c r="B503" s="33"/>
      <c r="C503" s="33"/>
      <c r="D503" s="35"/>
      <c r="E503" s="35"/>
      <c r="F503" s="40"/>
      <c r="G503" s="33"/>
      <c r="H503" s="39"/>
      <c r="I503" s="248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</row>
    <row r="504" ht="15.75" customHeight="1">
      <c r="A504" s="35"/>
      <c r="B504" s="33"/>
      <c r="C504" s="33"/>
      <c r="D504" s="35"/>
      <c r="E504" s="35"/>
      <c r="F504" s="40"/>
      <c r="G504" s="33"/>
      <c r="H504" s="39"/>
      <c r="I504" s="248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</row>
    <row r="505" ht="15.75" customHeight="1">
      <c r="A505" s="35"/>
      <c r="B505" s="33"/>
      <c r="C505" s="33"/>
      <c r="D505" s="35"/>
      <c r="E505" s="35"/>
      <c r="F505" s="40"/>
      <c r="G505" s="33"/>
      <c r="H505" s="39"/>
      <c r="I505" s="248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</row>
    <row r="506" ht="15.75" customHeight="1">
      <c r="A506" s="35"/>
      <c r="B506" s="33"/>
      <c r="C506" s="33"/>
      <c r="D506" s="35"/>
      <c r="E506" s="35"/>
      <c r="F506" s="40"/>
      <c r="G506" s="33"/>
      <c r="H506" s="39"/>
      <c r="I506" s="248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</row>
    <row r="507" ht="15.75" customHeight="1">
      <c r="A507" s="35"/>
      <c r="B507" s="33"/>
      <c r="C507" s="33"/>
      <c r="D507" s="35"/>
      <c r="E507" s="35"/>
      <c r="F507" s="40"/>
      <c r="G507" s="33"/>
      <c r="H507" s="39"/>
      <c r="I507" s="248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</row>
    <row r="508" ht="15.75" customHeight="1">
      <c r="A508" s="35"/>
      <c r="B508" s="33"/>
      <c r="C508" s="33"/>
      <c r="D508" s="35"/>
      <c r="E508" s="35"/>
      <c r="F508" s="40"/>
      <c r="G508" s="33"/>
      <c r="H508" s="39"/>
      <c r="I508" s="248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</row>
    <row r="509" ht="15.75" customHeight="1">
      <c r="A509" s="35"/>
      <c r="B509" s="33"/>
      <c r="C509" s="33"/>
      <c r="D509" s="35"/>
      <c r="E509" s="35"/>
      <c r="F509" s="40"/>
      <c r="G509" s="33"/>
      <c r="H509" s="39"/>
      <c r="I509" s="248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</row>
    <row r="510" ht="15.75" customHeight="1">
      <c r="A510" s="35"/>
      <c r="B510" s="33"/>
      <c r="C510" s="33"/>
      <c r="D510" s="35"/>
      <c r="E510" s="35"/>
      <c r="F510" s="40"/>
      <c r="G510" s="33"/>
      <c r="H510" s="39"/>
      <c r="I510" s="248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</row>
    <row r="511" ht="15.75" customHeight="1">
      <c r="A511" s="35"/>
      <c r="B511" s="33"/>
      <c r="C511" s="33"/>
      <c r="D511" s="35"/>
      <c r="E511" s="35"/>
      <c r="F511" s="40"/>
      <c r="G511" s="33"/>
      <c r="H511" s="39"/>
      <c r="I511" s="248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</row>
    <row r="512" ht="15.75" customHeight="1">
      <c r="A512" s="35"/>
      <c r="B512" s="33"/>
      <c r="C512" s="33"/>
      <c r="D512" s="35"/>
      <c r="E512" s="35"/>
      <c r="F512" s="40"/>
      <c r="G512" s="33"/>
      <c r="H512" s="39"/>
      <c r="I512" s="248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</row>
    <row r="513" ht="15.75" customHeight="1">
      <c r="A513" s="35"/>
      <c r="B513" s="33"/>
      <c r="C513" s="33"/>
      <c r="D513" s="35"/>
      <c r="E513" s="35"/>
      <c r="F513" s="40"/>
      <c r="G513" s="33"/>
      <c r="H513" s="39"/>
      <c r="I513" s="248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</row>
    <row r="514" ht="15.75" customHeight="1">
      <c r="A514" s="35"/>
      <c r="B514" s="33"/>
      <c r="C514" s="33"/>
      <c r="D514" s="35"/>
      <c r="E514" s="35"/>
      <c r="F514" s="40"/>
      <c r="G514" s="33"/>
      <c r="H514" s="39"/>
      <c r="I514" s="248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</row>
    <row r="515" ht="15.75" customHeight="1">
      <c r="A515" s="35"/>
      <c r="B515" s="33"/>
      <c r="C515" s="33"/>
      <c r="D515" s="35"/>
      <c r="E515" s="35"/>
      <c r="F515" s="40"/>
      <c r="G515" s="33"/>
      <c r="H515" s="39"/>
      <c r="I515" s="248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</row>
    <row r="516" ht="15.75" customHeight="1">
      <c r="A516" s="35"/>
      <c r="B516" s="33"/>
      <c r="C516" s="33"/>
      <c r="D516" s="35"/>
      <c r="E516" s="35"/>
      <c r="F516" s="40"/>
      <c r="G516" s="33"/>
      <c r="H516" s="39"/>
      <c r="I516" s="248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</row>
    <row r="517" ht="15.75" customHeight="1">
      <c r="A517" s="35"/>
      <c r="B517" s="33"/>
      <c r="C517" s="33"/>
      <c r="D517" s="35"/>
      <c r="E517" s="35"/>
      <c r="F517" s="40"/>
      <c r="G517" s="33"/>
      <c r="H517" s="39"/>
      <c r="I517" s="248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</row>
    <row r="518" ht="15.75" customHeight="1">
      <c r="A518" s="35"/>
      <c r="B518" s="33"/>
      <c r="C518" s="33"/>
      <c r="D518" s="35"/>
      <c r="E518" s="35"/>
      <c r="F518" s="40"/>
      <c r="G518" s="33"/>
      <c r="H518" s="39"/>
      <c r="I518" s="248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</row>
    <row r="519" ht="15.75" customHeight="1">
      <c r="A519" s="35"/>
      <c r="B519" s="33"/>
      <c r="C519" s="33"/>
      <c r="D519" s="35"/>
      <c r="E519" s="35"/>
      <c r="F519" s="40"/>
      <c r="G519" s="33"/>
      <c r="H519" s="39"/>
      <c r="I519" s="248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</row>
    <row r="520" ht="15.75" customHeight="1">
      <c r="A520" s="35"/>
      <c r="B520" s="33"/>
      <c r="C520" s="33"/>
      <c r="D520" s="35"/>
      <c r="E520" s="35"/>
      <c r="F520" s="40"/>
      <c r="G520" s="33"/>
      <c r="H520" s="39"/>
      <c r="I520" s="248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</row>
    <row r="521" ht="15.75" customHeight="1">
      <c r="A521" s="35"/>
      <c r="B521" s="33"/>
      <c r="C521" s="33"/>
      <c r="D521" s="35"/>
      <c r="E521" s="35"/>
      <c r="F521" s="40"/>
      <c r="G521" s="33"/>
      <c r="H521" s="39"/>
      <c r="I521" s="248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</row>
    <row r="522" ht="15.75" customHeight="1">
      <c r="A522" s="35"/>
      <c r="B522" s="33"/>
      <c r="C522" s="33"/>
      <c r="D522" s="35"/>
      <c r="E522" s="35"/>
      <c r="F522" s="40"/>
      <c r="G522" s="33"/>
      <c r="H522" s="39"/>
      <c r="I522" s="248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</row>
    <row r="523" ht="15.75" customHeight="1">
      <c r="A523" s="35"/>
      <c r="B523" s="33"/>
      <c r="C523" s="33"/>
      <c r="D523" s="35"/>
      <c r="E523" s="35"/>
      <c r="F523" s="40"/>
      <c r="G523" s="33"/>
      <c r="H523" s="39"/>
      <c r="I523" s="248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</row>
    <row r="524" ht="15.75" customHeight="1">
      <c r="A524" s="35"/>
      <c r="B524" s="33"/>
      <c r="C524" s="33"/>
      <c r="D524" s="35"/>
      <c r="E524" s="35"/>
      <c r="F524" s="40"/>
      <c r="G524" s="33"/>
      <c r="H524" s="39"/>
      <c r="I524" s="248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</row>
    <row r="525" ht="15.75" customHeight="1">
      <c r="A525" s="35"/>
      <c r="B525" s="33"/>
      <c r="C525" s="33"/>
      <c r="D525" s="35"/>
      <c r="E525" s="35"/>
      <c r="F525" s="40"/>
      <c r="G525" s="33"/>
      <c r="H525" s="39"/>
      <c r="I525" s="248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</row>
    <row r="526" ht="15.75" customHeight="1">
      <c r="A526" s="35"/>
      <c r="B526" s="33"/>
      <c r="C526" s="33"/>
      <c r="D526" s="35"/>
      <c r="E526" s="35"/>
      <c r="F526" s="40"/>
      <c r="G526" s="33"/>
      <c r="H526" s="39"/>
      <c r="I526" s="248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</row>
    <row r="527" ht="15.75" customHeight="1">
      <c r="A527" s="35"/>
      <c r="B527" s="33"/>
      <c r="C527" s="33"/>
      <c r="D527" s="35"/>
      <c r="E527" s="35"/>
      <c r="F527" s="40"/>
      <c r="G527" s="33"/>
      <c r="H527" s="39"/>
      <c r="I527" s="248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</row>
    <row r="528" ht="15.75" customHeight="1">
      <c r="A528" s="35"/>
      <c r="B528" s="33"/>
      <c r="C528" s="33"/>
      <c r="D528" s="35"/>
      <c r="E528" s="35"/>
      <c r="F528" s="40"/>
      <c r="G528" s="33"/>
      <c r="H528" s="39"/>
      <c r="I528" s="248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</row>
    <row r="529" ht="15.75" customHeight="1">
      <c r="A529" s="35"/>
      <c r="B529" s="33"/>
      <c r="C529" s="33"/>
      <c r="D529" s="35"/>
      <c r="E529" s="35"/>
      <c r="F529" s="40"/>
      <c r="G529" s="33"/>
      <c r="H529" s="39"/>
      <c r="I529" s="248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</row>
    <row r="530" ht="15.75" customHeight="1">
      <c r="A530" s="35"/>
      <c r="B530" s="33"/>
      <c r="C530" s="33"/>
      <c r="D530" s="35"/>
      <c r="E530" s="35"/>
      <c r="F530" s="40"/>
      <c r="G530" s="33"/>
      <c r="H530" s="39"/>
      <c r="I530" s="248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</row>
    <row r="531" ht="15.75" customHeight="1">
      <c r="A531" s="35"/>
      <c r="B531" s="33"/>
      <c r="C531" s="33"/>
      <c r="D531" s="35"/>
      <c r="E531" s="35"/>
      <c r="F531" s="40"/>
      <c r="G531" s="33"/>
      <c r="H531" s="39"/>
      <c r="I531" s="248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</row>
    <row r="532" ht="15.75" customHeight="1">
      <c r="A532" s="35"/>
      <c r="B532" s="33"/>
      <c r="C532" s="33"/>
      <c r="D532" s="35"/>
      <c r="E532" s="35"/>
      <c r="F532" s="40"/>
      <c r="G532" s="33"/>
      <c r="H532" s="39"/>
      <c r="I532" s="248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</row>
    <row r="533" ht="15.75" customHeight="1">
      <c r="A533" s="35"/>
      <c r="B533" s="33"/>
      <c r="C533" s="33"/>
      <c r="D533" s="35"/>
      <c r="E533" s="35"/>
      <c r="F533" s="40"/>
      <c r="G533" s="33"/>
      <c r="H533" s="39"/>
      <c r="I533" s="248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</row>
    <row r="534" ht="15.75" customHeight="1">
      <c r="A534" s="35"/>
      <c r="B534" s="33"/>
      <c r="C534" s="33"/>
      <c r="D534" s="35"/>
      <c r="E534" s="35"/>
      <c r="F534" s="40"/>
      <c r="G534" s="33"/>
      <c r="H534" s="39"/>
      <c r="I534" s="248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</row>
    <row r="535" ht="15.75" customHeight="1">
      <c r="A535" s="35"/>
      <c r="B535" s="33"/>
      <c r="C535" s="33"/>
      <c r="D535" s="35"/>
      <c r="E535" s="35"/>
      <c r="F535" s="40"/>
      <c r="G535" s="33"/>
      <c r="H535" s="39"/>
      <c r="I535" s="248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</row>
    <row r="536" ht="15.75" customHeight="1">
      <c r="A536" s="35"/>
      <c r="B536" s="33"/>
      <c r="C536" s="33"/>
      <c r="D536" s="35"/>
      <c r="E536" s="35"/>
      <c r="F536" s="40"/>
      <c r="G536" s="33"/>
      <c r="H536" s="39"/>
      <c r="I536" s="248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</row>
    <row r="537" ht="15.75" customHeight="1">
      <c r="A537" s="35"/>
      <c r="B537" s="33"/>
      <c r="C537" s="33"/>
      <c r="D537" s="35"/>
      <c r="E537" s="35"/>
      <c r="F537" s="40"/>
      <c r="G537" s="33"/>
      <c r="H537" s="39"/>
      <c r="I537" s="248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</row>
    <row r="538" ht="15.75" customHeight="1">
      <c r="A538" s="35"/>
      <c r="B538" s="33"/>
      <c r="C538" s="33"/>
      <c r="D538" s="35"/>
      <c r="E538" s="35"/>
      <c r="F538" s="40"/>
      <c r="G538" s="33"/>
      <c r="H538" s="39"/>
      <c r="I538" s="248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</row>
    <row r="539" ht="15.75" customHeight="1">
      <c r="A539" s="35"/>
      <c r="B539" s="33"/>
      <c r="C539" s="33"/>
      <c r="D539" s="35"/>
      <c r="E539" s="35"/>
      <c r="F539" s="40"/>
      <c r="G539" s="33"/>
      <c r="H539" s="39"/>
      <c r="I539" s="248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</row>
    <row r="540" ht="15.75" customHeight="1">
      <c r="A540" s="35"/>
      <c r="B540" s="33"/>
      <c r="C540" s="33"/>
      <c r="D540" s="35"/>
      <c r="E540" s="35"/>
      <c r="F540" s="40"/>
      <c r="G540" s="33"/>
      <c r="H540" s="39"/>
      <c r="I540" s="248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</row>
    <row r="541" ht="15.75" customHeight="1">
      <c r="A541" s="35"/>
      <c r="B541" s="33"/>
      <c r="C541" s="33"/>
      <c r="D541" s="35"/>
      <c r="E541" s="35"/>
      <c r="F541" s="40"/>
      <c r="G541" s="33"/>
      <c r="H541" s="39"/>
      <c r="I541" s="248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</row>
    <row r="542" ht="15.75" customHeight="1">
      <c r="A542" s="35"/>
      <c r="B542" s="33"/>
      <c r="C542" s="33"/>
      <c r="D542" s="35"/>
      <c r="E542" s="35"/>
      <c r="F542" s="40"/>
      <c r="G542" s="33"/>
      <c r="H542" s="39"/>
      <c r="I542" s="248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</row>
    <row r="543" ht="15.75" customHeight="1">
      <c r="A543" s="35"/>
      <c r="B543" s="33"/>
      <c r="C543" s="33"/>
      <c r="D543" s="35"/>
      <c r="E543" s="35"/>
      <c r="F543" s="40"/>
      <c r="G543" s="33"/>
      <c r="H543" s="39"/>
      <c r="I543" s="248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</row>
    <row r="544" ht="15.75" customHeight="1">
      <c r="A544" s="35"/>
      <c r="B544" s="33"/>
      <c r="C544" s="33"/>
      <c r="D544" s="35"/>
      <c r="E544" s="35"/>
      <c r="F544" s="40"/>
      <c r="G544" s="33"/>
      <c r="H544" s="39"/>
      <c r="I544" s="248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</row>
    <row r="545" ht="15.75" customHeight="1">
      <c r="A545" s="35"/>
      <c r="B545" s="33"/>
      <c r="C545" s="33"/>
      <c r="D545" s="35"/>
      <c r="E545" s="35"/>
      <c r="F545" s="40"/>
      <c r="G545" s="33"/>
      <c r="H545" s="39"/>
      <c r="I545" s="248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</row>
    <row r="546" ht="15.75" customHeight="1">
      <c r="A546" s="35"/>
      <c r="B546" s="33"/>
      <c r="C546" s="33"/>
      <c r="D546" s="35"/>
      <c r="E546" s="35"/>
      <c r="F546" s="40"/>
      <c r="G546" s="33"/>
      <c r="H546" s="39"/>
      <c r="I546" s="248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</row>
    <row r="547" ht="15.75" customHeight="1">
      <c r="A547" s="35"/>
      <c r="B547" s="33"/>
      <c r="C547" s="33"/>
      <c r="D547" s="35"/>
      <c r="E547" s="35"/>
      <c r="F547" s="40"/>
      <c r="G547" s="33"/>
      <c r="H547" s="39"/>
      <c r="I547" s="248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</row>
    <row r="548" ht="15.75" customHeight="1">
      <c r="A548" s="35"/>
      <c r="B548" s="33"/>
      <c r="C548" s="33"/>
      <c r="D548" s="35"/>
      <c r="E548" s="35"/>
      <c r="F548" s="40"/>
      <c r="G548" s="33"/>
      <c r="H548" s="39"/>
      <c r="I548" s="248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</row>
    <row r="549" ht="15.75" customHeight="1">
      <c r="A549" s="35"/>
      <c r="B549" s="33"/>
      <c r="C549" s="33"/>
      <c r="D549" s="35"/>
      <c r="E549" s="35"/>
      <c r="F549" s="40"/>
      <c r="G549" s="33"/>
      <c r="H549" s="39"/>
      <c r="I549" s="248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</row>
    <row r="550" ht="15.75" customHeight="1">
      <c r="A550" s="35"/>
      <c r="B550" s="33"/>
      <c r="C550" s="33"/>
      <c r="D550" s="35"/>
      <c r="E550" s="35"/>
      <c r="F550" s="40"/>
      <c r="G550" s="33"/>
      <c r="H550" s="39"/>
      <c r="I550" s="248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</row>
    <row r="551" ht="15.75" customHeight="1">
      <c r="A551" s="35"/>
      <c r="B551" s="33"/>
      <c r="C551" s="33"/>
      <c r="D551" s="35"/>
      <c r="E551" s="35"/>
      <c r="F551" s="40"/>
      <c r="G551" s="33"/>
      <c r="H551" s="39"/>
      <c r="I551" s="248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</row>
    <row r="552" ht="15.75" customHeight="1">
      <c r="A552" s="35"/>
      <c r="B552" s="33"/>
      <c r="C552" s="33"/>
      <c r="D552" s="35"/>
      <c r="E552" s="35"/>
      <c r="F552" s="40"/>
      <c r="G552" s="33"/>
      <c r="H552" s="39"/>
      <c r="I552" s="248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</row>
    <row r="553" ht="15.75" customHeight="1">
      <c r="A553" s="35"/>
      <c r="B553" s="33"/>
      <c r="C553" s="33"/>
      <c r="D553" s="35"/>
      <c r="E553" s="35"/>
      <c r="F553" s="40"/>
      <c r="G553" s="33"/>
      <c r="H553" s="39"/>
      <c r="I553" s="248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</row>
    <row r="554" ht="15.75" customHeight="1">
      <c r="A554" s="35"/>
      <c r="B554" s="33"/>
      <c r="C554" s="33"/>
      <c r="D554" s="35"/>
      <c r="E554" s="35"/>
      <c r="F554" s="40"/>
      <c r="G554" s="33"/>
      <c r="H554" s="39"/>
      <c r="I554" s="248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</row>
    <row r="555" ht="15.75" customHeight="1">
      <c r="A555" s="35"/>
      <c r="B555" s="33"/>
      <c r="C555" s="33"/>
      <c r="D555" s="35"/>
      <c r="E555" s="35"/>
      <c r="F555" s="40"/>
      <c r="G555" s="33"/>
      <c r="H555" s="39"/>
      <c r="I555" s="248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</row>
    <row r="556" ht="15.75" customHeight="1">
      <c r="A556" s="35"/>
      <c r="B556" s="33"/>
      <c r="C556" s="33"/>
      <c r="D556" s="35"/>
      <c r="E556" s="35"/>
      <c r="F556" s="40"/>
      <c r="G556" s="33"/>
      <c r="H556" s="39"/>
      <c r="I556" s="248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</row>
    <row r="557" ht="15.75" customHeight="1">
      <c r="A557" s="35"/>
      <c r="B557" s="33"/>
      <c r="C557" s="33"/>
      <c r="D557" s="35"/>
      <c r="E557" s="35"/>
      <c r="F557" s="40"/>
      <c r="G557" s="33"/>
      <c r="H557" s="39"/>
      <c r="I557" s="248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</row>
    <row r="558" ht="15.75" customHeight="1">
      <c r="A558" s="35"/>
      <c r="B558" s="33"/>
      <c r="C558" s="33"/>
      <c r="D558" s="35"/>
      <c r="E558" s="35"/>
      <c r="F558" s="40"/>
      <c r="G558" s="33"/>
      <c r="H558" s="39"/>
      <c r="I558" s="248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</row>
    <row r="559" ht="15.75" customHeight="1">
      <c r="A559" s="35"/>
      <c r="B559" s="33"/>
      <c r="C559" s="33"/>
      <c r="D559" s="35"/>
      <c r="E559" s="35"/>
      <c r="F559" s="40"/>
      <c r="G559" s="33"/>
      <c r="H559" s="39"/>
      <c r="I559" s="248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</row>
    <row r="560" ht="15.75" customHeight="1">
      <c r="A560" s="35"/>
      <c r="B560" s="33"/>
      <c r="C560" s="33"/>
      <c r="D560" s="35"/>
      <c r="E560" s="35"/>
      <c r="F560" s="40"/>
      <c r="G560" s="33"/>
      <c r="H560" s="39"/>
      <c r="I560" s="248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</row>
    <row r="561" ht="15.75" customHeight="1">
      <c r="A561" s="35"/>
      <c r="B561" s="33"/>
      <c r="C561" s="33"/>
      <c r="D561" s="35"/>
      <c r="E561" s="35"/>
      <c r="F561" s="40"/>
      <c r="G561" s="33"/>
      <c r="H561" s="39"/>
      <c r="I561" s="248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</row>
    <row r="562" ht="15.75" customHeight="1">
      <c r="A562" s="35"/>
      <c r="B562" s="33"/>
      <c r="C562" s="33"/>
      <c r="D562" s="35"/>
      <c r="E562" s="35"/>
      <c r="F562" s="40"/>
      <c r="G562" s="33"/>
      <c r="H562" s="39"/>
      <c r="I562" s="248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</row>
    <row r="563" ht="15.75" customHeight="1">
      <c r="A563" s="35"/>
      <c r="B563" s="33"/>
      <c r="C563" s="33"/>
      <c r="D563" s="35"/>
      <c r="E563" s="35"/>
      <c r="F563" s="40"/>
      <c r="G563" s="33"/>
      <c r="H563" s="39"/>
      <c r="I563" s="248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</row>
    <row r="564" ht="15.75" customHeight="1">
      <c r="A564" s="35"/>
      <c r="B564" s="33"/>
      <c r="C564" s="33"/>
      <c r="D564" s="35"/>
      <c r="E564" s="35"/>
      <c r="F564" s="40"/>
      <c r="G564" s="33"/>
      <c r="H564" s="39"/>
      <c r="I564" s="248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</row>
    <row r="565" ht="15.75" customHeight="1">
      <c r="A565" s="35"/>
      <c r="B565" s="33"/>
      <c r="C565" s="33"/>
      <c r="D565" s="35"/>
      <c r="E565" s="35"/>
      <c r="F565" s="40"/>
      <c r="G565" s="33"/>
      <c r="H565" s="39"/>
      <c r="I565" s="248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</row>
    <row r="566" ht="15.75" customHeight="1">
      <c r="A566" s="35"/>
      <c r="B566" s="33"/>
      <c r="C566" s="33"/>
      <c r="D566" s="35"/>
      <c r="E566" s="35"/>
      <c r="F566" s="40"/>
      <c r="G566" s="33"/>
      <c r="H566" s="39"/>
      <c r="I566" s="248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</row>
    <row r="567" ht="15.75" customHeight="1">
      <c r="A567" s="35"/>
      <c r="B567" s="33"/>
      <c r="C567" s="33"/>
      <c r="D567" s="35"/>
      <c r="E567" s="35"/>
      <c r="F567" s="40"/>
      <c r="G567" s="33"/>
      <c r="H567" s="39"/>
      <c r="I567" s="248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</row>
    <row r="568" ht="15.75" customHeight="1">
      <c r="A568" s="35"/>
      <c r="B568" s="33"/>
      <c r="C568" s="33"/>
      <c r="D568" s="35"/>
      <c r="E568" s="35"/>
      <c r="F568" s="40"/>
      <c r="G568" s="33"/>
      <c r="H568" s="39"/>
      <c r="I568" s="248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</row>
    <row r="569" ht="15.75" customHeight="1">
      <c r="A569" s="35"/>
      <c r="B569" s="33"/>
      <c r="C569" s="33"/>
      <c r="D569" s="35"/>
      <c r="E569" s="35"/>
      <c r="F569" s="40"/>
      <c r="G569" s="33"/>
      <c r="H569" s="39"/>
      <c r="I569" s="248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</row>
    <row r="570" ht="15.75" customHeight="1">
      <c r="A570" s="35"/>
      <c r="B570" s="33"/>
      <c r="C570" s="33"/>
      <c r="D570" s="35"/>
      <c r="E570" s="35"/>
      <c r="F570" s="40"/>
      <c r="G570" s="33"/>
      <c r="H570" s="39"/>
      <c r="I570" s="248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</row>
    <row r="571" ht="15.75" customHeight="1">
      <c r="A571" s="35"/>
      <c r="B571" s="33"/>
      <c r="C571" s="33"/>
      <c r="D571" s="35"/>
      <c r="E571" s="35"/>
      <c r="F571" s="40"/>
      <c r="G571" s="33"/>
      <c r="H571" s="39"/>
      <c r="I571" s="248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</row>
    <row r="572" ht="15.75" customHeight="1">
      <c r="A572" s="35"/>
      <c r="B572" s="33"/>
      <c r="C572" s="33"/>
      <c r="D572" s="35"/>
      <c r="E572" s="35"/>
      <c r="F572" s="40"/>
      <c r="G572" s="33"/>
      <c r="H572" s="39"/>
      <c r="I572" s="248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</row>
    <row r="573" ht="15.75" customHeight="1">
      <c r="A573" s="35"/>
      <c r="B573" s="33"/>
      <c r="C573" s="33"/>
      <c r="D573" s="35"/>
      <c r="E573" s="35"/>
      <c r="F573" s="40"/>
      <c r="G573" s="33"/>
      <c r="H573" s="39"/>
      <c r="I573" s="248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</row>
    <row r="574" ht="15.75" customHeight="1">
      <c r="A574" s="35"/>
      <c r="B574" s="33"/>
      <c r="C574" s="33"/>
      <c r="D574" s="35"/>
      <c r="E574" s="35"/>
      <c r="F574" s="40"/>
      <c r="G574" s="33"/>
      <c r="H574" s="39"/>
      <c r="I574" s="248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</row>
    <row r="575" ht="15.75" customHeight="1">
      <c r="A575" s="35"/>
      <c r="B575" s="33"/>
      <c r="C575" s="33"/>
      <c r="D575" s="35"/>
      <c r="E575" s="35"/>
      <c r="F575" s="40"/>
      <c r="G575" s="33"/>
      <c r="H575" s="39"/>
      <c r="I575" s="248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</row>
    <row r="576" ht="15.75" customHeight="1">
      <c r="A576" s="35"/>
      <c r="B576" s="33"/>
      <c r="C576" s="33"/>
      <c r="D576" s="35"/>
      <c r="E576" s="35"/>
      <c r="F576" s="40"/>
      <c r="G576" s="33"/>
      <c r="H576" s="39"/>
      <c r="I576" s="248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</row>
    <row r="577" ht="15.75" customHeight="1">
      <c r="A577" s="35"/>
      <c r="B577" s="33"/>
      <c r="C577" s="33"/>
      <c r="D577" s="35"/>
      <c r="E577" s="35"/>
      <c r="F577" s="40"/>
      <c r="G577" s="33"/>
      <c r="H577" s="39"/>
      <c r="I577" s="248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</row>
    <row r="578" ht="15.75" customHeight="1">
      <c r="A578" s="35"/>
      <c r="B578" s="33"/>
      <c r="C578" s="33"/>
      <c r="D578" s="35"/>
      <c r="E578" s="35"/>
      <c r="F578" s="40"/>
      <c r="G578" s="33"/>
      <c r="H578" s="39"/>
      <c r="I578" s="248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</row>
    <row r="579" ht="15.75" customHeight="1">
      <c r="A579" s="35"/>
      <c r="B579" s="33"/>
      <c r="C579" s="33"/>
      <c r="D579" s="35"/>
      <c r="E579" s="35"/>
      <c r="F579" s="40"/>
      <c r="G579" s="33"/>
      <c r="H579" s="39"/>
      <c r="I579" s="248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</row>
    <row r="580" ht="15.75" customHeight="1">
      <c r="A580" s="35"/>
      <c r="B580" s="33"/>
      <c r="C580" s="33"/>
      <c r="D580" s="35"/>
      <c r="E580" s="35"/>
      <c r="F580" s="40"/>
      <c r="G580" s="33"/>
      <c r="H580" s="39"/>
      <c r="I580" s="248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</row>
    <row r="581" ht="15.75" customHeight="1">
      <c r="A581" s="35"/>
      <c r="B581" s="33"/>
      <c r="C581" s="33"/>
      <c r="D581" s="35"/>
      <c r="E581" s="35"/>
      <c r="F581" s="40"/>
      <c r="G581" s="33"/>
      <c r="H581" s="39"/>
      <c r="I581" s="248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</row>
    <row r="582" ht="15.75" customHeight="1">
      <c r="A582" s="35"/>
      <c r="B582" s="33"/>
      <c r="C582" s="33"/>
      <c r="D582" s="35"/>
      <c r="E582" s="35"/>
      <c r="F582" s="40"/>
      <c r="G582" s="33"/>
      <c r="H582" s="39"/>
      <c r="I582" s="248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</row>
    <row r="583" ht="15.75" customHeight="1">
      <c r="A583" s="35"/>
      <c r="B583" s="33"/>
      <c r="C583" s="33"/>
      <c r="D583" s="35"/>
      <c r="E583" s="35"/>
      <c r="F583" s="40"/>
      <c r="G583" s="33"/>
      <c r="H583" s="39"/>
      <c r="I583" s="248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</row>
    <row r="584" ht="15.75" customHeight="1">
      <c r="A584" s="35"/>
      <c r="B584" s="33"/>
      <c r="C584" s="33"/>
      <c r="D584" s="35"/>
      <c r="E584" s="35"/>
      <c r="F584" s="40"/>
      <c r="G584" s="33"/>
      <c r="H584" s="39"/>
      <c r="I584" s="248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</row>
    <row r="585" ht="15.75" customHeight="1">
      <c r="A585" s="35"/>
      <c r="B585" s="33"/>
      <c r="C585" s="33"/>
      <c r="D585" s="35"/>
      <c r="E585" s="35"/>
      <c r="F585" s="40"/>
      <c r="G585" s="33"/>
      <c r="H585" s="39"/>
      <c r="I585" s="248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</row>
    <row r="586" ht="15.75" customHeight="1">
      <c r="A586" s="35"/>
      <c r="B586" s="33"/>
      <c r="C586" s="33"/>
      <c r="D586" s="35"/>
      <c r="E586" s="35"/>
      <c r="F586" s="40"/>
      <c r="G586" s="33"/>
      <c r="H586" s="39"/>
      <c r="I586" s="248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</row>
    <row r="587" ht="15.75" customHeight="1">
      <c r="A587" s="35"/>
      <c r="B587" s="33"/>
      <c r="C587" s="33"/>
      <c r="D587" s="35"/>
      <c r="E587" s="35"/>
      <c r="F587" s="40"/>
      <c r="G587" s="33"/>
      <c r="H587" s="39"/>
      <c r="I587" s="248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</row>
    <row r="588" ht="15.75" customHeight="1">
      <c r="A588" s="35"/>
      <c r="B588" s="33"/>
      <c r="C588" s="33"/>
      <c r="D588" s="35"/>
      <c r="E588" s="35"/>
      <c r="F588" s="40"/>
      <c r="G588" s="33"/>
      <c r="H588" s="39"/>
      <c r="I588" s="248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</row>
    <row r="589" ht="15.75" customHeight="1">
      <c r="A589" s="35"/>
      <c r="B589" s="33"/>
      <c r="C589" s="33"/>
      <c r="D589" s="35"/>
      <c r="E589" s="35"/>
      <c r="F589" s="40"/>
      <c r="G589" s="33"/>
      <c r="H589" s="39"/>
      <c r="I589" s="248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</row>
    <row r="590" ht="15.75" customHeight="1">
      <c r="A590" s="35"/>
      <c r="B590" s="33"/>
      <c r="C590" s="33"/>
      <c r="D590" s="35"/>
      <c r="E590" s="35"/>
      <c r="F590" s="40"/>
      <c r="G590" s="33"/>
      <c r="H590" s="39"/>
      <c r="I590" s="248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</row>
    <row r="591" ht="15.75" customHeight="1">
      <c r="A591" s="35"/>
      <c r="B591" s="33"/>
      <c r="C591" s="33"/>
      <c r="D591" s="35"/>
      <c r="E591" s="35"/>
      <c r="F591" s="40"/>
      <c r="G591" s="33"/>
      <c r="H591" s="39"/>
      <c r="I591" s="248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</row>
    <row r="592" ht="15.75" customHeight="1">
      <c r="A592" s="35"/>
      <c r="B592" s="33"/>
      <c r="C592" s="33"/>
      <c r="D592" s="35"/>
      <c r="E592" s="35"/>
      <c r="F592" s="40"/>
      <c r="G592" s="33"/>
      <c r="H592" s="39"/>
      <c r="I592" s="248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</row>
    <row r="593" ht="15.75" customHeight="1">
      <c r="A593" s="35"/>
      <c r="B593" s="33"/>
      <c r="C593" s="33"/>
      <c r="D593" s="35"/>
      <c r="E593" s="35"/>
      <c r="F593" s="40"/>
      <c r="G593" s="33"/>
      <c r="H593" s="39"/>
      <c r="I593" s="248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</row>
    <row r="594" ht="15.75" customHeight="1">
      <c r="A594" s="35"/>
      <c r="B594" s="33"/>
      <c r="C594" s="33"/>
      <c r="D594" s="35"/>
      <c r="E594" s="35"/>
      <c r="F594" s="40"/>
      <c r="G594" s="33"/>
      <c r="H594" s="39"/>
      <c r="I594" s="248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</row>
    <row r="595" ht="15.75" customHeight="1">
      <c r="A595" s="35"/>
      <c r="B595" s="33"/>
      <c r="C595" s="33"/>
      <c r="D595" s="35"/>
      <c r="E595" s="35"/>
      <c r="F595" s="40"/>
      <c r="G595" s="33"/>
      <c r="H595" s="39"/>
      <c r="I595" s="248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</row>
    <row r="596" ht="15.75" customHeight="1">
      <c r="A596" s="35"/>
      <c r="B596" s="33"/>
      <c r="C596" s="33"/>
      <c r="D596" s="35"/>
      <c r="E596" s="35"/>
      <c r="F596" s="40"/>
      <c r="G596" s="33"/>
      <c r="H596" s="39"/>
      <c r="I596" s="248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</row>
    <row r="597" ht="15.75" customHeight="1">
      <c r="A597" s="35"/>
      <c r="B597" s="33"/>
      <c r="C597" s="33"/>
      <c r="D597" s="35"/>
      <c r="E597" s="35"/>
      <c r="F597" s="40"/>
      <c r="G597" s="33"/>
      <c r="H597" s="39"/>
      <c r="I597" s="248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</row>
    <row r="598" ht="15.75" customHeight="1">
      <c r="A598" s="35"/>
      <c r="B598" s="33"/>
      <c r="C598" s="33"/>
      <c r="D598" s="35"/>
      <c r="E598" s="35"/>
      <c r="F598" s="40"/>
      <c r="G598" s="33"/>
      <c r="H598" s="39"/>
      <c r="I598" s="248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</row>
    <row r="599" ht="15.75" customHeight="1">
      <c r="A599" s="35"/>
      <c r="B599" s="33"/>
      <c r="C599" s="33"/>
      <c r="D599" s="35"/>
      <c r="E599" s="35"/>
      <c r="F599" s="40"/>
      <c r="G599" s="33"/>
      <c r="H599" s="39"/>
      <c r="I599" s="248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</row>
    <row r="600" ht="15.75" customHeight="1">
      <c r="A600" s="35"/>
      <c r="B600" s="33"/>
      <c r="C600" s="33"/>
      <c r="D600" s="35"/>
      <c r="E600" s="35"/>
      <c r="F600" s="40"/>
      <c r="G600" s="33"/>
      <c r="H600" s="39"/>
      <c r="I600" s="248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</row>
    <row r="601" ht="15.75" customHeight="1">
      <c r="A601" s="35"/>
      <c r="B601" s="33"/>
      <c r="C601" s="33"/>
      <c r="D601" s="35"/>
      <c r="E601" s="35"/>
      <c r="F601" s="40"/>
      <c r="G601" s="33"/>
      <c r="H601" s="39"/>
      <c r="I601" s="248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</row>
    <row r="602" ht="15.75" customHeight="1">
      <c r="A602" s="35"/>
      <c r="B602" s="33"/>
      <c r="C602" s="33"/>
      <c r="D602" s="35"/>
      <c r="E602" s="35"/>
      <c r="F602" s="40"/>
      <c r="G602" s="33"/>
      <c r="H602" s="39"/>
      <c r="I602" s="248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</row>
    <row r="603" ht="15.75" customHeight="1">
      <c r="A603" s="35"/>
      <c r="B603" s="33"/>
      <c r="C603" s="33"/>
      <c r="D603" s="35"/>
      <c r="E603" s="35"/>
      <c r="F603" s="40"/>
      <c r="G603" s="33"/>
      <c r="H603" s="39"/>
      <c r="I603" s="248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</row>
    <row r="604" ht="15.75" customHeight="1">
      <c r="A604" s="35"/>
      <c r="B604" s="33"/>
      <c r="C604" s="33"/>
      <c r="D604" s="35"/>
      <c r="E604" s="35"/>
      <c r="F604" s="40"/>
      <c r="G604" s="33"/>
      <c r="H604" s="39"/>
      <c r="I604" s="248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</row>
    <row r="605" ht="15.75" customHeight="1">
      <c r="A605" s="35"/>
      <c r="B605" s="33"/>
      <c r="C605" s="33"/>
      <c r="D605" s="35"/>
      <c r="E605" s="35"/>
      <c r="F605" s="40"/>
      <c r="G605" s="33"/>
      <c r="H605" s="39"/>
      <c r="I605" s="248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</row>
    <row r="606" ht="15.75" customHeight="1">
      <c r="A606" s="35"/>
      <c r="B606" s="33"/>
      <c r="C606" s="33"/>
      <c r="D606" s="35"/>
      <c r="E606" s="35"/>
      <c r="F606" s="40"/>
      <c r="G606" s="33"/>
      <c r="H606" s="39"/>
      <c r="I606" s="248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</row>
    <row r="607" ht="15.75" customHeight="1">
      <c r="A607" s="35"/>
      <c r="B607" s="33"/>
      <c r="C607" s="33"/>
      <c r="D607" s="35"/>
      <c r="E607" s="35"/>
      <c r="F607" s="40"/>
      <c r="G607" s="33"/>
      <c r="H607" s="39"/>
      <c r="I607" s="248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</row>
    <row r="608" ht="15.75" customHeight="1">
      <c r="A608" s="35"/>
      <c r="B608" s="33"/>
      <c r="C608" s="33"/>
      <c r="D608" s="35"/>
      <c r="E608" s="35"/>
      <c r="F608" s="40"/>
      <c r="G608" s="33"/>
      <c r="H608" s="39"/>
      <c r="I608" s="248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</row>
    <row r="609" ht="15.75" customHeight="1">
      <c r="A609" s="35"/>
      <c r="B609" s="33"/>
      <c r="C609" s="33"/>
      <c r="D609" s="35"/>
      <c r="E609" s="35"/>
      <c r="F609" s="40"/>
      <c r="G609" s="33"/>
      <c r="H609" s="39"/>
      <c r="I609" s="248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</row>
    <row r="610" ht="15.75" customHeight="1">
      <c r="A610" s="35"/>
      <c r="B610" s="33"/>
      <c r="C610" s="33"/>
      <c r="D610" s="35"/>
      <c r="E610" s="35"/>
      <c r="F610" s="40"/>
      <c r="G610" s="33"/>
      <c r="H610" s="39"/>
      <c r="I610" s="248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</row>
    <row r="611" ht="15.75" customHeight="1">
      <c r="A611" s="35"/>
      <c r="B611" s="33"/>
      <c r="C611" s="33"/>
      <c r="D611" s="35"/>
      <c r="E611" s="35"/>
      <c r="F611" s="40"/>
      <c r="G611" s="33"/>
      <c r="H611" s="39"/>
      <c r="I611" s="248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</row>
    <row r="612" ht="15.75" customHeight="1">
      <c r="A612" s="35"/>
      <c r="B612" s="33"/>
      <c r="C612" s="33"/>
      <c r="D612" s="35"/>
      <c r="E612" s="35"/>
      <c r="F612" s="40"/>
      <c r="G612" s="33"/>
      <c r="H612" s="39"/>
      <c r="I612" s="248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</row>
    <row r="613" ht="15.75" customHeight="1">
      <c r="A613" s="35"/>
      <c r="B613" s="33"/>
      <c r="C613" s="33"/>
      <c r="D613" s="35"/>
      <c r="E613" s="35"/>
      <c r="F613" s="40"/>
      <c r="G613" s="33"/>
      <c r="H613" s="39"/>
      <c r="I613" s="248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</row>
    <row r="614" ht="15.75" customHeight="1">
      <c r="A614" s="35"/>
      <c r="B614" s="33"/>
      <c r="C614" s="33"/>
      <c r="D614" s="35"/>
      <c r="E614" s="35"/>
      <c r="F614" s="40"/>
      <c r="G614" s="33"/>
      <c r="H614" s="39"/>
      <c r="I614" s="248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</row>
    <row r="615" ht="15.75" customHeight="1">
      <c r="A615" s="35"/>
      <c r="B615" s="33"/>
      <c r="C615" s="33"/>
      <c r="D615" s="35"/>
      <c r="E615" s="35"/>
      <c r="F615" s="40"/>
      <c r="G615" s="33"/>
      <c r="H615" s="39"/>
      <c r="I615" s="248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</row>
    <row r="616" ht="15.75" customHeight="1">
      <c r="A616" s="35"/>
      <c r="B616" s="33"/>
      <c r="C616" s="33"/>
      <c r="D616" s="35"/>
      <c r="E616" s="35"/>
      <c r="F616" s="40"/>
      <c r="G616" s="33"/>
      <c r="H616" s="39"/>
      <c r="I616" s="248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</row>
    <row r="617" ht="15.75" customHeight="1">
      <c r="A617" s="35"/>
      <c r="B617" s="33"/>
      <c r="C617" s="33"/>
      <c r="D617" s="35"/>
      <c r="E617" s="35"/>
      <c r="F617" s="40"/>
      <c r="G617" s="33"/>
      <c r="H617" s="39"/>
      <c r="I617" s="248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</row>
    <row r="618" ht="15.75" customHeight="1">
      <c r="A618" s="35"/>
      <c r="B618" s="33"/>
      <c r="C618" s="33"/>
      <c r="D618" s="35"/>
      <c r="E618" s="35"/>
      <c r="F618" s="40"/>
      <c r="G618" s="33"/>
      <c r="H618" s="39"/>
      <c r="I618" s="248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</row>
    <row r="619" ht="15.75" customHeight="1">
      <c r="A619" s="35"/>
      <c r="B619" s="33"/>
      <c r="C619" s="33"/>
      <c r="D619" s="35"/>
      <c r="E619" s="35"/>
      <c r="F619" s="40"/>
      <c r="G619" s="33"/>
      <c r="H619" s="39"/>
      <c r="I619" s="248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</row>
    <row r="620" ht="15.75" customHeight="1">
      <c r="A620" s="35"/>
      <c r="B620" s="33"/>
      <c r="C620" s="33"/>
      <c r="D620" s="35"/>
      <c r="E620" s="35"/>
      <c r="F620" s="40"/>
      <c r="G620" s="33"/>
      <c r="H620" s="39"/>
      <c r="I620" s="248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</row>
    <row r="621" ht="15.75" customHeight="1">
      <c r="A621" s="35"/>
      <c r="B621" s="33"/>
      <c r="C621" s="33"/>
      <c r="D621" s="35"/>
      <c r="E621" s="35"/>
      <c r="F621" s="40"/>
      <c r="G621" s="33"/>
      <c r="H621" s="39"/>
      <c r="I621" s="248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</row>
    <row r="622" ht="15.75" customHeight="1">
      <c r="A622" s="35"/>
      <c r="B622" s="33"/>
      <c r="C622" s="33"/>
      <c r="D622" s="35"/>
      <c r="E622" s="35"/>
      <c r="F622" s="40"/>
      <c r="G622" s="33"/>
      <c r="H622" s="39"/>
      <c r="I622" s="248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</row>
    <row r="623" ht="15.75" customHeight="1">
      <c r="A623" s="35"/>
      <c r="B623" s="33"/>
      <c r="C623" s="33"/>
      <c r="D623" s="35"/>
      <c r="E623" s="35"/>
      <c r="F623" s="40"/>
      <c r="G623" s="33"/>
      <c r="H623" s="39"/>
      <c r="I623" s="248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</row>
    <row r="624" ht="15.75" customHeight="1">
      <c r="A624" s="35"/>
      <c r="B624" s="33"/>
      <c r="C624" s="33"/>
      <c r="D624" s="35"/>
      <c r="E624" s="35"/>
      <c r="F624" s="40"/>
      <c r="G624" s="33"/>
      <c r="H624" s="39"/>
      <c r="I624" s="248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</row>
    <row r="625" ht="15.75" customHeight="1">
      <c r="A625" s="35"/>
      <c r="B625" s="33"/>
      <c r="C625" s="33"/>
      <c r="D625" s="35"/>
      <c r="E625" s="35"/>
      <c r="F625" s="40"/>
      <c r="G625" s="33"/>
      <c r="H625" s="39"/>
      <c r="I625" s="248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</row>
    <row r="626" ht="15.75" customHeight="1">
      <c r="A626" s="35"/>
      <c r="B626" s="33"/>
      <c r="C626" s="33"/>
      <c r="D626" s="35"/>
      <c r="E626" s="35"/>
      <c r="F626" s="40"/>
      <c r="G626" s="33"/>
      <c r="H626" s="39"/>
      <c r="I626" s="248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</row>
    <row r="627" ht="15.75" customHeight="1">
      <c r="A627" s="35"/>
      <c r="B627" s="33"/>
      <c r="C627" s="33"/>
      <c r="D627" s="35"/>
      <c r="E627" s="35"/>
      <c r="F627" s="40"/>
      <c r="G627" s="33"/>
      <c r="H627" s="39"/>
      <c r="I627" s="248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</row>
    <row r="628" ht="15.75" customHeight="1">
      <c r="A628" s="35"/>
      <c r="B628" s="33"/>
      <c r="C628" s="33"/>
      <c r="D628" s="35"/>
      <c r="E628" s="35"/>
      <c r="F628" s="40"/>
      <c r="G628" s="33"/>
      <c r="H628" s="39"/>
      <c r="I628" s="248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</row>
    <row r="629" ht="15.75" customHeight="1">
      <c r="A629" s="35"/>
      <c r="B629" s="33"/>
      <c r="C629" s="33"/>
      <c r="D629" s="35"/>
      <c r="E629" s="35"/>
      <c r="F629" s="40"/>
      <c r="G629" s="33"/>
      <c r="H629" s="39"/>
      <c r="I629" s="248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</row>
    <row r="630" ht="15.75" customHeight="1">
      <c r="A630" s="35"/>
      <c r="B630" s="33"/>
      <c r="C630" s="33"/>
      <c r="D630" s="35"/>
      <c r="E630" s="35"/>
      <c r="F630" s="40"/>
      <c r="G630" s="33"/>
      <c r="H630" s="39"/>
      <c r="I630" s="248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</row>
    <row r="631" ht="15.75" customHeight="1">
      <c r="A631" s="35"/>
      <c r="B631" s="33"/>
      <c r="C631" s="33"/>
      <c r="D631" s="35"/>
      <c r="E631" s="35"/>
      <c r="F631" s="40"/>
      <c r="G631" s="33"/>
      <c r="H631" s="39"/>
      <c r="I631" s="248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</row>
    <row r="632" ht="15.75" customHeight="1">
      <c r="A632" s="35"/>
      <c r="B632" s="33"/>
      <c r="C632" s="33"/>
      <c r="D632" s="35"/>
      <c r="E632" s="35"/>
      <c r="F632" s="40"/>
      <c r="G632" s="33"/>
      <c r="H632" s="39"/>
      <c r="I632" s="248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</row>
    <row r="633" ht="15.75" customHeight="1">
      <c r="A633" s="35"/>
      <c r="B633" s="33"/>
      <c r="C633" s="33"/>
      <c r="D633" s="35"/>
      <c r="E633" s="35"/>
      <c r="F633" s="40"/>
      <c r="G633" s="33"/>
      <c r="H633" s="39"/>
      <c r="I633" s="248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</row>
    <row r="634" ht="15.75" customHeight="1">
      <c r="A634" s="35"/>
      <c r="B634" s="33"/>
      <c r="C634" s="33"/>
      <c r="D634" s="35"/>
      <c r="E634" s="35"/>
      <c r="F634" s="40"/>
      <c r="G634" s="33"/>
      <c r="H634" s="39"/>
      <c r="I634" s="248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</row>
    <row r="635" ht="15.75" customHeight="1">
      <c r="A635" s="35"/>
      <c r="B635" s="33"/>
      <c r="C635" s="33"/>
      <c r="D635" s="35"/>
      <c r="E635" s="35"/>
      <c r="F635" s="40"/>
      <c r="G635" s="33"/>
      <c r="H635" s="39"/>
      <c r="I635" s="248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</row>
    <row r="636" ht="15.75" customHeight="1">
      <c r="A636" s="35"/>
      <c r="B636" s="33"/>
      <c r="C636" s="33"/>
      <c r="D636" s="35"/>
      <c r="E636" s="35"/>
      <c r="F636" s="40"/>
      <c r="G636" s="33"/>
      <c r="H636" s="39"/>
      <c r="I636" s="248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</row>
    <row r="637" ht="15.75" customHeight="1">
      <c r="A637" s="35"/>
      <c r="B637" s="33"/>
      <c r="C637" s="33"/>
      <c r="D637" s="35"/>
      <c r="E637" s="35"/>
      <c r="F637" s="40"/>
      <c r="G637" s="33"/>
      <c r="H637" s="39"/>
      <c r="I637" s="248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</row>
    <row r="638" ht="15.75" customHeight="1">
      <c r="A638" s="35"/>
      <c r="B638" s="33"/>
      <c r="C638" s="33"/>
      <c r="D638" s="35"/>
      <c r="E638" s="35"/>
      <c r="F638" s="40"/>
      <c r="G638" s="33"/>
      <c r="H638" s="39"/>
      <c r="I638" s="248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</row>
    <row r="639" ht="15.75" customHeight="1">
      <c r="A639" s="35"/>
      <c r="B639" s="33"/>
      <c r="C639" s="33"/>
      <c r="D639" s="35"/>
      <c r="E639" s="35"/>
      <c r="F639" s="40"/>
      <c r="G639" s="33"/>
      <c r="H639" s="39"/>
      <c r="I639" s="248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</row>
    <row r="640" ht="15.75" customHeight="1">
      <c r="A640" s="35"/>
      <c r="B640" s="33"/>
      <c r="C640" s="33"/>
      <c r="D640" s="35"/>
      <c r="E640" s="35"/>
      <c r="F640" s="40"/>
      <c r="G640" s="33"/>
      <c r="H640" s="39"/>
      <c r="I640" s="248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</row>
    <row r="641" ht="15.75" customHeight="1">
      <c r="A641" s="35"/>
      <c r="B641" s="33"/>
      <c r="C641" s="33"/>
      <c r="D641" s="35"/>
      <c r="E641" s="35"/>
      <c r="F641" s="40"/>
      <c r="G641" s="33"/>
      <c r="H641" s="39"/>
      <c r="I641" s="248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</row>
    <row r="642" ht="15.75" customHeight="1">
      <c r="A642" s="35"/>
      <c r="B642" s="33"/>
      <c r="C642" s="33"/>
      <c r="D642" s="35"/>
      <c r="E642" s="35"/>
      <c r="F642" s="40"/>
      <c r="G642" s="33"/>
      <c r="H642" s="39"/>
      <c r="I642" s="248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</row>
    <row r="643" ht="15.75" customHeight="1">
      <c r="A643" s="35"/>
      <c r="B643" s="33"/>
      <c r="C643" s="33"/>
      <c r="D643" s="35"/>
      <c r="E643" s="35"/>
      <c r="F643" s="40"/>
      <c r="G643" s="33"/>
      <c r="H643" s="39"/>
      <c r="I643" s="248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</row>
    <row r="644" ht="15.75" customHeight="1">
      <c r="A644" s="35"/>
      <c r="B644" s="33"/>
      <c r="C644" s="33"/>
      <c r="D644" s="35"/>
      <c r="E644" s="35"/>
      <c r="F644" s="40"/>
      <c r="G644" s="33"/>
      <c r="H644" s="39"/>
      <c r="I644" s="248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</row>
    <row r="645" ht="15.75" customHeight="1">
      <c r="A645" s="35"/>
      <c r="B645" s="33"/>
      <c r="C645" s="33"/>
      <c r="D645" s="35"/>
      <c r="E645" s="35"/>
      <c r="F645" s="40"/>
      <c r="G645" s="33"/>
      <c r="H645" s="39"/>
      <c r="I645" s="248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</row>
    <row r="646" ht="15.75" customHeight="1">
      <c r="A646" s="35"/>
      <c r="B646" s="33"/>
      <c r="C646" s="33"/>
      <c r="D646" s="35"/>
      <c r="E646" s="35"/>
      <c r="F646" s="40"/>
      <c r="G646" s="33"/>
      <c r="H646" s="39"/>
      <c r="I646" s="248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</row>
    <row r="647" ht="15.75" customHeight="1">
      <c r="A647" s="35"/>
      <c r="B647" s="33"/>
      <c r="C647" s="33"/>
      <c r="D647" s="35"/>
      <c r="E647" s="35"/>
      <c r="F647" s="40"/>
      <c r="G647" s="33"/>
      <c r="H647" s="39"/>
      <c r="I647" s="248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</row>
    <row r="648" ht="15.75" customHeight="1">
      <c r="A648" s="35"/>
      <c r="B648" s="33"/>
      <c r="C648" s="33"/>
      <c r="D648" s="35"/>
      <c r="E648" s="35"/>
      <c r="F648" s="40"/>
      <c r="G648" s="33"/>
      <c r="H648" s="39"/>
      <c r="I648" s="248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</row>
    <row r="649" ht="15.75" customHeight="1">
      <c r="A649" s="35"/>
      <c r="B649" s="33"/>
      <c r="C649" s="33"/>
      <c r="D649" s="35"/>
      <c r="E649" s="35"/>
      <c r="F649" s="40"/>
      <c r="G649" s="33"/>
      <c r="H649" s="39"/>
      <c r="I649" s="248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</row>
    <row r="650" ht="15.75" customHeight="1">
      <c r="A650" s="35"/>
      <c r="B650" s="33"/>
      <c r="C650" s="33"/>
      <c r="D650" s="35"/>
      <c r="E650" s="35"/>
      <c r="F650" s="40"/>
      <c r="G650" s="33"/>
      <c r="H650" s="39"/>
      <c r="I650" s="248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</row>
    <row r="651" ht="15.75" customHeight="1">
      <c r="A651" s="35"/>
      <c r="B651" s="33"/>
      <c r="C651" s="33"/>
      <c r="D651" s="35"/>
      <c r="E651" s="35"/>
      <c r="F651" s="40"/>
      <c r="G651" s="33"/>
      <c r="H651" s="39"/>
      <c r="I651" s="248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</row>
    <row r="652" ht="15.75" customHeight="1">
      <c r="A652" s="35"/>
      <c r="B652" s="33"/>
      <c r="C652" s="33"/>
      <c r="D652" s="35"/>
      <c r="E652" s="35"/>
      <c r="F652" s="40"/>
      <c r="G652" s="33"/>
      <c r="H652" s="39"/>
      <c r="I652" s="248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</row>
    <row r="653" ht="15.75" customHeight="1">
      <c r="A653" s="35"/>
      <c r="B653" s="33"/>
      <c r="C653" s="33"/>
      <c r="D653" s="35"/>
      <c r="E653" s="35"/>
      <c r="F653" s="40"/>
      <c r="G653" s="33"/>
      <c r="H653" s="39"/>
      <c r="I653" s="248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</row>
    <row r="654" ht="15.75" customHeight="1">
      <c r="A654" s="35"/>
      <c r="B654" s="33"/>
      <c r="C654" s="33"/>
      <c r="D654" s="35"/>
      <c r="E654" s="35"/>
      <c r="F654" s="40"/>
      <c r="G654" s="33"/>
      <c r="H654" s="39"/>
      <c r="I654" s="248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</row>
    <row r="655" ht="15.75" customHeight="1">
      <c r="A655" s="35"/>
      <c r="B655" s="33"/>
      <c r="C655" s="33"/>
      <c r="D655" s="35"/>
      <c r="E655" s="35"/>
      <c r="F655" s="40"/>
      <c r="G655" s="33"/>
      <c r="H655" s="39"/>
      <c r="I655" s="248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</row>
    <row r="656" ht="15.75" customHeight="1">
      <c r="A656" s="35"/>
      <c r="B656" s="33"/>
      <c r="C656" s="33"/>
      <c r="D656" s="35"/>
      <c r="E656" s="35"/>
      <c r="F656" s="40"/>
      <c r="G656" s="33"/>
      <c r="H656" s="39"/>
      <c r="I656" s="248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</row>
    <row r="657" ht="15.75" customHeight="1">
      <c r="A657" s="35"/>
      <c r="B657" s="33"/>
      <c r="C657" s="33"/>
      <c r="D657" s="35"/>
      <c r="E657" s="35"/>
      <c r="F657" s="40"/>
      <c r="G657" s="33"/>
      <c r="H657" s="39"/>
      <c r="I657" s="248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</row>
    <row r="658" ht="15.75" customHeight="1">
      <c r="A658" s="35"/>
      <c r="B658" s="33"/>
      <c r="C658" s="33"/>
      <c r="D658" s="35"/>
      <c r="E658" s="35"/>
      <c r="F658" s="40"/>
      <c r="G658" s="33"/>
      <c r="H658" s="39"/>
      <c r="I658" s="248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</row>
    <row r="659" ht="15.75" customHeight="1">
      <c r="A659" s="35"/>
      <c r="B659" s="33"/>
      <c r="C659" s="33"/>
      <c r="D659" s="35"/>
      <c r="E659" s="35"/>
      <c r="F659" s="40"/>
      <c r="G659" s="33"/>
      <c r="H659" s="39"/>
      <c r="I659" s="248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</row>
    <row r="660" ht="15.75" customHeight="1">
      <c r="A660" s="35"/>
      <c r="B660" s="33"/>
      <c r="C660" s="33"/>
      <c r="D660" s="35"/>
      <c r="E660" s="35"/>
      <c r="F660" s="40"/>
      <c r="G660" s="33"/>
      <c r="H660" s="39"/>
      <c r="I660" s="248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</row>
    <row r="661" ht="15.75" customHeight="1">
      <c r="A661" s="35"/>
      <c r="B661" s="33"/>
      <c r="C661" s="33"/>
      <c r="D661" s="35"/>
      <c r="E661" s="35"/>
      <c r="F661" s="40"/>
      <c r="G661" s="33"/>
      <c r="H661" s="39"/>
      <c r="I661" s="248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</row>
    <row r="662" ht="15.75" customHeight="1">
      <c r="A662" s="35"/>
      <c r="B662" s="33"/>
      <c r="C662" s="33"/>
      <c r="D662" s="35"/>
      <c r="E662" s="35"/>
      <c r="F662" s="40"/>
      <c r="G662" s="33"/>
      <c r="H662" s="39"/>
      <c r="I662" s="248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</row>
    <row r="663" ht="15.75" customHeight="1">
      <c r="A663" s="35"/>
      <c r="B663" s="33"/>
      <c r="C663" s="33"/>
      <c r="D663" s="35"/>
      <c r="E663" s="35"/>
      <c r="F663" s="40"/>
      <c r="G663" s="33"/>
      <c r="H663" s="39"/>
      <c r="I663" s="248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</row>
    <row r="664" ht="15.75" customHeight="1">
      <c r="A664" s="35"/>
      <c r="B664" s="33"/>
      <c r="C664" s="33"/>
      <c r="D664" s="35"/>
      <c r="E664" s="35"/>
      <c r="F664" s="40"/>
      <c r="G664" s="33"/>
      <c r="H664" s="39"/>
      <c r="I664" s="248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</row>
    <row r="665" ht="15.75" customHeight="1">
      <c r="A665" s="35"/>
      <c r="B665" s="33"/>
      <c r="C665" s="33"/>
      <c r="D665" s="35"/>
      <c r="E665" s="35"/>
      <c r="F665" s="40"/>
      <c r="G665" s="33"/>
      <c r="H665" s="39"/>
      <c r="I665" s="248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</row>
    <row r="666" ht="15.75" customHeight="1">
      <c r="A666" s="35"/>
      <c r="B666" s="33"/>
      <c r="C666" s="33"/>
      <c r="D666" s="35"/>
      <c r="E666" s="35"/>
      <c r="F666" s="40"/>
      <c r="G666" s="33"/>
      <c r="H666" s="39"/>
      <c r="I666" s="248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</row>
    <row r="667" ht="15.75" customHeight="1">
      <c r="A667" s="35"/>
      <c r="B667" s="33"/>
      <c r="C667" s="33"/>
      <c r="D667" s="35"/>
      <c r="E667" s="35"/>
      <c r="F667" s="40"/>
      <c r="G667" s="33"/>
      <c r="H667" s="39"/>
      <c r="I667" s="248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</row>
    <row r="668" ht="15.75" customHeight="1">
      <c r="A668" s="35"/>
      <c r="B668" s="33"/>
      <c r="C668" s="33"/>
      <c r="D668" s="35"/>
      <c r="E668" s="35"/>
      <c r="F668" s="40"/>
      <c r="G668" s="33"/>
      <c r="H668" s="39"/>
      <c r="I668" s="248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</row>
    <row r="669" ht="15.75" customHeight="1">
      <c r="A669" s="35"/>
      <c r="B669" s="33"/>
      <c r="C669" s="33"/>
      <c r="D669" s="35"/>
      <c r="E669" s="35"/>
      <c r="F669" s="40"/>
      <c r="G669" s="33"/>
      <c r="H669" s="39"/>
      <c r="I669" s="248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</row>
    <row r="670" ht="15.75" customHeight="1">
      <c r="A670" s="35"/>
      <c r="B670" s="33"/>
      <c r="C670" s="33"/>
      <c r="D670" s="35"/>
      <c r="E670" s="35"/>
      <c r="F670" s="40"/>
      <c r="G670" s="33"/>
      <c r="H670" s="39"/>
      <c r="I670" s="248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</row>
    <row r="671" ht="15.75" customHeight="1">
      <c r="A671" s="35"/>
      <c r="B671" s="33"/>
      <c r="C671" s="33"/>
      <c r="D671" s="35"/>
      <c r="E671" s="35"/>
      <c r="F671" s="40"/>
      <c r="G671" s="33"/>
      <c r="H671" s="39"/>
      <c r="I671" s="248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</row>
    <row r="672" ht="15.75" customHeight="1">
      <c r="A672" s="35"/>
      <c r="B672" s="33"/>
      <c r="C672" s="33"/>
      <c r="D672" s="35"/>
      <c r="E672" s="35"/>
      <c r="F672" s="40"/>
      <c r="G672" s="33"/>
      <c r="H672" s="39"/>
      <c r="I672" s="248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</row>
    <row r="673" ht="15.75" customHeight="1">
      <c r="A673" s="35"/>
      <c r="B673" s="33"/>
      <c r="C673" s="33"/>
      <c r="D673" s="35"/>
      <c r="E673" s="35"/>
      <c r="F673" s="40"/>
      <c r="G673" s="33"/>
      <c r="H673" s="39"/>
      <c r="I673" s="248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</row>
    <row r="674" ht="15.75" customHeight="1">
      <c r="A674" s="35"/>
      <c r="B674" s="33"/>
      <c r="C674" s="33"/>
      <c r="D674" s="35"/>
      <c r="E674" s="35"/>
      <c r="F674" s="40"/>
      <c r="G674" s="33"/>
      <c r="H674" s="39"/>
      <c r="I674" s="248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</row>
    <row r="675" ht="15.75" customHeight="1">
      <c r="A675" s="35"/>
      <c r="B675" s="33"/>
      <c r="C675" s="33"/>
      <c r="D675" s="35"/>
      <c r="E675" s="35"/>
      <c r="F675" s="40"/>
      <c r="G675" s="33"/>
      <c r="H675" s="39"/>
      <c r="I675" s="248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</row>
    <row r="676" ht="15.75" customHeight="1">
      <c r="A676" s="35"/>
      <c r="B676" s="33"/>
      <c r="C676" s="33"/>
      <c r="D676" s="35"/>
      <c r="E676" s="35"/>
      <c r="F676" s="40"/>
      <c r="G676" s="33"/>
      <c r="H676" s="39"/>
      <c r="I676" s="248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</row>
    <row r="677" ht="15.75" customHeight="1">
      <c r="A677" s="35"/>
      <c r="B677" s="33"/>
      <c r="C677" s="33"/>
      <c r="D677" s="35"/>
      <c r="E677" s="35"/>
      <c r="F677" s="40"/>
      <c r="G677" s="33"/>
      <c r="H677" s="39"/>
      <c r="I677" s="248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</row>
    <row r="678" ht="15.75" customHeight="1">
      <c r="A678" s="35"/>
      <c r="B678" s="33"/>
      <c r="C678" s="33"/>
      <c r="D678" s="35"/>
      <c r="E678" s="35"/>
      <c r="F678" s="40"/>
      <c r="G678" s="33"/>
      <c r="H678" s="39"/>
      <c r="I678" s="248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</row>
    <row r="679" ht="15.75" customHeight="1">
      <c r="A679" s="35"/>
      <c r="B679" s="33"/>
      <c r="C679" s="33"/>
      <c r="D679" s="35"/>
      <c r="E679" s="35"/>
      <c r="F679" s="40"/>
      <c r="G679" s="33"/>
      <c r="H679" s="39"/>
      <c r="I679" s="248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</row>
    <row r="680" ht="15.75" customHeight="1">
      <c r="A680" s="35"/>
      <c r="B680" s="33"/>
      <c r="C680" s="33"/>
      <c r="D680" s="35"/>
      <c r="E680" s="35"/>
      <c r="F680" s="40"/>
      <c r="G680" s="33"/>
      <c r="H680" s="39"/>
      <c r="I680" s="248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</row>
    <row r="681" ht="15.75" customHeight="1">
      <c r="A681" s="35"/>
      <c r="B681" s="33"/>
      <c r="C681" s="33"/>
      <c r="D681" s="35"/>
      <c r="E681" s="35"/>
      <c r="F681" s="40"/>
      <c r="G681" s="33"/>
      <c r="H681" s="39"/>
      <c r="I681" s="248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</row>
    <row r="682" ht="15.75" customHeight="1">
      <c r="A682" s="35"/>
      <c r="B682" s="33"/>
      <c r="C682" s="33"/>
      <c r="D682" s="35"/>
      <c r="E682" s="35"/>
      <c r="F682" s="40"/>
      <c r="G682" s="33"/>
      <c r="H682" s="39"/>
      <c r="I682" s="248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</row>
    <row r="683" ht="15.75" customHeight="1">
      <c r="A683" s="35"/>
      <c r="B683" s="33"/>
      <c r="C683" s="33"/>
      <c r="D683" s="35"/>
      <c r="E683" s="35"/>
      <c r="F683" s="40"/>
      <c r="G683" s="33"/>
      <c r="H683" s="39"/>
      <c r="I683" s="248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</row>
    <row r="684" ht="15.75" customHeight="1">
      <c r="A684" s="35"/>
      <c r="B684" s="33"/>
      <c r="C684" s="33"/>
      <c r="D684" s="35"/>
      <c r="E684" s="35"/>
      <c r="F684" s="40"/>
      <c r="G684" s="33"/>
      <c r="H684" s="39"/>
      <c r="I684" s="248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</row>
    <row r="685" ht="15.75" customHeight="1">
      <c r="A685" s="35"/>
      <c r="B685" s="33"/>
      <c r="C685" s="33"/>
      <c r="D685" s="35"/>
      <c r="E685" s="35"/>
      <c r="F685" s="40"/>
      <c r="G685" s="33"/>
      <c r="H685" s="39"/>
      <c r="I685" s="248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</row>
    <row r="686" ht="15.75" customHeight="1">
      <c r="A686" s="35"/>
      <c r="B686" s="33"/>
      <c r="C686" s="33"/>
      <c r="D686" s="35"/>
      <c r="E686" s="35"/>
      <c r="F686" s="40"/>
      <c r="G686" s="33"/>
      <c r="H686" s="39"/>
      <c r="I686" s="248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</row>
    <row r="687" ht="15.75" customHeight="1">
      <c r="A687" s="35"/>
      <c r="B687" s="33"/>
      <c r="C687" s="33"/>
      <c r="D687" s="35"/>
      <c r="E687" s="35"/>
      <c r="F687" s="40"/>
      <c r="G687" s="33"/>
      <c r="H687" s="39"/>
      <c r="I687" s="248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</row>
    <row r="688" ht="15.75" customHeight="1">
      <c r="A688" s="35"/>
      <c r="B688" s="33"/>
      <c r="C688" s="33"/>
      <c r="D688" s="35"/>
      <c r="E688" s="35"/>
      <c r="F688" s="40"/>
      <c r="G688" s="33"/>
      <c r="H688" s="39"/>
      <c r="I688" s="248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</row>
    <row r="689" ht="15.75" customHeight="1">
      <c r="A689" s="35"/>
      <c r="B689" s="33"/>
      <c r="C689" s="33"/>
      <c r="D689" s="35"/>
      <c r="E689" s="35"/>
      <c r="F689" s="40"/>
      <c r="G689" s="33"/>
      <c r="H689" s="39"/>
      <c r="I689" s="248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</row>
    <row r="690" ht="15.75" customHeight="1">
      <c r="A690" s="35"/>
      <c r="B690" s="33"/>
      <c r="C690" s="33"/>
      <c r="D690" s="35"/>
      <c r="E690" s="35"/>
      <c r="F690" s="40"/>
      <c r="G690" s="33"/>
      <c r="H690" s="39"/>
      <c r="I690" s="248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</row>
    <row r="691" ht="15.75" customHeight="1">
      <c r="A691" s="35"/>
      <c r="B691" s="33"/>
      <c r="C691" s="33"/>
      <c r="D691" s="35"/>
      <c r="E691" s="35"/>
      <c r="F691" s="40"/>
      <c r="G691" s="33"/>
      <c r="H691" s="39"/>
      <c r="I691" s="248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</row>
    <row r="692" ht="15.75" customHeight="1">
      <c r="A692" s="35"/>
      <c r="B692" s="33"/>
      <c r="C692" s="33"/>
      <c r="D692" s="35"/>
      <c r="E692" s="35"/>
      <c r="F692" s="40"/>
      <c r="G692" s="33"/>
      <c r="H692" s="39"/>
      <c r="I692" s="248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</row>
    <row r="693" ht="15.75" customHeight="1">
      <c r="A693" s="35"/>
      <c r="B693" s="33"/>
      <c r="C693" s="33"/>
      <c r="D693" s="35"/>
      <c r="E693" s="35"/>
      <c r="F693" s="40"/>
      <c r="G693" s="33"/>
      <c r="H693" s="39"/>
      <c r="I693" s="248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</row>
    <row r="694" ht="15.75" customHeight="1">
      <c r="A694" s="35"/>
      <c r="B694" s="33"/>
      <c r="C694" s="33"/>
      <c r="D694" s="35"/>
      <c r="E694" s="35"/>
      <c r="F694" s="40"/>
      <c r="G694" s="33"/>
      <c r="H694" s="39"/>
      <c r="I694" s="248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</row>
    <row r="695" ht="15.75" customHeight="1">
      <c r="A695" s="35"/>
      <c r="B695" s="33"/>
      <c r="C695" s="33"/>
      <c r="D695" s="35"/>
      <c r="E695" s="35"/>
      <c r="F695" s="40"/>
      <c r="G695" s="33"/>
      <c r="H695" s="39"/>
      <c r="I695" s="248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</row>
    <row r="696" ht="15.75" customHeight="1">
      <c r="A696" s="35"/>
      <c r="B696" s="33"/>
      <c r="C696" s="33"/>
      <c r="D696" s="35"/>
      <c r="E696" s="35"/>
      <c r="F696" s="40"/>
      <c r="G696" s="33"/>
      <c r="H696" s="39"/>
      <c r="I696" s="248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</row>
    <row r="697" ht="15.75" customHeight="1">
      <c r="A697" s="35"/>
      <c r="B697" s="33"/>
      <c r="C697" s="33"/>
      <c r="D697" s="35"/>
      <c r="E697" s="35"/>
      <c r="F697" s="40"/>
      <c r="G697" s="33"/>
      <c r="H697" s="39"/>
      <c r="I697" s="248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</row>
    <row r="698" ht="15.75" customHeight="1">
      <c r="A698" s="35"/>
      <c r="B698" s="33"/>
      <c r="C698" s="33"/>
      <c r="D698" s="35"/>
      <c r="E698" s="35"/>
      <c r="F698" s="40"/>
      <c r="G698" s="33"/>
      <c r="H698" s="39"/>
      <c r="I698" s="248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</row>
    <row r="699" ht="15.75" customHeight="1">
      <c r="A699" s="35"/>
      <c r="B699" s="33"/>
      <c r="C699" s="33"/>
      <c r="D699" s="35"/>
      <c r="E699" s="35"/>
      <c r="F699" s="40"/>
      <c r="G699" s="33"/>
      <c r="H699" s="39"/>
      <c r="I699" s="248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</row>
    <row r="700" ht="15.75" customHeight="1">
      <c r="A700" s="35"/>
      <c r="B700" s="33"/>
      <c r="C700" s="33"/>
      <c r="D700" s="35"/>
      <c r="E700" s="35"/>
      <c r="F700" s="40"/>
      <c r="G700" s="33"/>
      <c r="H700" s="39"/>
      <c r="I700" s="248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</row>
    <row r="701" ht="15.75" customHeight="1">
      <c r="A701" s="35"/>
      <c r="B701" s="33"/>
      <c r="C701" s="33"/>
      <c r="D701" s="35"/>
      <c r="E701" s="35"/>
      <c r="F701" s="40"/>
      <c r="G701" s="33"/>
      <c r="H701" s="39"/>
      <c r="I701" s="248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</row>
    <row r="702" ht="15.75" customHeight="1">
      <c r="A702" s="35"/>
      <c r="B702" s="33"/>
      <c r="C702" s="33"/>
      <c r="D702" s="35"/>
      <c r="E702" s="35"/>
      <c r="F702" s="40"/>
      <c r="G702" s="33"/>
      <c r="H702" s="39"/>
      <c r="I702" s="248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</row>
    <row r="703" ht="15.75" customHeight="1">
      <c r="A703" s="35"/>
      <c r="B703" s="33"/>
      <c r="C703" s="33"/>
      <c r="D703" s="35"/>
      <c r="E703" s="35"/>
      <c r="F703" s="40"/>
      <c r="G703" s="33"/>
      <c r="H703" s="39"/>
      <c r="I703" s="248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</row>
    <row r="704" ht="15.75" customHeight="1">
      <c r="A704" s="35"/>
      <c r="B704" s="33"/>
      <c r="C704" s="33"/>
      <c r="D704" s="35"/>
      <c r="E704" s="35"/>
      <c r="F704" s="40"/>
      <c r="G704" s="33"/>
      <c r="H704" s="39"/>
      <c r="I704" s="248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</row>
    <row r="705" ht="15.75" customHeight="1">
      <c r="A705" s="35"/>
      <c r="B705" s="33"/>
      <c r="C705" s="33"/>
      <c r="D705" s="35"/>
      <c r="E705" s="35"/>
      <c r="F705" s="40"/>
      <c r="G705" s="33"/>
      <c r="H705" s="39"/>
      <c r="I705" s="248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</row>
    <row r="706" ht="15.75" customHeight="1">
      <c r="A706" s="35"/>
      <c r="B706" s="33"/>
      <c r="C706" s="33"/>
      <c r="D706" s="35"/>
      <c r="E706" s="35"/>
      <c r="F706" s="40"/>
      <c r="G706" s="33"/>
      <c r="H706" s="39"/>
      <c r="I706" s="248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</row>
    <row r="707" ht="15.75" customHeight="1">
      <c r="A707" s="35"/>
      <c r="B707" s="33"/>
      <c r="C707" s="33"/>
      <c r="D707" s="35"/>
      <c r="E707" s="35"/>
      <c r="F707" s="40"/>
      <c r="G707" s="33"/>
      <c r="H707" s="39"/>
      <c r="I707" s="248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</row>
    <row r="708" ht="15.75" customHeight="1">
      <c r="A708" s="35"/>
      <c r="B708" s="33"/>
      <c r="C708" s="33"/>
      <c r="D708" s="35"/>
      <c r="E708" s="35"/>
      <c r="F708" s="40"/>
      <c r="G708" s="33"/>
      <c r="H708" s="39"/>
      <c r="I708" s="248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</row>
    <row r="709" ht="15.75" customHeight="1">
      <c r="A709" s="35"/>
      <c r="B709" s="33"/>
      <c r="C709" s="33"/>
      <c r="D709" s="35"/>
      <c r="E709" s="35"/>
      <c r="F709" s="40"/>
      <c r="G709" s="33"/>
      <c r="H709" s="39"/>
      <c r="I709" s="248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</row>
    <row r="710" ht="15.75" customHeight="1">
      <c r="A710" s="35"/>
      <c r="B710" s="33"/>
      <c r="C710" s="33"/>
      <c r="D710" s="35"/>
      <c r="E710" s="35"/>
      <c r="F710" s="40"/>
      <c r="G710" s="33"/>
      <c r="H710" s="39"/>
      <c r="I710" s="248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</row>
    <row r="711" ht="15.75" customHeight="1">
      <c r="A711" s="35"/>
      <c r="B711" s="33"/>
      <c r="C711" s="33"/>
      <c r="D711" s="35"/>
      <c r="E711" s="35"/>
      <c r="F711" s="40"/>
      <c r="G711" s="33"/>
      <c r="H711" s="39"/>
      <c r="I711" s="248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</row>
    <row r="712" ht="15.75" customHeight="1">
      <c r="A712" s="35"/>
      <c r="B712" s="33"/>
      <c r="C712" s="33"/>
      <c r="D712" s="35"/>
      <c r="E712" s="35"/>
      <c r="F712" s="40"/>
      <c r="G712" s="33"/>
      <c r="H712" s="39"/>
      <c r="I712" s="248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</row>
    <row r="713" ht="15.75" customHeight="1">
      <c r="A713" s="35"/>
      <c r="B713" s="33"/>
      <c r="C713" s="33"/>
      <c r="D713" s="35"/>
      <c r="E713" s="35"/>
      <c r="F713" s="40"/>
      <c r="G713" s="33"/>
      <c r="H713" s="39"/>
      <c r="I713" s="248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</row>
    <row r="714" ht="15.75" customHeight="1">
      <c r="A714" s="35"/>
      <c r="B714" s="33"/>
      <c r="C714" s="33"/>
      <c r="D714" s="35"/>
      <c r="E714" s="35"/>
      <c r="F714" s="40"/>
      <c r="G714" s="33"/>
      <c r="H714" s="39"/>
      <c r="I714" s="248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</row>
    <row r="715" ht="15.75" customHeight="1">
      <c r="A715" s="35"/>
      <c r="B715" s="33"/>
      <c r="C715" s="33"/>
      <c r="D715" s="35"/>
      <c r="E715" s="35"/>
      <c r="F715" s="40"/>
      <c r="G715" s="33"/>
      <c r="H715" s="39"/>
      <c r="I715" s="248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</row>
    <row r="716" ht="15.75" customHeight="1">
      <c r="A716" s="35"/>
      <c r="B716" s="33"/>
      <c r="C716" s="33"/>
      <c r="D716" s="35"/>
      <c r="E716" s="35"/>
      <c r="F716" s="40"/>
      <c r="G716" s="33"/>
      <c r="H716" s="39"/>
      <c r="I716" s="248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</row>
    <row r="717" ht="15.75" customHeight="1">
      <c r="A717" s="35"/>
      <c r="B717" s="33"/>
      <c r="C717" s="33"/>
      <c r="D717" s="35"/>
      <c r="E717" s="35"/>
      <c r="F717" s="40"/>
      <c r="G717" s="33"/>
      <c r="H717" s="39"/>
      <c r="I717" s="248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</row>
    <row r="718" ht="15.75" customHeight="1">
      <c r="A718" s="35"/>
      <c r="B718" s="33"/>
      <c r="C718" s="33"/>
      <c r="D718" s="35"/>
      <c r="E718" s="35"/>
      <c r="F718" s="40"/>
      <c r="G718" s="33"/>
      <c r="H718" s="39"/>
      <c r="I718" s="248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</row>
    <row r="719" ht="15.75" customHeight="1">
      <c r="A719" s="35"/>
      <c r="B719" s="33"/>
      <c r="C719" s="33"/>
      <c r="D719" s="35"/>
      <c r="E719" s="35"/>
      <c r="F719" s="40"/>
      <c r="G719" s="33"/>
      <c r="H719" s="39"/>
      <c r="I719" s="248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</row>
    <row r="720" ht="15.75" customHeight="1">
      <c r="A720" s="35"/>
      <c r="B720" s="33"/>
      <c r="C720" s="33"/>
      <c r="D720" s="35"/>
      <c r="E720" s="35"/>
      <c r="F720" s="40"/>
      <c r="G720" s="33"/>
      <c r="H720" s="39"/>
      <c r="I720" s="248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</row>
    <row r="721" ht="15.75" customHeight="1">
      <c r="A721" s="35"/>
      <c r="B721" s="33"/>
      <c r="C721" s="33"/>
      <c r="D721" s="35"/>
      <c r="E721" s="35"/>
      <c r="F721" s="40"/>
      <c r="G721" s="33"/>
      <c r="H721" s="39"/>
      <c r="I721" s="248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</row>
    <row r="722" ht="15.75" customHeight="1">
      <c r="A722" s="35"/>
      <c r="B722" s="33"/>
      <c r="C722" s="33"/>
      <c r="D722" s="35"/>
      <c r="E722" s="35"/>
      <c r="F722" s="40"/>
      <c r="G722" s="33"/>
      <c r="H722" s="39"/>
      <c r="I722" s="248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</row>
    <row r="723" ht="15.75" customHeight="1">
      <c r="A723" s="35"/>
      <c r="B723" s="33"/>
      <c r="C723" s="33"/>
      <c r="D723" s="35"/>
      <c r="E723" s="35"/>
      <c r="F723" s="40"/>
      <c r="G723" s="33"/>
      <c r="H723" s="39"/>
      <c r="I723" s="248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</row>
    <row r="724" ht="15.75" customHeight="1">
      <c r="A724" s="35"/>
      <c r="B724" s="33"/>
      <c r="C724" s="33"/>
      <c r="D724" s="35"/>
      <c r="E724" s="35"/>
      <c r="F724" s="40"/>
      <c r="G724" s="33"/>
      <c r="H724" s="39"/>
      <c r="I724" s="248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</row>
    <row r="725" ht="15.75" customHeight="1">
      <c r="A725" s="35"/>
      <c r="B725" s="33"/>
      <c r="C725" s="33"/>
      <c r="D725" s="35"/>
      <c r="E725" s="35"/>
      <c r="F725" s="40"/>
      <c r="G725" s="33"/>
      <c r="H725" s="39"/>
      <c r="I725" s="248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</row>
    <row r="726" ht="15.75" customHeight="1">
      <c r="A726" s="35"/>
      <c r="B726" s="33"/>
      <c r="C726" s="33"/>
      <c r="D726" s="35"/>
      <c r="E726" s="35"/>
      <c r="F726" s="40"/>
      <c r="G726" s="33"/>
      <c r="H726" s="39"/>
      <c r="I726" s="248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</row>
    <row r="727" ht="15.75" customHeight="1">
      <c r="A727" s="35"/>
      <c r="B727" s="33"/>
      <c r="C727" s="33"/>
      <c r="D727" s="35"/>
      <c r="E727" s="35"/>
      <c r="F727" s="40"/>
      <c r="G727" s="33"/>
      <c r="H727" s="39"/>
      <c r="I727" s="248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</row>
    <row r="728" ht="15.75" customHeight="1">
      <c r="A728" s="35"/>
      <c r="B728" s="33"/>
      <c r="C728" s="33"/>
      <c r="D728" s="35"/>
      <c r="E728" s="35"/>
      <c r="F728" s="40"/>
      <c r="G728" s="33"/>
      <c r="H728" s="39"/>
      <c r="I728" s="248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</row>
    <row r="729" ht="15.75" customHeight="1">
      <c r="A729" s="35"/>
      <c r="B729" s="33"/>
      <c r="C729" s="33"/>
      <c r="D729" s="35"/>
      <c r="E729" s="35"/>
      <c r="F729" s="40"/>
      <c r="G729" s="33"/>
      <c r="H729" s="39"/>
      <c r="I729" s="248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</row>
    <row r="730" ht="15.75" customHeight="1">
      <c r="A730" s="35"/>
      <c r="B730" s="33"/>
      <c r="C730" s="33"/>
      <c r="D730" s="35"/>
      <c r="E730" s="35"/>
      <c r="F730" s="40"/>
      <c r="G730" s="33"/>
      <c r="H730" s="39"/>
      <c r="I730" s="248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</row>
    <row r="731" ht="15.75" customHeight="1">
      <c r="A731" s="35"/>
      <c r="B731" s="33"/>
      <c r="C731" s="33"/>
      <c r="D731" s="35"/>
      <c r="E731" s="35"/>
      <c r="F731" s="40"/>
      <c r="G731" s="33"/>
      <c r="H731" s="39"/>
      <c r="I731" s="248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</row>
    <row r="732" ht="15.75" customHeight="1">
      <c r="A732" s="35"/>
      <c r="B732" s="33"/>
      <c r="C732" s="33"/>
      <c r="D732" s="35"/>
      <c r="E732" s="35"/>
      <c r="F732" s="40"/>
      <c r="G732" s="33"/>
      <c r="H732" s="39"/>
      <c r="I732" s="248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</row>
    <row r="733" ht="15.75" customHeight="1">
      <c r="A733" s="35"/>
      <c r="B733" s="33"/>
      <c r="C733" s="33"/>
      <c r="D733" s="35"/>
      <c r="E733" s="35"/>
      <c r="F733" s="40"/>
      <c r="G733" s="33"/>
      <c r="H733" s="39"/>
      <c r="I733" s="248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</row>
    <row r="734" ht="15.75" customHeight="1">
      <c r="A734" s="35"/>
      <c r="B734" s="33"/>
      <c r="C734" s="33"/>
      <c r="D734" s="35"/>
      <c r="E734" s="35"/>
      <c r="F734" s="40"/>
      <c r="G734" s="33"/>
      <c r="H734" s="39"/>
      <c r="I734" s="248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</row>
    <row r="735" ht="15.75" customHeight="1">
      <c r="A735" s="35"/>
      <c r="B735" s="33"/>
      <c r="C735" s="33"/>
      <c r="D735" s="35"/>
      <c r="E735" s="35"/>
      <c r="F735" s="40"/>
      <c r="G735" s="33"/>
      <c r="H735" s="39"/>
      <c r="I735" s="248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</row>
    <row r="736" ht="15.75" customHeight="1">
      <c r="A736" s="35"/>
      <c r="B736" s="33"/>
      <c r="C736" s="33"/>
      <c r="D736" s="35"/>
      <c r="E736" s="35"/>
      <c r="F736" s="40"/>
      <c r="G736" s="33"/>
      <c r="H736" s="39"/>
      <c r="I736" s="248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</row>
    <row r="737" ht="15.75" customHeight="1">
      <c r="A737" s="35"/>
      <c r="B737" s="33"/>
      <c r="C737" s="33"/>
      <c r="D737" s="35"/>
      <c r="E737" s="35"/>
      <c r="F737" s="40"/>
      <c r="G737" s="33"/>
      <c r="H737" s="39"/>
      <c r="I737" s="248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</row>
    <row r="738" ht="15.75" customHeight="1">
      <c r="A738" s="35"/>
      <c r="B738" s="33"/>
      <c r="C738" s="33"/>
      <c r="D738" s="35"/>
      <c r="E738" s="35"/>
      <c r="F738" s="40"/>
      <c r="G738" s="33"/>
      <c r="H738" s="39"/>
      <c r="I738" s="248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</row>
    <row r="739" ht="15.75" customHeight="1">
      <c r="A739" s="35"/>
      <c r="B739" s="33"/>
      <c r="C739" s="33"/>
      <c r="D739" s="35"/>
      <c r="E739" s="35"/>
      <c r="F739" s="40"/>
      <c r="G739" s="33"/>
      <c r="H739" s="39"/>
      <c r="I739" s="248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</row>
    <row r="740" ht="15.75" customHeight="1">
      <c r="A740" s="35"/>
      <c r="B740" s="33"/>
      <c r="C740" s="33"/>
      <c r="D740" s="35"/>
      <c r="E740" s="35"/>
      <c r="F740" s="40"/>
      <c r="G740" s="33"/>
      <c r="H740" s="39"/>
      <c r="I740" s="248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</row>
    <row r="741" ht="15.75" customHeight="1">
      <c r="A741" s="35"/>
      <c r="B741" s="33"/>
      <c r="C741" s="33"/>
      <c r="D741" s="35"/>
      <c r="E741" s="35"/>
      <c r="F741" s="40"/>
      <c r="G741" s="33"/>
      <c r="H741" s="39"/>
      <c r="I741" s="248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</row>
    <row r="742" ht="15.75" customHeight="1">
      <c r="A742" s="35"/>
      <c r="B742" s="33"/>
      <c r="C742" s="33"/>
      <c r="D742" s="35"/>
      <c r="E742" s="35"/>
      <c r="F742" s="40"/>
      <c r="G742" s="33"/>
      <c r="H742" s="39"/>
      <c r="I742" s="248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</row>
    <row r="743" ht="15.75" customHeight="1">
      <c r="A743" s="35"/>
      <c r="B743" s="33"/>
      <c r="C743" s="33"/>
      <c r="D743" s="35"/>
      <c r="E743" s="35"/>
      <c r="F743" s="40"/>
      <c r="G743" s="33"/>
      <c r="H743" s="39"/>
      <c r="I743" s="248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</row>
    <row r="744" ht="15.75" customHeight="1">
      <c r="A744" s="35"/>
      <c r="B744" s="33"/>
      <c r="C744" s="33"/>
      <c r="D744" s="35"/>
      <c r="E744" s="35"/>
      <c r="F744" s="40"/>
      <c r="G744" s="33"/>
      <c r="H744" s="39"/>
      <c r="I744" s="248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</row>
    <row r="745" ht="15.75" customHeight="1">
      <c r="A745" s="35"/>
      <c r="B745" s="33"/>
      <c r="C745" s="33"/>
      <c r="D745" s="35"/>
      <c r="E745" s="35"/>
      <c r="F745" s="40"/>
      <c r="G745" s="33"/>
      <c r="H745" s="39"/>
      <c r="I745" s="248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</row>
    <row r="746" ht="15.75" customHeight="1">
      <c r="A746" s="35"/>
      <c r="B746" s="33"/>
      <c r="C746" s="33"/>
      <c r="D746" s="35"/>
      <c r="E746" s="35"/>
      <c r="F746" s="40"/>
      <c r="G746" s="33"/>
      <c r="H746" s="39"/>
      <c r="I746" s="248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</row>
    <row r="747" ht="15.75" customHeight="1">
      <c r="A747" s="35"/>
      <c r="B747" s="33"/>
      <c r="C747" s="33"/>
      <c r="D747" s="35"/>
      <c r="E747" s="35"/>
      <c r="F747" s="40"/>
      <c r="G747" s="33"/>
      <c r="H747" s="39"/>
      <c r="I747" s="248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</row>
    <row r="748" ht="15.75" customHeight="1">
      <c r="A748" s="35"/>
      <c r="B748" s="33"/>
      <c r="C748" s="33"/>
      <c r="D748" s="35"/>
      <c r="E748" s="35"/>
      <c r="F748" s="40"/>
      <c r="G748" s="33"/>
      <c r="H748" s="39"/>
      <c r="I748" s="248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</row>
    <row r="749" ht="15.75" customHeight="1">
      <c r="A749" s="35"/>
      <c r="B749" s="33"/>
      <c r="C749" s="33"/>
      <c r="D749" s="35"/>
      <c r="E749" s="35"/>
      <c r="F749" s="40"/>
      <c r="G749" s="33"/>
      <c r="H749" s="39"/>
      <c r="I749" s="248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</row>
    <row r="750" ht="15.75" customHeight="1">
      <c r="A750" s="35"/>
      <c r="B750" s="33"/>
      <c r="C750" s="33"/>
      <c r="D750" s="35"/>
      <c r="E750" s="35"/>
      <c r="F750" s="40"/>
      <c r="G750" s="33"/>
      <c r="H750" s="39"/>
      <c r="I750" s="248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</row>
    <row r="751" ht="15.75" customHeight="1">
      <c r="A751" s="35"/>
      <c r="B751" s="33"/>
      <c r="C751" s="33"/>
      <c r="D751" s="35"/>
      <c r="E751" s="35"/>
      <c r="F751" s="40"/>
      <c r="G751" s="33"/>
      <c r="H751" s="39"/>
      <c r="I751" s="248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</row>
    <row r="752" ht="15.75" customHeight="1">
      <c r="A752" s="35"/>
      <c r="B752" s="33"/>
      <c r="C752" s="33"/>
      <c r="D752" s="35"/>
      <c r="E752" s="35"/>
      <c r="F752" s="40"/>
      <c r="G752" s="33"/>
      <c r="H752" s="39"/>
      <c r="I752" s="248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</row>
    <row r="753" ht="15.75" customHeight="1">
      <c r="A753" s="35"/>
      <c r="B753" s="33"/>
      <c r="C753" s="33"/>
      <c r="D753" s="35"/>
      <c r="E753" s="35"/>
      <c r="F753" s="40"/>
      <c r="G753" s="33"/>
      <c r="H753" s="39"/>
      <c r="I753" s="248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</row>
    <row r="754" ht="15.75" customHeight="1">
      <c r="A754" s="35"/>
      <c r="B754" s="33"/>
      <c r="C754" s="33"/>
      <c r="D754" s="35"/>
      <c r="E754" s="35"/>
      <c r="F754" s="40"/>
      <c r="G754" s="33"/>
      <c r="H754" s="39"/>
      <c r="I754" s="248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</row>
    <row r="755" ht="15.75" customHeight="1">
      <c r="A755" s="35"/>
      <c r="B755" s="33"/>
      <c r="C755" s="33"/>
      <c r="D755" s="35"/>
      <c r="E755" s="35"/>
      <c r="F755" s="40"/>
      <c r="G755" s="33"/>
      <c r="H755" s="39"/>
      <c r="I755" s="248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</row>
    <row r="756" ht="15.75" customHeight="1">
      <c r="A756" s="35"/>
      <c r="B756" s="33"/>
      <c r="C756" s="33"/>
      <c r="D756" s="35"/>
      <c r="E756" s="35"/>
      <c r="F756" s="40"/>
      <c r="G756" s="33"/>
      <c r="H756" s="39"/>
      <c r="I756" s="248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</row>
    <row r="757" ht="15.75" customHeight="1">
      <c r="A757" s="35"/>
      <c r="B757" s="33"/>
      <c r="C757" s="33"/>
      <c r="D757" s="35"/>
      <c r="E757" s="35"/>
      <c r="F757" s="40"/>
      <c r="G757" s="33"/>
      <c r="H757" s="39"/>
      <c r="I757" s="248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</row>
    <row r="758" ht="15.75" customHeight="1">
      <c r="A758" s="35"/>
      <c r="B758" s="33"/>
      <c r="C758" s="33"/>
      <c r="D758" s="35"/>
      <c r="E758" s="35"/>
      <c r="F758" s="40"/>
      <c r="G758" s="33"/>
      <c r="H758" s="39"/>
      <c r="I758" s="248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</row>
    <row r="759" ht="15.75" customHeight="1">
      <c r="A759" s="35"/>
      <c r="B759" s="33"/>
      <c r="C759" s="33"/>
      <c r="D759" s="35"/>
      <c r="E759" s="35"/>
      <c r="F759" s="40"/>
      <c r="G759" s="33"/>
      <c r="H759" s="39"/>
      <c r="I759" s="248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</row>
    <row r="760" ht="15.75" customHeight="1">
      <c r="A760" s="35"/>
      <c r="B760" s="33"/>
      <c r="C760" s="33"/>
      <c r="D760" s="35"/>
      <c r="E760" s="35"/>
      <c r="F760" s="40"/>
      <c r="G760" s="33"/>
      <c r="H760" s="39"/>
      <c r="I760" s="248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</row>
    <row r="761" ht="15.75" customHeight="1">
      <c r="A761" s="35"/>
      <c r="B761" s="33"/>
      <c r="C761" s="33"/>
      <c r="D761" s="35"/>
      <c r="E761" s="35"/>
      <c r="F761" s="40"/>
      <c r="G761" s="33"/>
      <c r="H761" s="39"/>
      <c r="I761" s="248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</row>
    <row r="762" ht="15.75" customHeight="1">
      <c r="A762" s="35"/>
      <c r="B762" s="33"/>
      <c r="C762" s="33"/>
      <c r="D762" s="35"/>
      <c r="E762" s="35"/>
      <c r="F762" s="40"/>
      <c r="G762" s="33"/>
      <c r="H762" s="39"/>
      <c r="I762" s="248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</row>
    <row r="763" ht="15.75" customHeight="1">
      <c r="A763" s="35"/>
      <c r="B763" s="33"/>
      <c r="C763" s="33"/>
      <c r="D763" s="35"/>
      <c r="E763" s="35"/>
      <c r="F763" s="40"/>
      <c r="G763" s="33"/>
      <c r="H763" s="39"/>
      <c r="I763" s="248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</row>
    <row r="764" ht="15.75" customHeight="1">
      <c r="A764" s="35"/>
      <c r="B764" s="33"/>
      <c r="C764" s="33"/>
      <c r="D764" s="35"/>
      <c r="E764" s="35"/>
      <c r="F764" s="40"/>
      <c r="G764" s="33"/>
      <c r="H764" s="39"/>
      <c r="I764" s="248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</row>
    <row r="765" ht="15.75" customHeight="1">
      <c r="A765" s="35"/>
      <c r="B765" s="33"/>
      <c r="C765" s="33"/>
      <c r="D765" s="35"/>
      <c r="E765" s="35"/>
      <c r="F765" s="40"/>
      <c r="G765" s="33"/>
      <c r="H765" s="39"/>
      <c r="I765" s="248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</row>
    <row r="766" ht="15.75" customHeight="1">
      <c r="A766" s="35"/>
      <c r="B766" s="33"/>
      <c r="C766" s="33"/>
      <c r="D766" s="35"/>
      <c r="E766" s="35"/>
      <c r="F766" s="40"/>
      <c r="G766" s="33"/>
      <c r="H766" s="39"/>
      <c r="I766" s="248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</row>
    <row r="767" ht="15.75" customHeight="1">
      <c r="A767" s="35"/>
      <c r="B767" s="33"/>
      <c r="C767" s="33"/>
      <c r="D767" s="35"/>
      <c r="E767" s="35"/>
      <c r="F767" s="40"/>
      <c r="G767" s="33"/>
      <c r="H767" s="39"/>
      <c r="I767" s="248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</row>
    <row r="768" ht="15.75" customHeight="1">
      <c r="A768" s="35"/>
      <c r="B768" s="33"/>
      <c r="C768" s="33"/>
      <c r="D768" s="35"/>
      <c r="E768" s="35"/>
      <c r="F768" s="40"/>
      <c r="G768" s="33"/>
      <c r="H768" s="39"/>
      <c r="I768" s="248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</row>
    <row r="769" ht="15.75" customHeight="1">
      <c r="A769" s="35"/>
      <c r="B769" s="33"/>
      <c r="C769" s="33"/>
      <c r="D769" s="35"/>
      <c r="E769" s="35"/>
      <c r="F769" s="40"/>
      <c r="G769" s="33"/>
      <c r="H769" s="39"/>
      <c r="I769" s="248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</row>
    <row r="770" ht="15.75" customHeight="1">
      <c r="A770" s="35"/>
      <c r="B770" s="33"/>
      <c r="C770" s="33"/>
      <c r="D770" s="35"/>
      <c r="E770" s="35"/>
      <c r="F770" s="40"/>
      <c r="G770" s="33"/>
      <c r="H770" s="39"/>
      <c r="I770" s="248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</row>
    <row r="771" ht="15.75" customHeight="1">
      <c r="A771" s="35"/>
      <c r="B771" s="33"/>
      <c r="C771" s="33"/>
      <c r="D771" s="35"/>
      <c r="E771" s="35"/>
      <c r="F771" s="40"/>
      <c r="G771" s="33"/>
      <c r="H771" s="39"/>
      <c r="I771" s="248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</row>
    <row r="772" ht="15.75" customHeight="1">
      <c r="A772" s="35"/>
      <c r="B772" s="33"/>
      <c r="C772" s="33"/>
      <c r="D772" s="35"/>
      <c r="E772" s="35"/>
      <c r="F772" s="40"/>
      <c r="G772" s="33"/>
      <c r="H772" s="39"/>
      <c r="I772" s="248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</row>
    <row r="773" ht="15.75" customHeight="1">
      <c r="A773" s="35"/>
      <c r="B773" s="33"/>
      <c r="C773" s="33"/>
      <c r="D773" s="35"/>
      <c r="E773" s="35"/>
      <c r="F773" s="40"/>
      <c r="G773" s="33"/>
      <c r="H773" s="39"/>
      <c r="I773" s="248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</row>
    <row r="774" ht="15.75" customHeight="1">
      <c r="A774" s="35"/>
      <c r="B774" s="33"/>
      <c r="C774" s="33"/>
      <c r="D774" s="35"/>
      <c r="E774" s="35"/>
      <c r="F774" s="40"/>
      <c r="G774" s="33"/>
      <c r="H774" s="39"/>
      <c r="I774" s="248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</row>
    <row r="775" ht="15.75" customHeight="1">
      <c r="A775" s="35"/>
      <c r="B775" s="33"/>
      <c r="C775" s="33"/>
      <c r="D775" s="35"/>
      <c r="E775" s="35"/>
      <c r="F775" s="40"/>
      <c r="G775" s="33"/>
      <c r="H775" s="39"/>
      <c r="I775" s="248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</row>
    <row r="776" ht="15.75" customHeight="1">
      <c r="A776" s="35"/>
      <c r="B776" s="33"/>
      <c r="C776" s="33"/>
      <c r="D776" s="35"/>
      <c r="E776" s="35"/>
      <c r="F776" s="40"/>
      <c r="G776" s="33"/>
      <c r="H776" s="39"/>
      <c r="I776" s="248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</row>
    <row r="777" ht="15.75" customHeight="1">
      <c r="A777" s="35"/>
      <c r="B777" s="33"/>
      <c r="C777" s="33"/>
      <c r="D777" s="35"/>
      <c r="E777" s="35"/>
      <c r="F777" s="40"/>
      <c r="G777" s="33"/>
      <c r="H777" s="39"/>
      <c r="I777" s="248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</row>
    <row r="778" ht="15.75" customHeight="1">
      <c r="A778" s="35"/>
      <c r="B778" s="33"/>
      <c r="C778" s="33"/>
      <c r="D778" s="35"/>
      <c r="E778" s="35"/>
      <c r="F778" s="40"/>
      <c r="G778" s="33"/>
      <c r="H778" s="39"/>
      <c r="I778" s="248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</row>
    <row r="779" ht="15.75" customHeight="1">
      <c r="A779" s="35"/>
      <c r="B779" s="33"/>
      <c r="C779" s="33"/>
      <c r="D779" s="35"/>
      <c r="E779" s="35"/>
      <c r="F779" s="40"/>
      <c r="G779" s="33"/>
      <c r="H779" s="39"/>
      <c r="I779" s="248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</row>
    <row r="780" ht="15.75" customHeight="1">
      <c r="A780" s="35"/>
      <c r="B780" s="33"/>
      <c r="C780" s="33"/>
      <c r="D780" s="35"/>
      <c r="E780" s="35"/>
      <c r="F780" s="40"/>
      <c r="G780" s="33"/>
      <c r="H780" s="39"/>
      <c r="I780" s="248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</row>
    <row r="781" ht="15.75" customHeight="1">
      <c r="A781" s="35"/>
      <c r="B781" s="33"/>
      <c r="C781" s="33"/>
      <c r="D781" s="35"/>
      <c r="E781" s="35"/>
      <c r="F781" s="40"/>
      <c r="G781" s="33"/>
      <c r="H781" s="39"/>
      <c r="I781" s="248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</row>
    <row r="782" ht="15.75" customHeight="1">
      <c r="A782" s="35"/>
      <c r="B782" s="33"/>
      <c r="C782" s="33"/>
      <c r="D782" s="35"/>
      <c r="E782" s="35"/>
      <c r="F782" s="40"/>
      <c r="G782" s="33"/>
      <c r="H782" s="39"/>
      <c r="I782" s="248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</row>
    <row r="783" ht="15.75" customHeight="1">
      <c r="A783" s="35"/>
      <c r="B783" s="33"/>
      <c r="C783" s="33"/>
      <c r="D783" s="35"/>
      <c r="E783" s="35"/>
      <c r="F783" s="40"/>
      <c r="G783" s="33"/>
      <c r="H783" s="39"/>
      <c r="I783" s="248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</row>
    <row r="784" ht="15.75" customHeight="1">
      <c r="A784" s="35"/>
      <c r="B784" s="33"/>
      <c r="C784" s="33"/>
      <c r="D784" s="35"/>
      <c r="E784" s="35"/>
      <c r="F784" s="40"/>
      <c r="G784" s="33"/>
      <c r="H784" s="39"/>
      <c r="I784" s="248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</row>
    <row r="785" ht="15.75" customHeight="1">
      <c r="A785" s="35"/>
      <c r="B785" s="33"/>
      <c r="C785" s="33"/>
      <c r="D785" s="35"/>
      <c r="E785" s="35"/>
      <c r="F785" s="40"/>
      <c r="G785" s="33"/>
      <c r="H785" s="39"/>
      <c r="I785" s="248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</row>
    <row r="786" ht="15.75" customHeight="1">
      <c r="A786" s="35"/>
      <c r="B786" s="33"/>
      <c r="C786" s="33"/>
      <c r="D786" s="35"/>
      <c r="E786" s="35"/>
      <c r="F786" s="40"/>
      <c r="G786" s="33"/>
      <c r="H786" s="39"/>
      <c r="I786" s="248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</row>
    <row r="787" ht="15.75" customHeight="1">
      <c r="A787" s="35"/>
      <c r="B787" s="33"/>
      <c r="C787" s="33"/>
      <c r="D787" s="35"/>
      <c r="E787" s="35"/>
      <c r="F787" s="40"/>
      <c r="G787" s="33"/>
      <c r="H787" s="39"/>
      <c r="I787" s="248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</row>
    <row r="788" ht="15.75" customHeight="1">
      <c r="A788" s="35"/>
      <c r="B788" s="33"/>
      <c r="C788" s="33"/>
      <c r="D788" s="35"/>
      <c r="E788" s="35"/>
      <c r="F788" s="40"/>
      <c r="G788" s="33"/>
      <c r="H788" s="39"/>
      <c r="I788" s="248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</row>
    <row r="789" ht="15.75" customHeight="1">
      <c r="A789" s="35"/>
      <c r="B789" s="33"/>
      <c r="C789" s="33"/>
      <c r="D789" s="35"/>
      <c r="E789" s="35"/>
      <c r="F789" s="40"/>
      <c r="G789" s="33"/>
      <c r="H789" s="39"/>
      <c r="I789" s="248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</row>
    <row r="790" ht="15.75" customHeight="1">
      <c r="A790" s="35"/>
      <c r="B790" s="33"/>
      <c r="C790" s="33"/>
      <c r="D790" s="35"/>
      <c r="E790" s="35"/>
      <c r="F790" s="40"/>
      <c r="G790" s="33"/>
      <c r="H790" s="39"/>
      <c r="I790" s="248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</row>
    <row r="791" ht="15.75" customHeight="1">
      <c r="A791" s="35"/>
      <c r="B791" s="33"/>
      <c r="C791" s="33"/>
      <c r="D791" s="35"/>
      <c r="E791" s="35"/>
      <c r="F791" s="40"/>
      <c r="G791" s="33"/>
      <c r="H791" s="39"/>
      <c r="I791" s="248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</row>
    <row r="792" ht="15.75" customHeight="1">
      <c r="A792" s="35"/>
      <c r="B792" s="33"/>
      <c r="C792" s="33"/>
      <c r="D792" s="35"/>
      <c r="E792" s="35"/>
      <c r="F792" s="40"/>
      <c r="G792" s="33"/>
      <c r="H792" s="39"/>
      <c r="I792" s="248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</row>
    <row r="793" ht="15.75" customHeight="1">
      <c r="A793" s="35"/>
      <c r="B793" s="33"/>
      <c r="C793" s="33"/>
      <c r="D793" s="35"/>
      <c r="E793" s="35"/>
      <c r="F793" s="40"/>
      <c r="G793" s="33"/>
      <c r="H793" s="39"/>
      <c r="I793" s="248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</row>
    <row r="794" ht="15.75" customHeight="1">
      <c r="A794" s="35"/>
      <c r="B794" s="33"/>
      <c r="C794" s="33"/>
      <c r="D794" s="35"/>
      <c r="E794" s="35"/>
      <c r="F794" s="40"/>
      <c r="G794" s="33"/>
      <c r="H794" s="39"/>
      <c r="I794" s="248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</row>
    <row r="795" ht="15.75" customHeight="1">
      <c r="A795" s="35"/>
      <c r="B795" s="33"/>
      <c r="C795" s="33"/>
      <c r="D795" s="35"/>
      <c r="E795" s="35"/>
      <c r="F795" s="40"/>
      <c r="G795" s="33"/>
      <c r="H795" s="39"/>
      <c r="I795" s="248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</row>
    <row r="796" ht="15.75" customHeight="1">
      <c r="A796" s="35"/>
      <c r="B796" s="33"/>
      <c r="C796" s="33"/>
      <c r="D796" s="35"/>
      <c r="E796" s="35"/>
      <c r="F796" s="40"/>
      <c r="G796" s="33"/>
      <c r="H796" s="39"/>
      <c r="I796" s="248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</row>
    <row r="797" ht="15.75" customHeight="1">
      <c r="A797" s="35"/>
      <c r="B797" s="33"/>
      <c r="C797" s="33"/>
      <c r="D797" s="35"/>
      <c r="E797" s="35"/>
      <c r="F797" s="40"/>
      <c r="G797" s="33"/>
      <c r="H797" s="39"/>
      <c r="I797" s="248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</row>
    <row r="798" ht="15.75" customHeight="1">
      <c r="A798" s="35"/>
      <c r="B798" s="33"/>
      <c r="C798" s="33"/>
      <c r="D798" s="35"/>
      <c r="E798" s="35"/>
      <c r="F798" s="40"/>
      <c r="G798" s="33"/>
      <c r="H798" s="39"/>
      <c r="I798" s="248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</row>
    <row r="799" ht="15.75" customHeight="1">
      <c r="A799" s="35"/>
      <c r="B799" s="33"/>
      <c r="C799" s="33"/>
      <c r="D799" s="35"/>
      <c r="E799" s="35"/>
      <c r="F799" s="40"/>
      <c r="G799" s="33"/>
      <c r="H799" s="39"/>
      <c r="I799" s="248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</row>
    <row r="800" ht="15.75" customHeight="1">
      <c r="A800" s="35"/>
      <c r="B800" s="33"/>
      <c r="C800" s="33"/>
      <c r="D800" s="35"/>
      <c r="E800" s="35"/>
      <c r="F800" s="40"/>
      <c r="G800" s="33"/>
      <c r="H800" s="39"/>
      <c r="I800" s="248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</row>
    <row r="801" ht="15.75" customHeight="1">
      <c r="A801" s="35"/>
      <c r="B801" s="33"/>
      <c r="C801" s="33"/>
      <c r="D801" s="35"/>
      <c r="E801" s="35"/>
      <c r="F801" s="40"/>
      <c r="G801" s="33"/>
      <c r="H801" s="39"/>
      <c r="I801" s="248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</row>
    <row r="802" ht="15.75" customHeight="1">
      <c r="A802" s="35"/>
      <c r="B802" s="33"/>
      <c r="C802" s="33"/>
      <c r="D802" s="35"/>
      <c r="E802" s="35"/>
      <c r="F802" s="40"/>
      <c r="G802" s="33"/>
      <c r="H802" s="39"/>
      <c r="I802" s="248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</row>
    <row r="803" ht="15.75" customHeight="1">
      <c r="A803" s="35"/>
      <c r="B803" s="33"/>
      <c r="C803" s="33"/>
      <c r="D803" s="35"/>
      <c r="E803" s="35"/>
      <c r="F803" s="40"/>
      <c r="G803" s="33"/>
      <c r="H803" s="39"/>
      <c r="I803" s="248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</row>
    <row r="804" ht="15.75" customHeight="1">
      <c r="A804" s="35"/>
      <c r="B804" s="33"/>
      <c r="C804" s="33"/>
      <c r="D804" s="35"/>
      <c r="E804" s="35"/>
      <c r="F804" s="40"/>
      <c r="G804" s="33"/>
      <c r="H804" s="39"/>
      <c r="I804" s="248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</row>
    <row r="805" ht="15.75" customHeight="1">
      <c r="A805" s="35"/>
      <c r="B805" s="33"/>
      <c r="C805" s="33"/>
      <c r="D805" s="35"/>
      <c r="E805" s="35"/>
      <c r="F805" s="40"/>
      <c r="G805" s="33"/>
      <c r="H805" s="39"/>
      <c r="I805" s="248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</row>
    <row r="806" ht="15.75" customHeight="1">
      <c r="A806" s="35"/>
      <c r="B806" s="33"/>
      <c r="C806" s="33"/>
      <c r="D806" s="35"/>
      <c r="E806" s="35"/>
      <c r="F806" s="40"/>
      <c r="G806" s="33"/>
      <c r="H806" s="39"/>
      <c r="I806" s="248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</row>
    <row r="807" ht="15.75" customHeight="1">
      <c r="A807" s="35"/>
      <c r="B807" s="33"/>
      <c r="C807" s="33"/>
      <c r="D807" s="35"/>
      <c r="E807" s="35"/>
      <c r="F807" s="40"/>
      <c r="G807" s="33"/>
      <c r="H807" s="39"/>
      <c r="I807" s="248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</row>
    <row r="808" ht="15.75" customHeight="1">
      <c r="A808" s="35"/>
      <c r="B808" s="33"/>
      <c r="C808" s="33"/>
      <c r="D808" s="35"/>
      <c r="E808" s="35"/>
      <c r="F808" s="40"/>
      <c r="G808" s="33"/>
      <c r="H808" s="39"/>
      <c r="I808" s="248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</row>
    <row r="809" ht="15.75" customHeight="1">
      <c r="A809" s="35"/>
      <c r="B809" s="33"/>
      <c r="C809" s="33"/>
      <c r="D809" s="35"/>
      <c r="E809" s="35"/>
      <c r="F809" s="40"/>
      <c r="G809" s="33"/>
      <c r="H809" s="39"/>
      <c r="I809" s="248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</row>
    <row r="810" ht="15.75" customHeight="1">
      <c r="A810" s="35"/>
      <c r="B810" s="33"/>
      <c r="C810" s="33"/>
      <c r="D810" s="35"/>
      <c r="E810" s="35"/>
      <c r="F810" s="40"/>
      <c r="G810" s="33"/>
      <c r="H810" s="39"/>
      <c r="I810" s="248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</row>
    <row r="811" ht="15.75" customHeight="1">
      <c r="A811" s="35"/>
      <c r="B811" s="33"/>
      <c r="C811" s="33"/>
      <c r="D811" s="35"/>
      <c r="E811" s="35"/>
      <c r="F811" s="40"/>
      <c r="G811" s="33"/>
      <c r="H811" s="39"/>
      <c r="I811" s="248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</row>
    <row r="812" ht="15.75" customHeight="1">
      <c r="A812" s="35"/>
      <c r="B812" s="33"/>
      <c r="C812" s="33"/>
      <c r="D812" s="35"/>
      <c r="E812" s="35"/>
      <c r="F812" s="40"/>
      <c r="G812" s="33"/>
      <c r="H812" s="39"/>
      <c r="I812" s="248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</row>
    <row r="813" ht="15.75" customHeight="1">
      <c r="A813" s="35"/>
      <c r="B813" s="33"/>
      <c r="C813" s="33"/>
      <c r="D813" s="35"/>
      <c r="E813" s="35"/>
      <c r="F813" s="40"/>
      <c r="G813" s="33"/>
      <c r="H813" s="39"/>
      <c r="I813" s="248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</row>
    <row r="814" ht="15.75" customHeight="1">
      <c r="A814" s="35"/>
      <c r="B814" s="33"/>
      <c r="C814" s="33"/>
      <c r="D814" s="35"/>
      <c r="E814" s="35"/>
      <c r="F814" s="40"/>
      <c r="G814" s="33"/>
      <c r="H814" s="39"/>
      <c r="I814" s="248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</row>
    <row r="815" ht="15.75" customHeight="1">
      <c r="A815" s="35"/>
      <c r="B815" s="33"/>
      <c r="C815" s="33"/>
      <c r="D815" s="35"/>
      <c r="E815" s="35"/>
      <c r="F815" s="40"/>
      <c r="G815" s="33"/>
      <c r="H815" s="39"/>
      <c r="I815" s="248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</row>
    <row r="816" ht="15.75" customHeight="1">
      <c r="A816" s="35"/>
      <c r="B816" s="33"/>
      <c r="C816" s="33"/>
      <c r="D816" s="35"/>
      <c r="E816" s="35"/>
      <c r="F816" s="40"/>
      <c r="G816" s="33"/>
      <c r="H816" s="39"/>
      <c r="I816" s="248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</row>
    <row r="817" ht="15.75" customHeight="1">
      <c r="A817" s="35"/>
      <c r="B817" s="33"/>
      <c r="C817" s="33"/>
      <c r="D817" s="35"/>
      <c r="E817" s="35"/>
      <c r="F817" s="40"/>
      <c r="G817" s="33"/>
      <c r="H817" s="39"/>
      <c r="I817" s="248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</row>
    <row r="818" ht="15.75" customHeight="1">
      <c r="A818" s="35"/>
      <c r="B818" s="33"/>
      <c r="C818" s="33"/>
      <c r="D818" s="35"/>
      <c r="E818" s="35"/>
      <c r="F818" s="40"/>
      <c r="G818" s="33"/>
      <c r="H818" s="39"/>
      <c r="I818" s="248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</row>
    <row r="819" ht="15.75" customHeight="1">
      <c r="A819" s="35"/>
      <c r="B819" s="33"/>
      <c r="C819" s="33"/>
      <c r="D819" s="35"/>
      <c r="E819" s="35"/>
      <c r="F819" s="40"/>
      <c r="G819" s="33"/>
      <c r="H819" s="39"/>
      <c r="I819" s="248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</row>
    <row r="820" ht="15.75" customHeight="1">
      <c r="A820" s="35"/>
      <c r="B820" s="33"/>
      <c r="C820" s="33"/>
      <c r="D820" s="35"/>
      <c r="E820" s="35"/>
      <c r="F820" s="40"/>
      <c r="G820" s="33"/>
      <c r="H820" s="39"/>
      <c r="I820" s="248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</row>
    <row r="821" ht="15.75" customHeight="1">
      <c r="A821" s="35"/>
      <c r="B821" s="33"/>
      <c r="C821" s="33"/>
      <c r="D821" s="35"/>
      <c r="E821" s="35"/>
      <c r="F821" s="40"/>
      <c r="G821" s="33"/>
      <c r="H821" s="39"/>
      <c r="I821" s="248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</row>
    <row r="822" ht="15.75" customHeight="1">
      <c r="A822" s="35"/>
      <c r="B822" s="33"/>
      <c r="C822" s="33"/>
      <c r="D822" s="35"/>
      <c r="E822" s="35"/>
      <c r="F822" s="40"/>
      <c r="G822" s="33"/>
      <c r="H822" s="39"/>
      <c r="I822" s="248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</row>
    <row r="823" ht="15.75" customHeight="1">
      <c r="A823" s="35"/>
      <c r="B823" s="33"/>
      <c r="C823" s="33"/>
      <c r="D823" s="35"/>
      <c r="E823" s="35"/>
      <c r="F823" s="40"/>
      <c r="G823" s="33"/>
      <c r="H823" s="39"/>
      <c r="I823" s="248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</row>
    <row r="824" ht="15.75" customHeight="1">
      <c r="A824" s="35"/>
      <c r="B824" s="33"/>
      <c r="C824" s="33"/>
      <c r="D824" s="35"/>
      <c r="E824" s="35"/>
      <c r="F824" s="40"/>
      <c r="G824" s="33"/>
      <c r="H824" s="39"/>
      <c r="I824" s="248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</row>
    <row r="825" ht="15.75" customHeight="1">
      <c r="A825" s="35"/>
      <c r="B825" s="33"/>
      <c r="C825" s="33"/>
      <c r="D825" s="35"/>
      <c r="E825" s="35"/>
      <c r="F825" s="40"/>
      <c r="G825" s="33"/>
      <c r="H825" s="39"/>
      <c r="I825" s="248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</row>
    <row r="826" ht="15.75" customHeight="1">
      <c r="A826" s="35"/>
      <c r="B826" s="33"/>
      <c r="C826" s="33"/>
      <c r="D826" s="35"/>
      <c r="E826" s="35"/>
      <c r="F826" s="40"/>
      <c r="G826" s="33"/>
      <c r="H826" s="39"/>
      <c r="I826" s="248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</row>
    <row r="827" ht="15.75" customHeight="1">
      <c r="A827" s="35"/>
      <c r="B827" s="33"/>
      <c r="C827" s="33"/>
      <c r="D827" s="35"/>
      <c r="E827" s="35"/>
      <c r="F827" s="40"/>
      <c r="G827" s="33"/>
      <c r="H827" s="39"/>
      <c r="I827" s="248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</row>
    <row r="828" ht="15.75" customHeight="1">
      <c r="A828" s="35"/>
      <c r="B828" s="33"/>
      <c r="C828" s="33"/>
      <c r="D828" s="35"/>
      <c r="E828" s="35"/>
      <c r="F828" s="40"/>
      <c r="G828" s="33"/>
      <c r="H828" s="39"/>
      <c r="I828" s="248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</row>
    <row r="829" ht="15.75" customHeight="1">
      <c r="A829" s="35"/>
      <c r="B829" s="33"/>
      <c r="C829" s="33"/>
      <c r="D829" s="35"/>
      <c r="E829" s="35"/>
      <c r="F829" s="40"/>
      <c r="G829" s="33"/>
      <c r="H829" s="39"/>
      <c r="I829" s="248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</row>
    <row r="830" ht="15.75" customHeight="1">
      <c r="A830" s="35"/>
      <c r="B830" s="33"/>
      <c r="C830" s="33"/>
      <c r="D830" s="35"/>
      <c r="E830" s="35"/>
      <c r="F830" s="40"/>
      <c r="G830" s="33"/>
      <c r="H830" s="39"/>
      <c r="I830" s="248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</row>
    <row r="831" ht="15.75" customHeight="1">
      <c r="A831" s="35"/>
      <c r="B831" s="33"/>
      <c r="C831" s="33"/>
      <c r="D831" s="35"/>
      <c r="E831" s="35"/>
      <c r="F831" s="40"/>
      <c r="G831" s="33"/>
      <c r="H831" s="39"/>
      <c r="I831" s="248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</row>
    <row r="832" ht="15.75" customHeight="1">
      <c r="A832" s="35"/>
      <c r="B832" s="33"/>
      <c r="C832" s="33"/>
      <c r="D832" s="35"/>
      <c r="E832" s="35"/>
      <c r="F832" s="40"/>
      <c r="G832" s="33"/>
      <c r="H832" s="39"/>
      <c r="I832" s="248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</row>
    <row r="833" ht="15.75" customHeight="1">
      <c r="A833" s="35"/>
      <c r="B833" s="33"/>
      <c r="C833" s="33"/>
      <c r="D833" s="35"/>
      <c r="E833" s="35"/>
      <c r="F833" s="40"/>
      <c r="G833" s="33"/>
      <c r="H833" s="39"/>
      <c r="I833" s="248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</row>
    <row r="834" ht="15.75" customHeight="1">
      <c r="A834" s="35"/>
      <c r="B834" s="33"/>
      <c r="C834" s="33"/>
      <c r="D834" s="35"/>
      <c r="E834" s="35"/>
      <c r="F834" s="40"/>
      <c r="G834" s="33"/>
      <c r="H834" s="39"/>
      <c r="I834" s="248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</row>
    <row r="835" ht="15.75" customHeight="1">
      <c r="A835" s="35"/>
      <c r="B835" s="33"/>
      <c r="C835" s="33"/>
      <c r="D835" s="35"/>
      <c r="E835" s="35"/>
      <c r="F835" s="40"/>
      <c r="G835" s="33"/>
      <c r="H835" s="39"/>
      <c r="I835" s="248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</row>
    <row r="836" ht="15.75" customHeight="1">
      <c r="A836" s="35"/>
      <c r="B836" s="33"/>
      <c r="C836" s="33"/>
      <c r="D836" s="35"/>
      <c r="E836" s="35"/>
      <c r="F836" s="40"/>
      <c r="G836" s="33"/>
      <c r="H836" s="39"/>
      <c r="I836" s="248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</row>
    <row r="837" ht="15.75" customHeight="1">
      <c r="A837" s="35"/>
      <c r="B837" s="33"/>
      <c r="C837" s="33"/>
      <c r="D837" s="35"/>
      <c r="E837" s="35"/>
      <c r="F837" s="40"/>
      <c r="G837" s="33"/>
      <c r="H837" s="39"/>
      <c r="I837" s="248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</row>
    <row r="838" ht="15.75" customHeight="1">
      <c r="A838" s="35"/>
      <c r="B838" s="33"/>
      <c r="C838" s="33"/>
      <c r="D838" s="35"/>
      <c r="E838" s="35"/>
      <c r="F838" s="40"/>
      <c r="G838" s="33"/>
      <c r="H838" s="39"/>
      <c r="I838" s="248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</row>
    <row r="839" ht="15.75" customHeight="1">
      <c r="A839" s="35"/>
      <c r="B839" s="33"/>
      <c r="C839" s="33"/>
      <c r="D839" s="35"/>
      <c r="E839" s="35"/>
      <c r="F839" s="40"/>
      <c r="G839" s="33"/>
      <c r="H839" s="39"/>
      <c r="I839" s="248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</row>
    <row r="840" ht="15.75" customHeight="1">
      <c r="A840" s="35"/>
      <c r="B840" s="33"/>
      <c r="C840" s="33"/>
      <c r="D840" s="35"/>
      <c r="E840" s="35"/>
      <c r="F840" s="40"/>
      <c r="G840" s="33"/>
      <c r="H840" s="39"/>
      <c r="I840" s="248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</row>
    <row r="841" ht="15.75" customHeight="1">
      <c r="A841" s="35"/>
      <c r="B841" s="33"/>
      <c r="C841" s="33"/>
      <c r="D841" s="35"/>
      <c r="E841" s="35"/>
      <c r="F841" s="40"/>
      <c r="G841" s="33"/>
      <c r="H841" s="39"/>
      <c r="I841" s="248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</row>
    <row r="842" ht="15.75" customHeight="1">
      <c r="A842" s="35"/>
      <c r="B842" s="33"/>
      <c r="C842" s="33"/>
      <c r="D842" s="35"/>
      <c r="E842" s="35"/>
      <c r="F842" s="40"/>
      <c r="G842" s="33"/>
      <c r="H842" s="39"/>
      <c r="I842" s="248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</row>
    <row r="843" ht="15.75" customHeight="1">
      <c r="A843" s="35"/>
      <c r="B843" s="33"/>
      <c r="C843" s="33"/>
      <c r="D843" s="35"/>
      <c r="E843" s="35"/>
      <c r="F843" s="40"/>
      <c r="G843" s="33"/>
      <c r="H843" s="39"/>
      <c r="I843" s="248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</row>
    <row r="844" ht="15.75" customHeight="1">
      <c r="A844" s="35"/>
      <c r="B844" s="33"/>
      <c r="C844" s="33"/>
      <c r="D844" s="35"/>
      <c r="E844" s="35"/>
      <c r="F844" s="40"/>
      <c r="G844" s="33"/>
      <c r="H844" s="39"/>
      <c r="I844" s="248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</row>
    <row r="845" ht="15.75" customHeight="1">
      <c r="A845" s="35"/>
      <c r="B845" s="33"/>
      <c r="C845" s="33"/>
      <c r="D845" s="35"/>
      <c r="E845" s="35"/>
      <c r="F845" s="40"/>
      <c r="G845" s="33"/>
      <c r="H845" s="39"/>
      <c r="I845" s="248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</row>
    <row r="846" ht="15.75" customHeight="1">
      <c r="A846" s="35"/>
      <c r="B846" s="33"/>
      <c r="C846" s="33"/>
      <c r="D846" s="35"/>
      <c r="E846" s="35"/>
      <c r="F846" s="40"/>
      <c r="G846" s="33"/>
      <c r="H846" s="39"/>
      <c r="I846" s="248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</row>
    <row r="847" ht="15.75" customHeight="1">
      <c r="A847" s="35"/>
      <c r="B847" s="33"/>
      <c r="C847" s="33"/>
      <c r="D847" s="35"/>
      <c r="E847" s="35"/>
      <c r="F847" s="40"/>
      <c r="G847" s="33"/>
      <c r="H847" s="39"/>
      <c r="I847" s="248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</row>
    <row r="848" ht="15.75" customHeight="1">
      <c r="A848" s="35"/>
      <c r="B848" s="33"/>
      <c r="C848" s="33"/>
      <c r="D848" s="35"/>
      <c r="E848" s="35"/>
      <c r="F848" s="40"/>
      <c r="G848" s="33"/>
      <c r="H848" s="39"/>
      <c r="I848" s="248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</row>
    <row r="849" ht="15.75" customHeight="1">
      <c r="A849" s="35"/>
      <c r="B849" s="33"/>
      <c r="C849" s="33"/>
      <c r="D849" s="35"/>
      <c r="E849" s="35"/>
      <c r="F849" s="40"/>
      <c r="G849" s="33"/>
      <c r="H849" s="39"/>
      <c r="I849" s="248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</row>
    <row r="850" ht="15.75" customHeight="1">
      <c r="A850" s="35"/>
      <c r="B850" s="33"/>
      <c r="C850" s="33"/>
      <c r="D850" s="35"/>
      <c r="E850" s="35"/>
      <c r="F850" s="40"/>
      <c r="G850" s="33"/>
      <c r="H850" s="39"/>
      <c r="I850" s="248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</row>
    <row r="851" ht="15.75" customHeight="1">
      <c r="A851" s="35"/>
      <c r="B851" s="33"/>
      <c r="C851" s="33"/>
      <c r="D851" s="35"/>
      <c r="E851" s="35"/>
      <c r="F851" s="40"/>
      <c r="G851" s="33"/>
      <c r="H851" s="39"/>
      <c r="I851" s="248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</row>
    <row r="852" ht="15.75" customHeight="1">
      <c r="A852" s="35"/>
      <c r="B852" s="33"/>
      <c r="C852" s="33"/>
      <c r="D852" s="35"/>
      <c r="E852" s="35"/>
      <c r="F852" s="40"/>
      <c r="G852" s="33"/>
      <c r="H852" s="39"/>
      <c r="I852" s="248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</row>
    <row r="853" ht="15.75" customHeight="1">
      <c r="A853" s="35"/>
      <c r="B853" s="33"/>
      <c r="C853" s="33"/>
      <c r="D853" s="35"/>
      <c r="E853" s="35"/>
      <c r="F853" s="40"/>
      <c r="G853" s="33"/>
      <c r="H853" s="39"/>
      <c r="I853" s="248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</row>
    <row r="854" ht="15.75" customHeight="1">
      <c r="A854" s="35"/>
      <c r="B854" s="33"/>
      <c r="C854" s="33"/>
      <c r="D854" s="35"/>
      <c r="E854" s="35"/>
      <c r="F854" s="40"/>
      <c r="G854" s="33"/>
      <c r="H854" s="39"/>
      <c r="I854" s="248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</row>
    <row r="855" ht="15.75" customHeight="1">
      <c r="A855" s="35"/>
      <c r="B855" s="33"/>
      <c r="C855" s="33"/>
      <c r="D855" s="35"/>
      <c r="E855" s="35"/>
      <c r="F855" s="40"/>
      <c r="G855" s="33"/>
      <c r="H855" s="39"/>
      <c r="I855" s="248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</row>
    <row r="856" ht="15.75" customHeight="1">
      <c r="A856" s="35"/>
      <c r="B856" s="33"/>
      <c r="C856" s="33"/>
      <c r="D856" s="35"/>
      <c r="E856" s="35"/>
      <c r="F856" s="40"/>
      <c r="G856" s="33"/>
      <c r="H856" s="39"/>
      <c r="I856" s="248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</row>
    <row r="857" ht="15.75" customHeight="1">
      <c r="A857" s="35"/>
      <c r="B857" s="33"/>
      <c r="C857" s="33"/>
      <c r="D857" s="35"/>
      <c r="E857" s="35"/>
      <c r="F857" s="40"/>
      <c r="G857" s="33"/>
      <c r="H857" s="39"/>
      <c r="I857" s="248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</row>
    <row r="858" ht="15.75" customHeight="1">
      <c r="A858" s="35"/>
      <c r="B858" s="33"/>
      <c r="C858" s="33"/>
      <c r="D858" s="35"/>
      <c r="E858" s="35"/>
      <c r="F858" s="40"/>
      <c r="G858" s="33"/>
      <c r="H858" s="39"/>
      <c r="I858" s="248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</row>
    <row r="859" ht="15.75" customHeight="1">
      <c r="A859" s="35"/>
      <c r="B859" s="33"/>
      <c r="C859" s="33"/>
      <c r="D859" s="35"/>
      <c r="E859" s="35"/>
      <c r="F859" s="40"/>
      <c r="G859" s="33"/>
      <c r="H859" s="39"/>
      <c r="I859" s="248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</row>
    <row r="860" ht="15.75" customHeight="1">
      <c r="A860" s="35"/>
      <c r="B860" s="33"/>
      <c r="C860" s="33"/>
      <c r="D860" s="35"/>
      <c r="E860" s="35"/>
      <c r="F860" s="40"/>
      <c r="G860" s="33"/>
      <c r="H860" s="39"/>
      <c r="I860" s="248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</row>
    <row r="861" ht="15.75" customHeight="1">
      <c r="A861" s="35"/>
      <c r="B861" s="33"/>
      <c r="C861" s="33"/>
      <c r="D861" s="35"/>
      <c r="E861" s="35"/>
      <c r="F861" s="40"/>
      <c r="G861" s="33"/>
      <c r="H861" s="39"/>
      <c r="I861" s="248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</row>
    <row r="862" ht="15.75" customHeight="1">
      <c r="A862" s="35"/>
      <c r="B862" s="33"/>
      <c r="C862" s="33"/>
      <c r="D862" s="35"/>
      <c r="E862" s="35"/>
      <c r="F862" s="40"/>
      <c r="G862" s="33"/>
      <c r="H862" s="39"/>
      <c r="I862" s="248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</row>
    <row r="863" ht="15.75" customHeight="1">
      <c r="A863" s="35"/>
      <c r="B863" s="33"/>
      <c r="C863" s="33"/>
      <c r="D863" s="35"/>
      <c r="E863" s="35"/>
      <c r="F863" s="40"/>
      <c r="G863" s="33"/>
      <c r="H863" s="39"/>
      <c r="I863" s="248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</row>
    <row r="864" ht="15.75" customHeight="1">
      <c r="A864" s="35"/>
      <c r="B864" s="33"/>
      <c r="C864" s="33"/>
      <c r="D864" s="35"/>
      <c r="E864" s="35"/>
      <c r="F864" s="40"/>
      <c r="G864" s="33"/>
      <c r="H864" s="39"/>
      <c r="I864" s="248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</row>
    <row r="865" ht="15.75" customHeight="1">
      <c r="A865" s="35"/>
      <c r="B865" s="33"/>
      <c r="C865" s="33"/>
      <c r="D865" s="35"/>
      <c r="E865" s="35"/>
      <c r="F865" s="40"/>
      <c r="G865" s="33"/>
      <c r="H865" s="39"/>
      <c r="I865" s="248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</row>
    <row r="866" ht="15.75" customHeight="1">
      <c r="A866" s="35"/>
      <c r="B866" s="33"/>
      <c r="C866" s="33"/>
      <c r="D866" s="35"/>
      <c r="E866" s="35"/>
      <c r="F866" s="40"/>
      <c r="G866" s="33"/>
      <c r="H866" s="39"/>
      <c r="I866" s="248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</row>
    <row r="867" ht="15.75" customHeight="1">
      <c r="A867" s="35"/>
      <c r="B867" s="33"/>
      <c r="C867" s="33"/>
      <c r="D867" s="35"/>
      <c r="E867" s="35"/>
      <c r="F867" s="40"/>
      <c r="G867" s="33"/>
      <c r="H867" s="39"/>
      <c r="I867" s="248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</row>
    <row r="868" ht="15.75" customHeight="1">
      <c r="A868" s="35"/>
      <c r="B868" s="33"/>
      <c r="C868" s="33"/>
      <c r="D868" s="35"/>
      <c r="E868" s="35"/>
      <c r="F868" s="40"/>
      <c r="G868" s="33"/>
      <c r="H868" s="39"/>
      <c r="I868" s="248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</row>
    <row r="869" ht="15.75" customHeight="1">
      <c r="A869" s="35"/>
      <c r="B869" s="33"/>
      <c r="C869" s="33"/>
      <c r="D869" s="35"/>
      <c r="E869" s="35"/>
      <c r="F869" s="40"/>
      <c r="G869" s="33"/>
      <c r="H869" s="39"/>
      <c r="I869" s="248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</row>
    <row r="870" ht="15.75" customHeight="1">
      <c r="A870" s="35"/>
      <c r="B870" s="33"/>
      <c r="C870" s="33"/>
      <c r="D870" s="35"/>
      <c r="E870" s="35"/>
      <c r="F870" s="40"/>
      <c r="G870" s="33"/>
      <c r="H870" s="39"/>
      <c r="I870" s="248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</row>
    <row r="871" ht="15.75" customHeight="1">
      <c r="A871" s="35"/>
      <c r="B871" s="33"/>
      <c r="C871" s="33"/>
      <c r="D871" s="35"/>
      <c r="E871" s="35"/>
      <c r="F871" s="40"/>
      <c r="G871" s="33"/>
      <c r="H871" s="39"/>
      <c r="I871" s="248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</row>
    <row r="872" ht="15.75" customHeight="1">
      <c r="A872" s="35"/>
      <c r="B872" s="33"/>
      <c r="C872" s="33"/>
      <c r="D872" s="35"/>
      <c r="E872" s="35"/>
      <c r="F872" s="40"/>
      <c r="G872" s="33"/>
      <c r="H872" s="39"/>
      <c r="I872" s="248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</row>
    <row r="873" ht="15.75" customHeight="1">
      <c r="A873" s="35"/>
      <c r="B873" s="33"/>
      <c r="C873" s="33"/>
      <c r="D873" s="35"/>
      <c r="E873" s="35"/>
      <c r="F873" s="40"/>
      <c r="G873" s="33"/>
      <c r="H873" s="39"/>
      <c r="I873" s="248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</row>
    <row r="874" ht="15.75" customHeight="1">
      <c r="A874" s="35"/>
      <c r="B874" s="33"/>
      <c r="C874" s="33"/>
      <c r="D874" s="35"/>
      <c r="E874" s="35"/>
      <c r="F874" s="40"/>
      <c r="G874" s="33"/>
      <c r="H874" s="39"/>
      <c r="I874" s="248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</row>
    <row r="875" ht="15.75" customHeight="1">
      <c r="A875" s="35"/>
      <c r="B875" s="33"/>
      <c r="C875" s="33"/>
      <c r="D875" s="35"/>
      <c r="E875" s="35"/>
      <c r="F875" s="40"/>
      <c r="G875" s="33"/>
      <c r="H875" s="39"/>
      <c r="I875" s="248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</row>
    <row r="876" ht="15.75" customHeight="1">
      <c r="A876" s="35"/>
      <c r="B876" s="33"/>
      <c r="C876" s="33"/>
      <c r="D876" s="35"/>
      <c r="E876" s="35"/>
      <c r="F876" s="40"/>
      <c r="G876" s="33"/>
      <c r="H876" s="39"/>
      <c r="I876" s="248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</row>
    <row r="877" ht="15.75" customHeight="1">
      <c r="A877" s="35"/>
      <c r="B877" s="33"/>
      <c r="C877" s="33"/>
      <c r="D877" s="35"/>
      <c r="E877" s="35"/>
      <c r="F877" s="40"/>
      <c r="G877" s="33"/>
      <c r="H877" s="39"/>
      <c r="I877" s="248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</row>
    <row r="878" ht="15.75" customHeight="1">
      <c r="A878" s="35"/>
      <c r="B878" s="33"/>
      <c r="C878" s="33"/>
      <c r="D878" s="35"/>
      <c r="E878" s="35"/>
      <c r="F878" s="40"/>
      <c r="G878" s="33"/>
      <c r="H878" s="39"/>
      <c r="I878" s="248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</row>
    <row r="879" ht="15.75" customHeight="1">
      <c r="A879" s="35"/>
      <c r="B879" s="33"/>
      <c r="C879" s="33"/>
      <c r="D879" s="35"/>
      <c r="E879" s="35"/>
      <c r="F879" s="40"/>
      <c r="G879" s="33"/>
      <c r="H879" s="39"/>
      <c r="I879" s="248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</row>
    <row r="880" ht="15.75" customHeight="1">
      <c r="A880" s="35"/>
      <c r="B880" s="33"/>
      <c r="C880" s="33"/>
      <c r="D880" s="35"/>
      <c r="E880" s="35"/>
      <c r="F880" s="40"/>
      <c r="G880" s="33"/>
      <c r="H880" s="39"/>
      <c r="I880" s="248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</row>
    <row r="881" ht="15.75" customHeight="1">
      <c r="A881" s="35"/>
      <c r="B881" s="33"/>
      <c r="C881" s="33"/>
      <c r="D881" s="35"/>
      <c r="E881" s="35"/>
      <c r="F881" s="40"/>
      <c r="G881" s="33"/>
      <c r="H881" s="39"/>
      <c r="I881" s="248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</row>
    <row r="882" ht="15.75" customHeight="1">
      <c r="A882" s="35"/>
      <c r="B882" s="33"/>
      <c r="C882" s="33"/>
      <c r="D882" s="35"/>
      <c r="E882" s="35"/>
      <c r="F882" s="40"/>
      <c r="G882" s="33"/>
      <c r="H882" s="39"/>
      <c r="I882" s="248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</row>
    <row r="883" ht="15.75" customHeight="1">
      <c r="A883" s="35"/>
      <c r="B883" s="33"/>
      <c r="C883" s="33"/>
      <c r="D883" s="35"/>
      <c r="E883" s="35"/>
      <c r="F883" s="40"/>
      <c r="G883" s="33"/>
      <c r="H883" s="39"/>
      <c r="I883" s="248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</row>
    <row r="884" ht="15.75" customHeight="1">
      <c r="A884" s="35"/>
      <c r="B884" s="33"/>
      <c r="C884" s="33"/>
      <c r="D884" s="35"/>
      <c r="E884" s="35"/>
      <c r="F884" s="40"/>
      <c r="G884" s="33"/>
      <c r="H884" s="39"/>
      <c r="I884" s="248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</row>
    <row r="885" ht="15.75" customHeight="1">
      <c r="A885" s="35"/>
      <c r="B885" s="33"/>
      <c r="C885" s="33"/>
      <c r="D885" s="35"/>
      <c r="E885" s="35"/>
      <c r="F885" s="40"/>
      <c r="G885" s="33"/>
      <c r="H885" s="39"/>
      <c r="I885" s="248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</row>
    <row r="886" ht="15.75" customHeight="1">
      <c r="A886" s="35"/>
      <c r="B886" s="33"/>
      <c r="C886" s="33"/>
      <c r="D886" s="35"/>
      <c r="E886" s="35"/>
      <c r="F886" s="40"/>
      <c r="G886" s="33"/>
      <c r="H886" s="39"/>
      <c r="I886" s="248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</row>
    <row r="887" ht="15.75" customHeight="1">
      <c r="A887" s="35"/>
      <c r="B887" s="33"/>
      <c r="C887" s="33"/>
      <c r="D887" s="35"/>
      <c r="E887" s="35"/>
      <c r="F887" s="40"/>
      <c r="G887" s="33"/>
      <c r="H887" s="39"/>
      <c r="I887" s="248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</row>
    <row r="888" ht="15.75" customHeight="1">
      <c r="A888" s="35"/>
      <c r="B888" s="33"/>
      <c r="C888" s="33"/>
      <c r="D888" s="35"/>
      <c r="E888" s="35"/>
      <c r="F888" s="40"/>
      <c r="G888" s="33"/>
      <c r="H888" s="39"/>
      <c r="I888" s="248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</row>
    <row r="889" ht="15.75" customHeight="1">
      <c r="A889" s="35"/>
      <c r="B889" s="33"/>
      <c r="C889" s="33"/>
      <c r="D889" s="35"/>
      <c r="E889" s="35"/>
      <c r="F889" s="40"/>
      <c r="G889" s="33"/>
      <c r="H889" s="39"/>
      <c r="I889" s="248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</row>
    <row r="890" ht="15.75" customHeight="1">
      <c r="A890" s="35"/>
      <c r="B890" s="33"/>
      <c r="C890" s="33"/>
      <c r="D890" s="35"/>
      <c r="E890" s="35"/>
      <c r="F890" s="40"/>
      <c r="G890" s="33"/>
      <c r="H890" s="39"/>
      <c r="I890" s="248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</row>
    <row r="891" ht="15.75" customHeight="1">
      <c r="A891" s="35"/>
      <c r="B891" s="33"/>
      <c r="C891" s="33"/>
      <c r="D891" s="35"/>
      <c r="E891" s="35"/>
      <c r="F891" s="40"/>
      <c r="G891" s="33"/>
      <c r="H891" s="39"/>
      <c r="I891" s="248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</row>
    <row r="892" ht="15.75" customHeight="1">
      <c r="A892" s="35"/>
      <c r="B892" s="33"/>
      <c r="C892" s="33"/>
      <c r="D892" s="35"/>
      <c r="E892" s="35"/>
      <c r="F892" s="40"/>
      <c r="G892" s="33"/>
      <c r="H892" s="39"/>
      <c r="I892" s="248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</row>
    <row r="893" ht="15.75" customHeight="1">
      <c r="A893" s="35"/>
      <c r="B893" s="33"/>
      <c r="C893" s="33"/>
      <c r="D893" s="35"/>
      <c r="E893" s="35"/>
      <c r="F893" s="40"/>
      <c r="G893" s="33"/>
      <c r="H893" s="39"/>
      <c r="I893" s="248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</row>
    <row r="894" ht="15.75" customHeight="1">
      <c r="A894" s="35"/>
      <c r="B894" s="33"/>
      <c r="C894" s="33"/>
      <c r="D894" s="35"/>
      <c r="E894" s="35"/>
      <c r="F894" s="40"/>
      <c r="G894" s="33"/>
      <c r="H894" s="39"/>
      <c r="I894" s="248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</row>
    <row r="895" ht="15.75" customHeight="1">
      <c r="A895" s="35"/>
      <c r="B895" s="33"/>
      <c r="C895" s="33"/>
      <c r="D895" s="35"/>
      <c r="E895" s="35"/>
      <c r="F895" s="40"/>
      <c r="G895" s="33"/>
      <c r="H895" s="39"/>
      <c r="I895" s="248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</row>
    <row r="896" ht="15.75" customHeight="1">
      <c r="A896" s="35"/>
      <c r="B896" s="33"/>
      <c r="C896" s="33"/>
      <c r="D896" s="35"/>
      <c r="E896" s="35"/>
      <c r="F896" s="40"/>
      <c r="G896" s="33"/>
      <c r="H896" s="39"/>
      <c r="I896" s="248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</row>
    <row r="897" ht="15.75" customHeight="1">
      <c r="A897" s="35"/>
      <c r="B897" s="33"/>
      <c r="C897" s="33"/>
      <c r="D897" s="35"/>
      <c r="E897" s="35"/>
      <c r="F897" s="40"/>
      <c r="G897" s="33"/>
      <c r="H897" s="39"/>
      <c r="I897" s="248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</row>
    <row r="898" ht="15.75" customHeight="1">
      <c r="A898" s="35"/>
      <c r="B898" s="33"/>
      <c r="C898" s="33"/>
      <c r="D898" s="35"/>
      <c r="E898" s="35"/>
      <c r="F898" s="40"/>
      <c r="G898" s="33"/>
      <c r="H898" s="39"/>
      <c r="I898" s="248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</row>
    <row r="899" ht="15.75" customHeight="1">
      <c r="A899" s="35"/>
      <c r="B899" s="33"/>
      <c r="C899" s="33"/>
      <c r="D899" s="35"/>
      <c r="E899" s="35"/>
      <c r="F899" s="40"/>
      <c r="G899" s="33"/>
      <c r="H899" s="39"/>
      <c r="I899" s="248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</row>
    <row r="900" ht="15.75" customHeight="1">
      <c r="A900" s="35"/>
      <c r="B900" s="33"/>
      <c r="C900" s="33"/>
      <c r="D900" s="35"/>
      <c r="E900" s="35"/>
      <c r="F900" s="40"/>
      <c r="G900" s="33"/>
      <c r="H900" s="39"/>
      <c r="I900" s="248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</row>
    <row r="901" ht="15.75" customHeight="1">
      <c r="A901" s="35"/>
      <c r="B901" s="33"/>
      <c r="C901" s="33"/>
      <c r="D901" s="35"/>
      <c r="E901" s="35"/>
      <c r="F901" s="40"/>
      <c r="G901" s="33"/>
      <c r="H901" s="39"/>
      <c r="I901" s="248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</row>
    <row r="902" ht="15.75" customHeight="1">
      <c r="A902" s="35"/>
      <c r="B902" s="33"/>
      <c r="C902" s="33"/>
      <c r="D902" s="35"/>
      <c r="E902" s="35"/>
      <c r="F902" s="40"/>
      <c r="G902" s="33"/>
      <c r="H902" s="39"/>
      <c r="I902" s="248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</row>
    <row r="903" ht="15.75" customHeight="1">
      <c r="A903" s="35"/>
      <c r="B903" s="33"/>
      <c r="C903" s="33"/>
      <c r="D903" s="35"/>
      <c r="E903" s="35"/>
      <c r="F903" s="40"/>
      <c r="G903" s="33"/>
      <c r="H903" s="39"/>
      <c r="I903" s="248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</row>
    <row r="904" ht="15.75" customHeight="1">
      <c r="A904" s="35"/>
      <c r="B904" s="33"/>
      <c r="C904" s="33"/>
      <c r="D904" s="35"/>
      <c r="E904" s="35"/>
      <c r="F904" s="40"/>
      <c r="G904" s="33"/>
      <c r="H904" s="39"/>
      <c r="I904" s="248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</row>
    <row r="905" ht="15.75" customHeight="1">
      <c r="A905" s="35"/>
      <c r="B905" s="33"/>
      <c r="C905" s="33"/>
      <c r="D905" s="35"/>
      <c r="E905" s="35"/>
      <c r="F905" s="40"/>
      <c r="G905" s="33"/>
      <c r="H905" s="39"/>
      <c r="I905" s="248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</row>
    <row r="906" ht="15.75" customHeight="1">
      <c r="A906" s="35"/>
      <c r="B906" s="33"/>
      <c r="C906" s="33"/>
      <c r="D906" s="35"/>
      <c r="E906" s="35"/>
      <c r="F906" s="40"/>
      <c r="G906" s="33"/>
      <c r="H906" s="39"/>
      <c r="I906" s="248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</row>
    <row r="907" ht="15.75" customHeight="1">
      <c r="A907" s="35"/>
      <c r="B907" s="33"/>
      <c r="C907" s="33"/>
      <c r="D907" s="35"/>
      <c r="E907" s="35"/>
      <c r="F907" s="40"/>
      <c r="G907" s="33"/>
      <c r="H907" s="39"/>
      <c r="I907" s="248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</row>
    <row r="908" ht="15.75" customHeight="1">
      <c r="A908" s="35"/>
      <c r="B908" s="33"/>
      <c r="C908" s="33"/>
      <c r="D908" s="35"/>
      <c r="E908" s="35"/>
      <c r="F908" s="40"/>
      <c r="G908" s="33"/>
      <c r="H908" s="39"/>
      <c r="I908" s="248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</row>
    <row r="909" ht="15.75" customHeight="1">
      <c r="A909" s="35"/>
      <c r="B909" s="33"/>
      <c r="C909" s="33"/>
      <c r="D909" s="35"/>
      <c r="E909" s="35"/>
      <c r="F909" s="40"/>
      <c r="G909" s="33"/>
      <c r="H909" s="39"/>
      <c r="I909" s="248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</row>
    <row r="910" ht="15.75" customHeight="1">
      <c r="A910" s="35"/>
      <c r="B910" s="33"/>
      <c r="C910" s="33"/>
      <c r="D910" s="35"/>
      <c r="E910" s="35"/>
      <c r="F910" s="40"/>
      <c r="G910" s="33"/>
      <c r="H910" s="39"/>
      <c r="I910" s="248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</row>
    <row r="911" ht="15.75" customHeight="1">
      <c r="A911" s="35"/>
      <c r="B911" s="33"/>
      <c r="C911" s="33"/>
      <c r="D911" s="35"/>
      <c r="E911" s="35"/>
      <c r="F911" s="40"/>
      <c r="G911" s="33"/>
      <c r="H911" s="39"/>
      <c r="I911" s="248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</row>
    <row r="912" ht="15.75" customHeight="1">
      <c r="A912" s="35"/>
      <c r="B912" s="33"/>
      <c r="C912" s="33"/>
      <c r="D912" s="35"/>
      <c r="E912" s="35"/>
      <c r="F912" s="40"/>
      <c r="G912" s="33"/>
      <c r="H912" s="39"/>
      <c r="I912" s="248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</row>
    <row r="913" ht="15.75" customHeight="1">
      <c r="A913" s="35"/>
      <c r="B913" s="33"/>
      <c r="C913" s="33"/>
      <c r="D913" s="35"/>
      <c r="E913" s="35"/>
      <c r="F913" s="40"/>
      <c r="G913" s="33"/>
      <c r="H913" s="39"/>
      <c r="I913" s="248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</row>
    <row r="914" ht="15.75" customHeight="1">
      <c r="A914" s="35"/>
      <c r="B914" s="33"/>
      <c r="C914" s="33"/>
      <c r="D914" s="35"/>
      <c r="E914" s="35"/>
      <c r="F914" s="40"/>
      <c r="G914" s="33"/>
      <c r="H914" s="39"/>
      <c r="I914" s="248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</row>
    <row r="915" ht="15.75" customHeight="1">
      <c r="A915" s="35"/>
      <c r="B915" s="33"/>
      <c r="C915" s="33"/>
      <c r="D915" s="35"/>
      <c r="E915" s="35"/>
      <c r="F915" s="40"/>
      <c r="G915" s="33"/>
      <c r="H915" s="39"/>
      <c r="I915" s="248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</row>
    <row r="916" ht="15.75" customHeight="1">
      <c r="A916" s="35"/>
      <c r="B916" s="33"/>
      <c r="C916" s="33"/>
      <c r="D916" s="35"/>
      <c r="E916" s="35"/>
      <c r="F916" s="40"/>
      <c r="G916" s="33"/>
      <c r="H916" s="39"/>
      <c r="I916" s="248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</row>
    <row r="917" ht="15.75" customHeight="1">
      <c r="A917" s="35"/>
      <c r="B917" s="33"/>
      <c r="C917" s="33"/>
      <c r="D917" s="35"/>
      <c r="E917" s="35"/>
      <c r="F917" s="40"/>
      <c r="G917" s="33"/>
      <c r="H917" s="39"/>
      <c r="I917" s="248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</row>
    <row r="918" ht="15.75" customHeight="1">
      <c r="A918" s="35"/>
      <c r="B918" s="33"/>
      <c r="C918" s="33"/>
      <c r="D918" s="35"/>
      <c r="E918" s="35"/>
      <c r="F918" s="40"/>
      <c r="G918" s="33"/>
      <c r="H918" s="39"/>
      <c r="I918" s="248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</row>
    <row r="919" ht="15.75" customHeight="1">
      <c r="A919" s="35"/>
      <c r="B919" s="33"/>
      <c r="C919" s="33"/>
      <c r="D919" s="35"/>
      <c r="E919" s="35"/>
      <c r="F919" s="40"/>
      <c r="G919" s="33"/>
      <c r="H919" s="39"/>
      <c r="I919" s="248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</row>
    <row r="920" ht="15.75" customHeight="1">
      <c r="A920" s="35"/>
      <c r="B920" s="33"/>
      <c r="C920" s="33"/>
      <c r="D920" s="35"/>
      <c r="E920" s="35"/>
      <c r="F920" s="40"/>
      <c r="G920" s="33"/>
      <c r="H920" s="39"/>
      <c r="I920" s="248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</row>
    <row r="921" ht="15.75" customHeight="1">
      <c r="A921" s="35"/>
      <c r="B921" s="33"/>
      <c r="C921" s="33"/>
      <c r="D921" s="35"/>
      <c r="E921" s="35"/>
      <c r="F921" s="40"/>
      <c r="G921" s="33"/>
      <c r="H921" s="39"/>
      <c r="I921" s="248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</row>
    <row r="922" ht="15.75" customHeight="1">
      <c r="A922" s="35"/>
      <c r="B922" s="33"/>
      <c r="C922" s="33"/>
      <c r="D922" s="35"/>
      <c r="E922" s="35"/>
      <c r="F922" s="40"/>
      <c r="G922" s="33"/>
      <c r="H922" s="39"/>
      <c r="I922" s="248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</row>
    <row r="923" ht="15.75" customHeight="1">
      <c r="A923" s="35"/>
      <c r="B923" s="33"/>
      <c r="C923" s="33"/>
      <c r="D923" s="35"/>
      <c r="E923" s="35"/>
      <c r="F923" s="40"/>
      <c r="G923" s="33"/>
      <c r="H923" s="39"/>
      <c r="I923" s="248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</row>
    <row r="924" ht="15.75" customHeight="1">
      <c r="A924" s="35"/>
      <c r="B924" s="33"/>
      <c r="C924" s="33"/>
      <c r="D924" s="35"/>
      <c r="E924" s="35"/>
      <c r="F924" s="40"/>
      <c r="G924" s="33"/>
      <c r="H924" s="39"/>
      <c r="I924" s="248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</row>
    <row r="925" ht="15.75" customHeight="1">
      <c r="A925" s="35"/>
      <c r="B925" s="33"/>
      <c r="C925" s="33"/>
      <c r="D925" s="35"/>
      <c r="E925" s="35"/>
      <c r="F925" s="40"/>
      <c r="G925" s="33"/>
      <c r="H925" s="39"/>
      <c r="I925" s="248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</row>
    <row r="926" ht="15.75" customHeight="1">
      <c r="A926" s="35"/>
      <c r="B926" s="33"/>
      <c r="C926" s="33"/>
      <c r="D926" s="35"/>
      <c r="E926" s="35"/>
      <c r="F926" s="40"/>
      <c r="G926" s="33"/>
      <c r="H926" s="39"/>
      <c r="I926" s="248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</row>
    <row r="927" ht="15.75" customHeight="1">
      <c r="A927" s="35"/>
      <c r="B927" s="33"/>
      <c r="C927" s="33"/>
      <c r="D927" s="35"/>
      <c r="E927" s="35"/>
      <c r="F927" s="40"/>
      <c r="G927" s="33"/>
      <c r="H927" s="39"/>
      <c r="I927" s="248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</row>
    <row r="928" ht="15.75" customHeight="1">
      <c r="A928" s="35"/>
      <c r="B928" s="33"/>
      <c r="C928" s="33"/>
      <c r="D928" s="35"/>
      <c r="E928" s="35"/>
      <c r="F928" s="40"/>
      <c r="G928" s="33"/>
      <c r="H928" s="39"/>
      <c r="I928" s="248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</row>
    <row r="929" ht="15.75" customHeight="1">
      <c r="A929" s="35"/>
      <c r="B929" s="33"/>
      <c r="C929" s="33"/>
      <c r="D929" s="35"/>
      <c r="E929" s="35"/>
      <c r="F929" s="40"/>
      <c r="G929" s="33"/>
      <c r="H929" s="39"/>
      <c r="I929" s="248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</row>
    <row r="930" ht="15.75" customHeight="1">
      <c r="A930" s="35"/>
      <c r="B930" s="33"/>
      <c r="C930" s="33"/>
      <c r="D930" s="35"/>
      <c r="E930" s="35"/>
      <c r="F930" s="40"/>
      <c r="G930" s="33"/>
      <c r="H930" s="39"/>
      <c r="I930" s="248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</row>
    <row r="931" ht="15.75" customHeight="1">
      <c r="A931" s="35"/>
      <c r="B931" s="33"/>
      <c r="C931" s="33"/>
      <c r="D931" s="35"/>
      <c r="E931" s="35"/>
      <c r="F931" s="40"/>
      <c r="G931" s="33"/>
      <c r="H931" s="39"/>
      <c r="I931" s="248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</row>
    <row r="932" ht="15.75" customHeight="1">
      <c r="A932" s="35"/>
      <c r="B932" s="33"/>
      <c r="C932" s="33"/>
      <c r="D932" s="35"/>
      <c r="E932" s="35"/>
      <c r="F932" s="40"/>
      <c r="G932" s="33"/>
      <c r="H932" s="39"/>
      <c r="I932" s="248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</row>
    <row r="933" ht="15.75" customHeight="1">
      <c r="A933" s="35"/>
      <c r="B933" s="33"/>
      <c r="C933" s="33"/>
      <c r="D933" s="35"/>
      <c r="E933" s="35"/>
      <c r="F933" s="40"/>
      <c r="G933" s="33"/>
      <c r="H933" s="39"/>
      <c r="I933" s="248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</row>
    <row r="934" ht="15.75" customHeight="1">
      <c r="A934" s="35"/>
      <c r="B934" s="33"/>
      <c r="C934" s="33"/>
      <c r="D934" s="35"/>
      <c r="E934" s="35"/>
      <c r="F934" s="40"/>
      <c r="G934" s="33"/>
      <c r="H934" s="39"/>
      <c r="I934" s="248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</row>
    <row r="935" ht="15.75" customHeight="1">
      <c r="A935" s="35"/>
      <c r="B935" s="33"/>
      <c r="C935" s="33"/>
      <c r="D935" s="35"/>
      <c r="E935" s="35"/>
      <c r="F935" s="40"/>
      <c r="G935" s="33"/>
      <c r="H935" s="39"/>
      <c r="I935" s="248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</row>
    <row r="936" ht="15.75" customHeight="1">
      <c r="A936" s="35"/>
      <c r="B936" s="33"/>
      <c r="C936" s="33"/>
      <c r="D936" s="35"/>
      <c r="E936" s="35"/>
      <c r="F936" s="40"/>
      <c r="G936" s="33"/>
      <c r="H936" s="39"/>
      <c r="I936" s="248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</row>
    <row r="937" ht="15.75" customHeight="1">
      <c r="A937" s="35"/>
      <c r="B937" s="33"/>
      <c r="C937" s="33"/>
      <c r="D937" s="35"/>
      <c r="E937" s="35"/>
      <c r="F937" s="40"/>
      <c r="G937" s="33"/>
      <c r="H937" s="39"/>
      <c r="I937" s="248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</row>
    <row r="938" ht="15.75" customHeight="1">
      <c r="A938" s="35"/>
      <c r="B938" s="33"/>
      <c r="C938" s="33"/>
      <c r="D938" s="35"/>
      <c r="E938" s="35"/>
      <c r="F938" s="40"/>
      <c r="G938" s="33"/>
      <c r="H938" s="39"/>
      <c r="I938" s="248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</row>
    <row r="939" ht="15.75" customHeight="1">
      <c r="A939" s="35"/>
      <c r="B939" s="33"/>
      <c r="C939" s="33"/>
      <c r="D939" s="35"/>
      <c r="E939" s="35"/>
      <c r="F939" s="40"/>
      <c r="G939" s="33"/>
      <c r="H939" s="39"/>
      <c r="I939" s="248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</row>
    <row r="940" ht="15.75" customHeight="1">
      <c r="A940" s="35"/>
      <c r="B940" s="33"/>
      <c r="C940" s="33"/>
      <c r="D940" s="35"/>
      <c r="E940" s="35"/>
      <c r="F940" s="40"/>
      <c r="G940" s="33"/>
      <c r="H940" s="39"/>
      <c r="I940" s="248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</row>
    <row r="941" ht="15.75" customHeight="1">
      <c r="A941" s="35"/>
      <c r="B941" s="33"/>
      <c r="C941" s="33"/>
      <c r="D941" s="35"/>
      <c r="E941" s="35"/>
      <c r="F941" s="40"/>
      <c r="G941" s="33"/>
      <c r="H941" s="39"/>
      <c r="I941" s="248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</row>
    <row r="942" ht="15.75" customHeight="1">
      <c r="A942" s="35"/>
      <c r="B942" s="33"/>
      <c r="C942" s="33"/>
      <c r="D942" s="35"/>
      <c r="E942" s="35"/>
      <c r="F942" s="40"/>
      <c r="G942" s="33"/>
      <c r="H942" s="39"/>
      <c r="I942" s="248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</row>
    <row r="943" ht="15.75" customHeight="1">
      <c r="A943" s="35"/>
      <c r="B943" s="33"/>
      <c r="C943" s="33"/>
      <c r="D943" s="35"/>
      <c r="E943" s="35"/>
      <c r="F943" s="40"/>
      <c r="G943" s="33"/>
      <c r="H943" s="39"/>
      <c r="I943" s="248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</row>
    <row r="944" ht="15.75" customHeight="1">
      <c r="A944" s="35"/>
      <c r="B944" s="33"/>
      <c r="C944" s="33"/>
      <c r="D944" s="35"/>
      <c r="E944" s="35"/>
      <c r="F944" s="40"/>
      <c r="G944" s="33"/>
      <c r="H944" s="39"/>
      <c r="I944" s="248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</row>
    <row r="945" ht="15.75" customHeight="1">
      <c r="A945" s="35"/>
      <c r="B945" s="33"/>
      <c r="C945" s="33"/>
      <c r="D945" s="35"/>
      <c r="E945" s="35"/>
      <c r="F945" s="40"/>
      <c r="G945" s="33"/>
      <c r="H945" s="39"/>
      <c r="I945" s="248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</row>
    <row r="946" ht="15.75" customHeight="1">
      <c r="A946" s="35"/>
      <c r="B946" s="33"/>
      <c r="C946" s="33"/>
      <c r="D946" s="35"/>
      <c r="E946" s="35"/>
      <c r="F946" s="40"/>
      <c r="G946" s="33"/>
      <c r="H946" s="39"/>
      <c r="I946" s="248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</row>
    <row r="947" ht="15.75" customHeight="1">
      <c r="A947" s="35"/>
      <c r="B947" s="33"/>
      <c r="C947" s="33"/>
      <c r="D947" s="35"/>
      <c r="E947" s="35"/>
      <c r="F947" s="40"/>
      <c r="G947" s="33"/>
      <c r="H947" s="39"/>
      <c r="I947" s="248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</row>
    <row r="948" ht="15.75" customHeight="1">
      <c r="A948" s="35"/>
      <c r="B948" s="33"/>
      <c r="C948" s="33"/>
      <c r="D948" s="35"/>
      <c r="E948" s="35"/>
      <c r="F948" s="40"/>
      <c r="G948" s="33"/>
      <c r="H948" s="39"/>
      <c r="I948" s="248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</row>
    <row r="949" ht="15.75" customHeight="1">
      <c r="A949" s="35"/>
      <c r="B949" s="33"/>
      <c r="C949" s="33"/>
      <c r="D949" s="35"/>
      <c r="E949" s="35"/>
      <c r="F949" s="40"/>
      <c r="G949" s="33"/>
      <c r="H949" s="39"/>
      <c r="I949" s="248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</row>
    <row r="950" ht="15.75" customHeight="1">
      <c r="A950" s="35"/>
      <c r="B950" s="33"/>
      <c r="C950" s="33"/>
      <c r="D950" s="35"/>
      <c r="E950" s="35"/>
      <c r="F950" s="40"/>
      <c r="G950" s="33"/>
      <c r="H950" s="39"/>
      <c r="I950" s="248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</row>
    <row r="951" ht="15.75" customHeight="1">
      <c r="A951" s="35"/>
      <c r="B951" s="33"/>
      <c r="C951" s="33"/>
      <c r="D951" s="35"/>
      <c r="E951" s="35"/>
      <c r="F951" s="40"/>
      <c r="G951" s="33"/>
      <c r="H951" s="39"/>
      <c r="I951" s="248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</row>
    <row r="952" ht="15.75" customHeight="1">
      <c r="A952" s="35"/>
      <c r="B952" s="33"/>
      <c r="C952" s="33"/>
      <c r="D952" s="35"/>
      <c r="E952" s="35"/>
      <c r="F952" s="40"/>
      <c r="G952" s="33"/>
      <c r="H952" s="39"/>
      <c r="I952" s="248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</row>
    <row r="953" ht="15.75" customHeight="1">
      <c r="A953" s="35"/>
      <c r="B953" s="33"/>
      <c r="C953" s="33"/>
      <c r="D953" s="35"/>
      <c r="E953" s="35"/>
      <c r="F953" s="40"/>
      <c r="G953" s="33"/>
      <c r="H953" s="39"/>
      <c r="I953" s="248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</row>
    <row r="954" ht="15.75" customHeight="1">
      <c r="A954" s="35"/>
      <c r="B954" s="33"/>
      <c r="C954" s="33"/>
      <c r="D954" s="35"/>
      <c r="E954" s="35"/>
      <c r="F954" s="40"/>
      <c r="G954" s="33"/>
      <c r="H954" s="39"/>
      <c r="I954" s="248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</row>
    <row r="955" ht="15.75" customHeight="1">
      <c r="A955" s="35"/>
      <c r="B955" s="33"/>
      <c r="C955" s="33"/>
      <c r="D955" s="35"/>
      <c r="E955" s="35"/>
      <c r="F955" s="40"/>
      <c r="G955" s="33"/>
      <c r="H955" s="39"/>
      <c r="I955" s="248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</row>
    <row r="956" ht="15.75" customHeight="1">
      <c r="A956" s="35"/>
      <c r="B956" s="33"/>
      <c r="C956" s="33"/>
      <c r="D956" s="35"/>
      <c r="E956" s="35"/>
      <c r="F956" s="40"/>
      <c r="G956" s="33"/>
      <c r="H956" s="39"/>
      <c r="I956" s="248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</row>
    <row r="957" ht="15.75" customHeight="1">
      <c r="A957" s="35"/>
      <c r="B957" s="33"/>
      <c r="C957" s="33"/>
      <c r="D957" s="35"/>
      <c r="E957" s="35"/>
      <c r="F957" s="40"/>
      <c r="G957" s="33"/>
      <c r="H957" s="39"/>
      <c r="I957" s="248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</row>
    <row r="958" ht="15.75" customHeight="1">
      <c r="A958" s="35"/>
      <c r="B958" s="33"/>
      <c r="C958" s="33"/>
      <c r="D958" s="35"/>
      <c r="E958" s="35"/>
      <c r="F958" s="40"/>
      <c r="G958" s="33"/>
      <c r="H958" s="39"/>
      <c r="I958" s="248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</row>
    <row r="959" ht="15.75" customHeight="1">
      <c r="A959" s="35"/>
      <c r="B959" s="33"/>
      <c r="C959" s="33"/>
      <c r="D959" s="35"/>
      <c r="E959" s="35"/>
      <c r="F959" s="40"/>
      <c r="G959" s="33"/>
      <c r="H959" s="39"/>
      <c r="I959" s="248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</row>
    <row r="960" ht="15.75" customHeight="1">
      <c r="A960" s="35"/>
      <c r="B960" s="33"/>
      <c r="C960" s="33"/>
      <c r="D960" s="35"/>
      <c r="E960" s="35"/>
      <c r="F960" s="40"/>
      <c r="G960" s="33"/>
      <c r="H960" s="39"/>
      <c r="I960" s="248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</row>
    <row r="961" ht="15.75" customHeight="1">
      <c r="A961" s="35"/>
      <c r="B961" s="33"/>
      <c r="C961" s="33"/>
      <c r="D961" s="35"/>
      <c r="E961" s="35"/>
      <c r="F961" s="40"/>
      <c r="G961" s="33"/>
      <c r="H961" s="39"/>
      <c r="I961" s="248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</row>
    <row r="962" ht="15.75" customHeight="1">
      <c r="A962" s="35"/>
      <c r="B962" s="33"/>
      <c r="C962" s="33"/>
      <c r="D962" s="35"/>
      <c r="E962" s="35"/>
      <c r="F962" s="40"/>
      <c r="G962" s="33"/>
      <c r="H962" s="39"/>
      <c r="I962" s="248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</row>
    <row r="963" ht="15.75" customHeight="1">
      <c r="A963" s="35"/>
      <c r="B963" s="33"/>
      <c r="C963" s="33"/>
      <c r="D963" s="35"/>
      <c r="E963" s="35"/>
      <c r="F963" s="40"/>
      <c r="G963" s="33"/>
      <c r="H963" s="39"/>
      <c r="I963" s="248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</row>
    <row r="964" ht="15.75" customHeight="1">
      <c r="A964" s="35"/>
      <c r="B964" s="33"/>
      <c r="C964" s="33"/>
      <c r="D964" s="35"/>
      <c r="E964" s="35"/>
      <c r="F964" s="40"/>
      <c r="G964" s="33"/>
      <c r="H964" s="39"/>
      <c r="I964" s="248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</row>
    <row r="965" ht="15.75" customHeight="1">
      <c r="A965" s="35"/>
      <c r="B965" s="33"/>
      <c r="C965" s="33"/>
      <c r="D965" s="35"/>
      <c r="E965" s="35"/>
      <c r="F965" s="40"/>
      <c r="G965" s="33"/>
      <c r="H965" s="39"/>
      <c r="I965" s="248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</row>
    <row r="966" ht="15.75" customHeight="1">
      <c r="A966" s="35"/>
      <c r="B966" s="33"/>
      <c r="C966" s="33"/>
      <c r="D966" s="35"/>
      <c r="E966" s="35"/>
      <c r="F966" s="40"/>
      <c r="G966" s="33"/>
      <c r="H966" s="39"/>
      <c r="I966" s="248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</row>
    <row r="967" ht="15.75" customHeight="1">
      <c r="A967" s="35"/>
      <c r="B967" s="33"/>
      <c r="C967" s="33"/>
      <c r="D967" s="35"/>
      <c r="E967" s="35"/>
      <c r="F967" s="40"/>
      <c r="G967" s="33"/>
      <c r="H967" s="39"/>
      <c r="I967" s="248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</row>
    <row r="968" ht="15.75" customHeight="1">
      <c r="A968" s="35"/>
      <c r="B968" s="33"/>
      <c r="C968" s="33"/>
      <c r="D968" s="35"/>
      <c r="E968" s="35"/>
      <c r="F968" s="40"/>
      <c r="G968" s="33"/>
      <c r="H968" s="39"/>
      <c r="I968" s="248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</row>
    <row r="969" ht="15.75" customHeight="1">
      <c r="A969" s="35"/>
      <c r="B969" s="33"/>
      <c r="C969" s="33"/>
      <c r="D969" s="35"/>
      <c r="E969" s="35"/>
      <c r="F969" s="40"/>
      <c r="G969" s="33"/>
      <c r="H969" s="39"/>
      <c r="I969" s="248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</row>
    <row r="970" ht="15.75" customHeight="1">
      <c r="A970" s="35"/>
      <c r="B970" s="33"/>
      <c r="C970" s="33"/>
      <c r="D970" s="35"/>
      <c r="E970" s="35"/>
      <c r="F970" s="40"/>
      <c r="G970" s="33"/>
      <c r="H970" s="39"/>
      <c r="I970" s="248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</row>
    <row r="971" ht="15.75" customHeight="1">
      <c r="A971" s="35"/>
      <c r="B971" s="33"/>
      <c r="C971" s="33"/>
      <c r="D971" s="35"/>
      <c r="E971" s="35"/>
      <c r="F971" s="40"/>
      <c r="G971" s="33"/>
      <c r="H971" s="39"/>
      <c r="I971" s="248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</row>
    <row r="972" ht="15.75" customHeight="1">
      <c r="A972" s="35"/>
      <c r="B972" s="33"/>
      <c r="C972" s="33"/>
      <c r="D972" s="35"/>
      <c r="E972" s="35"/>
      <c r="F972" s="40"/>
      <c r="G972" s="33"/>
      <c r="H972" s="39"/>
      <c r="I972" s="248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</row>
    <row r="973" ht="15.75" customHeight="1">
      <c r="A973" s="35"/>
      <c r="B973" s="33"/>
      <c r="C973" s="33"/>
      <c r="D973" s="35"/>
      <c r="E973" s="35"/>
      <c r="F973" s="40"/>
      <c r="G973" s="33"/>
      <c r="H973" s="39"/>
      <c r="I973" s="248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</row>
    <row r="974" ht="15.75" customHeight="1">
      <c r="A974" s="35"/>
      <c r="B974" s="33"/>
      <c r="C974" s="33"/>
      <c r="D974" s="35"/>
      <c r="E974" s="35"/>
      <c r="F974" s="40"/>
      <c r="G974" s="33"/>
      <c r="H974" s="39"/>
      <c r="I974" s="248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</row>
    <row r="975" ht="15.75" customHeight="1">
      <c r="A975" s="35"/>
      <c r="B975" s="33"/>
      <c r="C975" s="33"/>
      <c r="D975" s="35"/>
      <c r="E975" s="35"/>
      <c r="F975" s="40"/>
      <c r="G975" s="33"/>
      <c r="H975" s="39"/>
      <c r="I975" s="248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</row>
    <row r="976" ht="15.75" customHeight="1">
      <c r="A976" s="35"/>
      <c r="B976" s="33"/>
      <c r="C976" s="33"/>
      <c r="D976" s="35"/>
      <c r="E976" s="35"/>
      <c r="F976" s="40"/>
      <c r="G976" s="33"/>
      <c r="H976" s="39"/>
      <c r="I976" s="248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</row>
    <row r="977" ht="15.75" customHeight="1">
      <c r="A977" s="35"/>
      <c r="B977" s="33"/>
      <c r="C977" s="33"/>
      <c r="D977" s="35"/>
      <c r="E977" s="35"/>
      <c r="F977" s="40"/>
      <c r="G977" s="33"/>
      <c r="H977" s="39"/>
      <c r="I977" s="248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</row>
    <row r="978" ht="15.75" customHeight="1">
      <c r="A978" s="35"/>
      <c r="B978" s="33"/>
      <c r="C978" s="33"/>
      <c r="D978" s="35"/>
      <c r="E978" s="35"/>
      <c r="F978" s="40"/>
      <c r="G978" s="33"/>
      <c r="H978" s="39"/>
      <c r="I978" s="248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</row>
    <row r="979" ht="15.75" customHeight="1">
      <c r="A979" s="35"/>
      <c r="B979" s="33"/>
      <c r="C979" s="33"/>
      <c r="D979" s="35"/>
      <c r="E979" s="35"/>
      <c r="F979" s="40"/>
      <c r="G979" s="33"/>
      <c r="H979" s="39"/>
      <c r="I979" s="248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</row>
    <row r="980" ht="15.75" customHeight="1">
      <c r="A980" s="35"/>
      <c r="B980" s="33"/>
      <c r="C980" s="33"/>
      <c r="D980" s="35"/>
      <c r="E980" s="35"/>
      <c r="F980" s="40"/>
      <c r="G980" s="33"/>
      <c r="H980" s="39"/>
      <c r="I980" s="248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</row>
    <row r="981" ht="15.75" customHeight="1">
      <c r="A981" s="35"/>
      <c r="B981" s="33"/>
      <c r="C981" s="33"/>
      <c r="D981" s="35"/>
      <c r="E981" s="35"/>
      <c r="F981" s="40"/>
      <c r="G981" s="33"/>
      <c r="H981" s="39"/>
      <c r="I981" s="248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</row>
    <row r="982" ht="15.75" customHeight="1">
      <c r="A982" s="35"/>
      <c r="B982" s="33"/>
      <c r="C982" s="33"/>
      <c r="D982" s="35"/>
      <c r="E982" s="35"/>
      <c r="F982" s="40"/>
      <c r="G982" s="33"/>
      <c r="H982" s="39"/>
      <c r="I982" s="248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</row>
    <row r="983" ht="15.75" customHeight="1">
      <c r="A983" s="35"/>
      <c r="B983" s="33"/>
      <c r="C983" s="33"/>
      <c r="D983" s="35"/>
      <c r="E983" s="35"/>
      <c r="F983" s="40"/>
      <c r="G983" s="33"/>
      <c r="H983" s="39"/>
      <c r="I983" s="248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</row>
    <row r="984" ht="15.75" customHeight="1">
      <c r="A984" s="35"/>
      <c r="B984" s="33"/>
      <c r="C984" s="33"/>
      <c r="D984" s="35"/>
      <c r="E984" s="35"/>
      <c r="F984" s="40"/>
      <c r="G984" s="33"/>
      <c r="H984" s="39"/>
      <c r="I984" s="248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</row>
    <row r="985" ht="15.75" customHeight="1">
      <c r="A985" s="35"/>
      <c r="B985" s="33"/>
      <c r="C985" s="33"/>
      <c r="D985" s="35"/>
      <c r="E985" s="35"/>
      <c r="F985" s="40"/>
      <c r="G985" s="33"/>
      <c r="H985" s="39"/>
      <c r="I985" s="248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</row>
    <row r="986" ht="15.75" customHeight="1">
      <c r="A986" s="35"/>
      <c r="B986" s="33"/>
      <c r="C986" s="33"/>
      <c r="D986" s="35"/>
      <c r="E986" s="35"/>
      <c r="F986" s="40"/>
      <c r="G986" s="33"/>
      <c r="H986" s="39"/>
      <c r="I986" s="248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</row>
    <row r="987" ht="15.75" customHeight="1">
      <c r="A987" s="35"/>
      <c r="B987" s="33"/>
      <c r="C987" s="33"/>
      <c r="D987" s="35"/>
      <c r="E987" s="35"/>
      <c r="F987" s="40"/>
      <c r="G987" s="33"/>
      <c r="H987" s="39"/>
      <c r="I987" s="248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</row>
    <row r="988" ht="15.75" customHeight="1">
      <c r="A988" s="35"/>
      <c r="B988" s="33"/>
      <c r="C988" s="33"/>
      <c r="D988" s="35"/>
      <c r="E988" s="35"/>
      <c r="F988" s="40"/>
      <c r="G988" s="33"/>
      <c r="H988" s="39"/>
      <c r="I988" s="248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</row>
    <row r="989" ht="15.75" customHeight="1">
      <c r="A989" s="35"/>
      <c r="B989" s="33"/>
      <c r="C989" s="33"/>
      <c r="D989" s="35"/>
      <c r="E989" s="35"/>
      <c r="F989" s="40"/>
      <c r="G989" s="33"/>
      <c r="H989" s="39"/>
      <c r="I989" s="248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</row>
    <row r="990" ht="15.75" customHeight="1">
      <c r="A990" s="35"/>
      <c r="B990" s="33"/>
      <c r="C990" s="33"/>
      <c r="D990" s="35"/>
      <c r="E990" s="35"/>
      <c r="F990" s="40"/>
      <c r="G990" s="33"/>
      <c r="H990" s="39"/>
      <c r="I990" s="248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</row>
    <row r="991" ht="15.75" customHeight="1">
      <c r="A991" s="35"/>
      <c r="B991" s="33"/>
      <c r="C991" s="33"/>
      <c r="D991" s="35"/>
      <c r="E991" s="35"/>
      <c r="F991" s="40"/>
      <c r="G991" s="33"/>
      <c r="H991" s="39"/>
      <c r="I991" s="248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</row>
    <row r="992" ht="15.75" customHeight="1">
      <c r="A992" s="35"/>
      <c r="B992" s="33"/>
      <c r="C992" s="33"/>
      <c r="D992" s="35"/>
      <c r="E992" s="35"/>
      <c r="F992" s="40"/>
      <c r="G992" s="33"/>
      <c r="H992" s="39"/>
      <c r="I992" s="248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</row>
    <row r="993" ht="15.75" customHeight="1">
      <c r="A993" s="35"/>
      <c r="B993" s="33"/>
      <c r="C993" s="33"/>
      <c r="D993" s="35"/>
      <c r="E993" s="35"/>
      <c r="F993" s="40"/>
      <c r="G993" s="33"/>
      <c r="H993" s="39"/>
      <c r="I993" s="248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</row>
    <row r="994" ht="15.75" customHeight="1">
      <c r="A994" s="35"/>
      <c r="B994" s="33"/>
      <c r="C994" s="33"/>
      <c r="D994" s="35"/>
      <c r="E994" s="35"/>
      <c r="F994" s="40"/>
      <c r="G994" s="33"/>
      <c r="H994" s="39"/>
      <c r="I994" s="248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</row>
    <row r="995" ht="15.75" customHeight="1">
      <c r="A995" s="35"/>
      <c r="B995" s="33"/>
      <c r="C995" s="33"/>
      <c r="D995" s="35"/>
      <c r="E995" s="35"/>
      <c r="F995" s="40"/>
      <c r="G995" s="33"/>
      <c r="H995" s="39"/>
      <c r="I995" s="248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</row>
    <row r="996" ht="15.75" customHeight="1">
      <c r="A996" s="35"/>
      <c r="B996" s="33"/>
      <c r="C996" s="33"/>
      <c r="D996" s="35"/>
      <c r="E996" s="35"/>
      <c r="F996" s="40"/>
      <c r="G996" s="33"/>
      <c r="H996" s="39"/>
      <c r="I996" s="248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</row>
    <row r="997" ht="15.75" customHeight="1">
      <c r="A997" s="35"/>
      <c r="B997" s="33"/>
      <c r="C997" s="33"/>
      <c r="D997" s="35"/>
      <c r="E997" s="35"/>
      <c r="F997" s="40"/>
      <c r="G997" s="33"/>
      <c r="H997" s="39"/>
      <c r="I997" s="248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</row>
    <row r="998" ht="15.75" customHeight="1">
      <c r="A998" s="35"/>
      <c r="B998" s="33"/>
      <c r="C998" s="33"/>
      <c r="D998" s="35"/>
      <c r="E998" s="35"/>
      <c r="F998" s="40"/>
      <c r="G998" s="33"/>
      <c r="H998" s="39"/>
      <c r="I998" s="248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</row>
    <row r="999" ht="15.75" customHeight="1">
      <c r="A999" s="35"/>
      <c r="B999" s="33"/>
      <c r="C999" s="33"/>
      <c r="D999" s="35"/>
      <c r="E999" s="35"/>
      <c r="F999" s="40"/>
      <c r="G999" s="33"/>
      <c r="H999" s="39"/>
      <c r="I999" s="248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</row>
    <row r="1000" ht="15.75" customHeight="1">
      <c r="A1000" s="35"/>
      <c r="B1000" s="33"/>
      <c r="C1000" s="33"/>
      <c r="D1000" s="35"/>
      <c r="E1000" s="35"/>
      <c r="F1000" s="40"/>
      <c r="G1000" s="33"/>
      <c r="H1000" s="39"/>
      <c r="I1000" s="248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</row>
    <row r="1001" ht="15.75" customHeight="1">
      <c r="A1001" s="35"/>
      <c r="B1001" s="33"/>
      <c r="C1001" s="33"/>
      <c r="D1001" s="35"/>
      <c r="E1001" s="35"/>
      <c r="F1001" s="40"/>
      <c r="G1001" s="33"/>
      <c r="H1001" s="39"/>
      <c r="I1001" s="248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</row>
    <row r="1002" ht="15.75" customHeight="1">
      <c r="A1002" s="35"/>
      <c r="B1002" s="33"/>
      <c r="C1002" s="33"/>
      <c r="D1002" s="35"/>
      <c r="E1002" s="35"/>
      <c r="F1002" s="40"/>
      <c r="G1002" s="33"/>
      <c r="H1002" s="39"/>
      <c r="I1002" s="248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</row>
    <row r="1003" ht="15.75" customHeight="1">
      <c r="A1003" s="35"/>
      <c r="B1003" s="33"/>
      <c r="C1003" s="33"/>
      <c r="D1003" s="35"/>
      <c r="E1003" s="35"/>
      <c r="F1003" s="40"/>
      <c r="G1003" s="33"/>
      <c r="H1003" s="39"/>
      <c r="I1003" s="248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</row>
    <row r="1004" ht="15.75" customHeight="1">
      <c r="A1004" s="35"/>
      <c r="B1004" s="33"/>
      <c r="C1004" s="33"/>
      <c r="D1004" s="35"/>
      <c r="E1004" s="35"/>
      <c r="F1004" s="40"/>
      <c r="G1004" s="33"/>
      <c r="H1004" s="39"/>
      <c r="I1004" s="248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</row>
    <row r="1005" ht="15.75" customHeight="1">
      <c r="A1005" s="35"/>
      <c r="B1005" s="33"/>
      <c r="C1005" s="33"/>
      <c r="D1005" s="35"/>
      <c r="E1005" s="35"/>
      <c r="F1005" s="40"/>
      <c r="G1005" s="33"/>
      <c r="H1005" s="39"/>
      <c r="I1005" s="248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</row>
    <row r="1006" ht="15.75" customHeight="1">
      <c r="A1006" s="35"/>
      <c r="B1006" s="33"/>
      <c r="C1006" s="33"/>
      <c r="D1006" s="35"/>
      <c r="E1006" s="35"/>
      <c r="F1006" s="40"/>
      <c r="G1006" s="33"/>
      <c r="H1006" s="39"/>
      <c r="I1006" s="248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</row>
    <row r="1007" ht="15.75" customHeight="1">
      <c r="A1007" s="35"/>
      <c r="B1007" s="33"/>
      <c r="C1007" s="33"/>
      <c r="D1007" s="35"/>
      <c r="E1007" s="35"/>
      <c r="F1007" s="40"/>
      <c r="G1007" s="33"/>
      <c r="H1007" s="39"/>
      <c r="I1007" s="248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</row>
    <row r="1008" ht="15.75" customHeight="1">
      <c r="A1008" s="35"/>
      <c r="B1008" s="33"/>
      <c r="C1008" s="33"/>
      <c r="D1008" s="35"/>
      <c r="E1008" s="35"/>
      <c r="F1008" s="40"/>
      <c r="G1008" s="33"/>
      <c r="H1008" s="39"/>
      <c r="I1008" s="248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</row>
    <row r="1009" ht="15.75" customHeight="1">
      <c r="A1009" s="35"/>
      <c r="B1009" s="33"/>
      <c r="C1009" s="33"/>
      <c r="D1009" s="35"/>
      <c r="E1009" s="35"/>
      <c r="F1009" s="40"/>
      <c r="G1009" s="33"/>
      <c r="H1009" s="39"/>
      <c r="I1009" s="248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</row>
    <row r="1010" ht="15.75" customHeight="1">
      <c r="A1010" s="35"/>
      <c r="B1010" s="33"/>
      <c r="C1010" s="33"/>
      <c r="D1010" s="35"/>
      <c r="E1010" s="35"/>
      <c r="F1010" s="40"/>
      <c r="G1010" s="33"/>
      <c r="H1010" s="39"/>
      <c r="I1010" s="248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</row>
    <row r="1011" ht="15.75" customHeight="1">
      <c r="A1011" s="35"/>
      <c r="B1011" s="33"/>
      <c r="C1011" s="33"/>
      <c r="D1011" s="35"/>
      <c r="E1011" s="35"/>
      <c r="F1011" s="40"/>
      <c r="G1011" s="33"/>
      <c r="H1011" s="39"/>
      <c r="I1011" s="248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</row>
  </sheetData>
  <mergeCells count="34">
    <mergeCell ref="B28:B29"/>
    <mergeCell ref="C28:C29"/>
    <mergeCell ref="B30:B31"/>
    <mergeCell ref="C30:C31"/>
    <mergeCell ref="B32:B33"/>
    <mergeCell ref="C32:C33"/>
    <mergeCell ref="B34:B35"/>
    <mergeCell ref="C34:C35"/>
    <mergeCell ref="B36:B37"/>
    <mergeCell ref="C36:C37"/>
    <mergeCell ref="B49:G49"/>
    <mergeCell ref="D50:G50"/>
    <mergeCell ref="D51:G51"/>
    <mergeCell ref="B3:B4"/>
    <mergeCell ref="C3:C4"/>
    <mergeCell ref="J3:J43"/>
    <mergeCell ref="B5:B6"/>
    <mergeCell ref="C5:C6"/>
    <mergeCell ref="B7:B8"/>
    <mergeCell ref="C7:C8"/>
    <mergeCell ref="B12:B13"/>
    <mergeCell ref="C12:C13"/>
    <mergeCell ref="B14:B15"/>
    <mergeCell ref="C14:C15"/>
    <mergeCell ref="B16:B17"/>
    <mergeCell ref="C16:C17"/>
    <mergeCell ref="B18:B19"/>
    <mergeCell ref="C18:C19"/>
    <mergeCell ref="B20:B21"/>
    <mergeCell ref="C20:C21"/>
    <mergeCell ref="B24:B25"/>
    <mergeCell ref="C24:C25"/>
    <mergeCell ref="B26:B27"/>
    <mergeCell ref="C26:C27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10.0"/>
    <col customWidth="1" min="3" max="3" width="11.63"/>
    <col customWidth="1" hidden="1" min="4" max="4" width="21.25"/>
    <col customWidth="1" hidden="1" min="5" max="5" width="22.75"/>
    <col customWidth="1" min="6" max="6" width="35.13"/>
    <col customWidth="1" min="7" max="7" width="9.25"/>
    <col customWidth="1" min="8" max="8" width="16.75"/>
    <col customWidth="1" min="9" max="9" width="13.5"/>
    <col customWidth="1" min="10" max="10" width="29.88"/>
    <col customWidth="1" min="11" max="11" width="34.38"/>
    <col customWidth="1" min="12" max="12" width="23.5"/>
    <col customWidth="1" min="13" max="30" width="7.63"/>
  </cols>
  <sheetData>
    <row r="1" ht="30.0" customHeight="1">
      <c r="A1" s="32"/>
      <c r="B1" s="21"/>
      <c r="C1" s="21"/>
      <c r="D1" s="20"/>
      <c r="E1" s="4"/>
      <c r="F1" s="20"/>
      <c r="G1" s="25"/>
      <c r="H1" s="72"/>
      <c r="I1" s="73"/>
      <c r="J1" s="25"/>
      <c r="K1" s="74"/>
      <c r="L1" s="4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</row>
    <row r="2">
      <c r="A2" s="32"/>
      <c r="B2" s="263" t="s">
        <v>357</v>
      </c>
      <c r="C2" s="263"/>
      <c r="D2" s="4"/>
      <c r="E2" s="4"/>
      <c r="F2" s="4"/>
      <c r="G2" s="25"/>
      <c r="H2" s="72"/>
      <c r="I2" s="73"/>
      <c r="J2" s="4"/>
      <c r="K2" s="74"/>
      <c r="L2" s="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>
      <c r="A3" s="120"/>
      <c r="B3" s="264" t="s">
        <v>20</v>
      </c>
      <c r="C3" s="79" t="s">
        <v>22</v>
      </c>
      <c r="D3" s="77" t="s">
        <v>24</v>
      </c>
      <c r="E3" s="77" t="s">
        <v>26</v>
      </c>
      <c r="F3" s="79" t="s">
        <v>28</v>
      </c>
      <c r="G3" s="77" t="s">
        <v>30</v>
      </c>
      <c r="H3" s="80" t="s">
        <v>33</v>
      </c>
      <c r="I3" s="80" t="s">
        <v>36</v>
      </c>
      <c r="J3" s="265" t="s">
        <v>38</v>
      </c>
      <c r="K3" s="81" t="s">
        <v>41</v>
      </c>
      <c r="L3" s="77" t="s">
        <v>16</v>
      </c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</row>
    <row r="4">
      <c r="A4" s="32"/>
      <c r="B4" s="266">
        <v>1.0</v>
      </c>
      <c r="C4" s="267" t="str">
        <f>IF(ISNUMBER(B4), "P08" &amp; TEXT(B4, "00"), "")</f>
        <v>P0801</v>
      </c>
      <c r="D4" s="83" t="s">
        <v>358</v>
      </c>
      <c r="E4" s="83" t="s">
        <v>359</v>
      </c>
      <c r="F4" s="84" t="str">
        <f t="shared" ref="F4:F21" si="1">CONCATENATE(E4," - ",D4)</f>
        <v>Matcha Blended - Matcha Đá Xay</v>
      </c>
      <c r="G4" s="193" t="s">
        <v>89</v>
      </c>
      <c r="H4" s="87">
        <v>9.9</v>
      </c>
      <c r="I4" s="88">
        <f t="shared" ref="I4:I21" si="2">LET(v,H4*1.15,
i,INT(v),
d,v-i,
IF(d&lt;=0.2,
i-0.1,
IF(d&lt;=0.7,
i+0.5,
i+0.9)))
</f>
        <v>11.5</v>
      </c>
      <c r="J4" s="82" t="s">
        <v>360</v>
      </c>
      <c r="K4" s="92" t="s">
        <v>222</v>
      </c>
      <c r="L4" s="84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>
      <c r="A5" s="32"/>
      <c r="B5" s="153"/>
      <c r="C5" s="204"/>
      <c r="D5" s="83" t="s">
        <v>358</v>
      </c>
      <c r="E5" s="83" t="s">
        <v>359</v>
      </c>
      <c r="F5" s="84" t="str">
        <f t="shared" si="1"/>
        <v>Matcha Blended - Matcha Đá Xay</v>
      </c>
      <c r="G5" s="193" t="s">
        <v>52</v>
      </c>
      <c r="H5" s="87">
        <v>11.9</v>
      </c>
      <c r="I5" s="88">
        <f t="shared" si="2"/>
        <v>13.5</v>
      </c>
      <c r="J5" s="82" t="s">
        <v>360</v>
      </c>
      <c r="K5" s="93"/>
      <c r="L5" s="84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>
      <c r="A6" s="32"/>
      <c r="B6" s="268">
        <v>2.0</v>
      </c>
      <c r="C6" s="91" t="str">
        <f>IF(ISNUMBER(B6), "P08" &amp; TEXT(B6, "00"), "")</f>
        <v>P0802</v>
      </c>
      <c r="D6" s="83" t="s">
        <v>361</v>
      </c>
      <c r="E6" s="83" t="s">
        <v>362</v>
      </c>
      <c r="F6" s="84" t="str">
        <f t="shared" si="1"/>
        <v>Caramel Coffee Blended - Caramel Coffee Đá Xay</v>
      </c>
      <c r="G6" s="193" t="s">
        <v>89</v>
      </c>
      <c r="H6" s="87">
        <v>9.9</v>
      </c>
      <c r="I6" s="88">
        <f t="shared" si="2"/>
        <v>11.5</v>
      </c>
      <c r="J6" s="82" t="s">
        <v>363</v>
      </c>
      <c r="K6" s="92" t="s">
        <v>364</v>
      </c>
      <c r="L6" s="8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>
      <c r="A7" s="32"/>
      <c r="B7" s="93"/>
      <c r="C7" s="93"/>
      <c r="D7" s="83" t="s">
        <v>361</v>
      </c>
      <c r="E7" s="83" t="s">
        <v>362</v>
      </c>
      <c r="F7" s="84" t="str">
        <f t="shared" si="1"/>
        <v>Caramel Coffee Blended - Caramel Coffee Đá Xay</v>
      </c>
      <c r="G7" s="193" t="s">
        <v>52</v>
      </c>
      <c r="H7" s="87">
        <v>11.9</v>
      </c>
      <c r="I7" s="88">
        <f t="shared" si="2"/>
        <v>13.5</v>
      </c>
      <c r="J7" s="82" t="s">
        <v>363</v>
      </c>
      <c r="K7" s="93"/>
      <c r="L7" s="84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>
      <c r="A8" s="32"/>
      <c r="B8" s="266">
        <v>3.0</v>
      </c>
      <c r="C8" s="269" t="str">
        <f>IF(ISNUMBER(B8), "P08" &amp; TEXT(B8, "00"), "")</f>
        <v>P0803</v>
      </c>
      <c r="D8" s="83" t="s">
        <v>365</v>
      </c>
      <c r="E8" s="83" t="s">
        <v>365</v>
      </c>
      <c r="F8" s="84" t="str">
        <f t="shared" si="1"/>
        <v>Mocha Blended - Mocha Blended</v>
      </c>
      <c r="G8" s="193" t="s">
        <v>89</v>
      </c>
      <c r="H8" s="87">
        <v>9.9</v>
      </c>
      <c r="I8" s="88">
        <f t="shared" si="2"/>
        <v>11.5</v>
      </c>
      <c r="J8" s="82" t="s">
        <v>366</v>
      </c>
      <c r="K8" s="92" t="s">
        <v>364</v>
      </c>
      <c r="L8" s="84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>
      <c r="A9" s="32"/>
      <c r="B9" s="153"/>
      <c r="C9" s="93"/>
      <c r="D9" s="83" t="s">
        <v>365</v>
      </c>
      <c r="E9" s="83" t="s">
        <v>365</v>
      </c>
      <c r="F9" s="84" t="str">
        <f t="shared" si="1"/>
        <v>Mocha Blended - Mocha Blended</v>
      </c>
      <c r="G9" s="193" t="s">
        <v>52</v>
      </c>
      <c r="H9" s="87">
        <v>11.9</v>
      </c>
      <c r="I9" s="88">
        <f t="shared" si="2"/>
        <v>13.5</v>
      </c>
      <c r="J9" s="82" t="s">
        <v>366</v>
      </c>
      <c r="K9" s="93"/>
      <c r="L9" s="84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>
      <c r="A10" s="32"/>
      <c r="B10" s="268">
        <v>4.0</v>
      </c>
      <c r="C10" s="269" t="str">
        <f>IF(ISNUMBER(B10), "P08" &amp; TEXT(B10, "00"), "")</f>
        <v>P0804</v>
      </c>
      <c r="D10" s="83" t="s">
        <v>367</v>
      </c>
      <c r="E10" s="83" t="s">
        <v>368</v>
      </c>
      <c r="F10" s="84" t="str">
        <f t="shared" si="1"/>
        <v>Cookie &amp; Cream Blended - Cookie &amp; Cream Đá Xay</v>
      </c>
      <c r="G10" s="193" t="s">
        <v>89</v>
      </c>
      <c r="H10" s="87">
        <v>9.9</v>
      </c>
      <c r="I10" s="88">
        <f t="shared" si="2"/>
        <v>11.5</v>
      </c>
      <c r="J10" s="82" t="s">
        <v>369</v>
      </c>
      <c r="K10" s="92" t="s">
        <v>370</v>
      </c>
      <c r="L10" s="84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>
      <c r="A11" s="32"/>
      <c r="B11" s="93"/>
      <c r="C11" s="93"/>
      <c r="D11" s="83" t="s">
        <v>367</v>
      </c>
      <c r="E11" s="83" t="s">
        <v>368</v>
      </c>
      <c r="F11" s="84" t="str">
        <f t="shared" si="1"/>
        <v>Cookie &amp; Cream Blended - Cookie &amp; Cream Đá Xay</v>
      </c>
      <c r="G11" s="193" t="s">
        <v>52</v>
      </c>
      <c r="H11" s="87">
        <v>11.9</v>
      </c>
      <c r="I11" s="88">
        <f t="shared" si="2"/>
        <v>13.5</v>
      </c>
      <c r="J11" s="82" t="s">
        <v>369</v>
      </c>
      <c r="K11" s="93"/>
      <c r="L11" s="84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>
      <c r="A12" s="32"/>
      <c r="B12" s="266">
        <v>5.0</v>
      </c>
      <c r="C12" s="269" t="str">
        <f>IF(ISNUMBER(B12), "P08" &amp; TEXT(B12, "00"), "")</f>
        <v>P0805</v>
      </c>
      <c r="D12" s="83" t="s">
        <v>371</v>
      </c>
      <c r="E12" s="83" t="s">
        <v>372</v>
      </c>
      <c r="F12" s="84" t="str">
        <f t="shared" si="1"/>
        <v>Coconut Coffee Blended - Coconut Coffee Đá Xay</v>
      </c>
      <c r="G12" s="193" t="s">
        <v>89</v>
      </c>
      <c r="H12" s="87">
        <v>9.9</v>
      </c>
      <c r="I12" s="88">
        <f t="shared" si="2"/>
        <v>11.5</v>
      </c>
      <c r="J12" s="82" t="s">
        <v>373</v>
      </c>
      <c r="K12" s="92" t="s">
        <v>374</v>
      </c>
      <c r="L12" s="84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>
      <c r="A13" s="32"/>
      <c r="B13" s="153"/>
      <c r="C13" s="93"/>
      <c r="D13" s="83" t="s">
        <v>371</v>
      </c>
      <c r="E13" s="83" t="s">
        <v>372</v>
      </c>
      <c r="F13" s="84" t="str">
        <f t="shared" si="1"/>
        <v>Coconut Coffee Blended - Coconut Coffee Đá Xay</v>
      </c>
      <c r="G13" s="193" t="s">
        <v>52</v>
      </c>
      <c r="H13" s="87">
        <v>11.9</v>
      </c>
      <c r="I13" s="88">
        <f t="shared" si="2"/>
        <v>13.5</v>
      </c>
      <c r="J13" s="82" t="s">
        <v>373</v>
      </c>
      <c r="K13" s="93"/>
      <c r="L13" s="84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>
      <c r="A14" s="32"/>
      <c r="B14" s="268">
        <v>6.0</v>
      </c>
      <c r="C14" s="269" t="str">
        <f>IF(ISNUMBER(B14), "P08" &amp; TEXT(B14, "00"), "")</f>
        <v>P0806</v>
      </c>
      <c r="D14" s="95" t="s">
        <v>375</v>
      </c>
      <c r="E14" s="95" t="s">
        <v>376</v>
      </c>
      <c r="F14" s="84" t="str">
        <f t="shared" si="1"/>
        <v>Coffee Blended - Coffee Đá Xay</v>
      </c>
      <c r="G14" s="193" t="s">
        <v>89</v>
      </c>
      <c r="H14" s="87">
        <v>9.9</v>
      </c>
      <c r="I14" s="88">
        <f t="shared" si="2"/>
        <v>11.5</v>
      </c>
      <c r="J14" s="82" t="s">
        <v>377</v>
      </c>
      <c r="K14" s="92" t="s">
        <v>374</v>
      </c>
      <c r="L14" s="84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>
      <c r="A15" s="32"/>
      <c r="B15" s="93"/>
      <c r="C15" s="93"/>
      <c r="D15" s="95" t="s">
        <v>375</v>
      </c>
      <c r="E15" s="95" t="s">
        <v>376</v>
      </c>
      <c r="F15" s="84" t="str">
        <f t="shared" si="1"/>
        <v>Coffee Blended - Coffee Đá Xay</v>
      </c>
      <c r="G15" s="193" t="s">
        <v>52</v>
      </c>
      <c r="H15" s="87">
        <v>11.9</v>
      </c>
      <c r="I15" s="88">
        <f t="shared" si="2"/>
        <v>13.5</v>
      </c>
      <c r="J15" s="82" t="s">
        <v>377</v>
      </c>
      <c r="K15" s="93"/>
      <c r="L15" s="84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ht="15.75" customHeight="1">
      <c r="A16" s="32"/>
      <c r="B16" s="266">
        <v>7.0</v>
      </c>
      <c r="C16" s="269" t="str">
        <f>IF(ISNUMBER(B16), "P08" &amp; TEXT(B16, "00"), "")</f>
        <v>P0807</v>
      </c>
      <c r="D16" s="95" t="s">
        <v>378</v>
      </c>
      <c r="E16" s="95" t="s">
        <v>379</v>
      </c>
      <c r="F16" s="84" t="str">
        <f t="shared" si="1"/>
        <v>Vanilla Coffee Blended - Vanilla Coffee Đá Xay</v>
      </c>
      <c r="G16" s="193" t="s">
        <v>89</v>
      </c>
      <c r="H16" s="88">
        <v>8.9</v>
      </c>
      <c r="I16" s="88">
        <f t="shared" si="2"/>
        <v>10.5</v>
      </c>
      <c r="J16" s="82" t="s">
        <v>380</v>
      </c>
      <c r="K16" s="92" t="s">
        <v>374</v>
      </c>
      <c r="L16" s="84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ht="15.75" customHeight="1">
      <c r="A17" s="32"/>
      <c r="B17" s="153"/>
      <c r="C17" s="93"/>
      <c r="D17" s="95" t="s">
        <v>378</v>
      </c>
      <c r="E17" s="95" t="s">
        <v>379</v>
      </c>
      <c r="F17" s="84" t="str">
        <f t="shared" si="1"/>
        <v>Vanilla Coffee Blended - Vanilla Coffee Đá Xay</v>
      </c>
      <c r="G17" s="193" t="s">
        <v>52</v>
      </c>
      <c r="H17" s="87">
        <v>11.9</v>
      </c>
      <c r="I17" s="88">
        <f t="shared" si="2"/>
        <v>13.5</v>
      </c>
      <c r="J17" s="91" t="s">
        <v>380</v>
      </c>
      <c r="K17" s="93"/>
      <c r="L17" s="10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ht="15.75" customHeight="1">
      <c r="A18" s="32"/>
      <c r="B18" s="268">
        <v>8.0</v>
      </c>
      <c r="C18" s="269" t="str">
        <f>IF(ISNUMBER(B18), "P08" &amp; TEXT(B18, "00"), "")</f>
        <v>P0808</v>
      </c>
      <c r="D18" s="95" t="s">
        <v>381</v>
      </c>
      <c r="E18" s="95" t="s">
        <v>382</v>
      </c>
      <c r="F18" s="84" t="str">
        <f t="shared" si="1"/>
        <v>Chocolate Blended - Chocolate Đá Xay</v>
      </c>
      <c r="G18" s="193" t="s">
        <v>89</v>
      </c>
      <c r="H18" s="87">
        <v>9.9</v>
      </c>
      <c r="I18" s="88">
        <f t="shared" si="2"/>
        <v>11.5</v>
      </c>
      <c r="J18" s="270" t="s">
        <v>383</v>
      </c>
      <c r="K18" s="92" t="s">
        <v>384</v>
      </c>
      <c r="L18" s="107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ht="15.75" customHeight="1">
      <c r="A19" s="32"/>
      <c r="B19" s="93"/>
      <c r="C19" s="93"/>
      <c r="D19" s="271" t="s">
        <v>381</v>
      </c>
      <c r="E19" s="271" t="s">
        <v>382</v>
      </c>
      <c r="F19" s="102" t="str">
        <f t="shared" si="1"/>
        <v>Chocolate Blended - Chocolate Đá Xay</v>
      </c>
      <c r="G19" s="269" t="s">
        <v>52</v>
      </c>
      <c r="H19" s="87">
        <v>11.9</v>
      </c>
      <c r="I19" s="272">
        <f t="shared" si="2"/>
        <v>13.5</v>
      </c>
      <c r="J19" s="270" t="s">
        <v>383</v>
      </c>
      <c r="K19" s="93"/>
      <c r="L19" s="107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>
      <c r="A20" s="32"/>
      <c r="B20" s="266">
        <v>9.0</v>
      </c>
      <c r="C20" s="273" t="str">
        <f>IF(ISNUMBER(B20), "P08" &amp; TEXT(B20, "00"), "")</f>
        <v>P0809</v>
      </c>
      <c r="D20" s="274" t="s">
        <v>385</v>
      </c>
      <c r="E20" s="274" t="s">
        <v>386</v>
      </c>
      <c r="F20" s="107" t="str">
        <f t="shared" si="1"/>
        <v>Biscoff Blended - Biscoff Đá Xay</v>
      </c>
      <c r="G20" s="275" t="s">
        <v>89</v>
      </c>
      <c r="H20" s="87">
        <v>9.9</v>
      </c>
      <c r="I20" s="276">
        <f t="shared" si="2"/>
        <v>11.5</v>
      </c>
      <c r="J20" s="270" t="s">
        <v>387</v>
      </c>
      <c r="K20" s="92" t="s">
        <v>388</v>
      </c>
      <c r="L20" s="107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>
      <c r="A21" s="186"/>
      <c r="B21" s="153"/>
      <c r="C21" s="153"/>
      <c r="D21" s="274" t="s">
        <v>385</v>
      </c>
      <c r="E21" s="274" t="s">
        <v>386</v>
      </c>
      <c r="F21" s="107" t="str">
        <f t="shared" si="1"/>
        <v>Biscoff Blended - Biscoff Đá Xay</v>
      </c>
      <c r="G21" s="275" t="s">
        <v>52</v>
      </c>
      <c r="H21" s="87">
        <v>11.9</v>
      </c>
      <c r="I21" s="276">
        <f t="shared" si="2"/>
        <v>13.5</v>
      </c>
      <c r="J21" s="270" t="s">
        <v>387</v>
      </c>
      <c r="K21" s="93"/>
      <c r="L21" s="277"/>
      <c r="M21" s="278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>
      <c r="A22" s="32"/>
      <c r="B22" s="25"/>
      <c r="C22" s="25"/>
      <c r="G22" s="25"/>
      <c r="H22" s="25"/>
      <c r="I22" s="22"/>
      <c r="J22" s="20"/>
      <c r="K22" s="74"/>
      <c r="L22" s="20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>
      <c r="A23" s="32"/>
      <c r="C23" s="25"/>
      <c r="G23" s="25"/>
      <c r="H23" s="25"/>
      <c r="I23" s="22"/>
      <c r="J23" s="20"/>
      <c r="K23" s="74"/>
      <c r="L23" s="20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ht="15.75" customHeight="1">
      <c r="A24" s="32"/>
      <c r="B24" s="25"/>
      <c r="C24" s="25"/>
      <c r="G24" s="25"/>
      <c r="H24" s="72"/>
      <c r="I24" s="279"/>
      <c r="J24" s="20"/>
      <c r="K24" s="74"/>
      <c r="L24" s="20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ht="15.75" customHeight="1">
      <c r="A25" s="32"/>
      <c r="B25" s="25"/>
      <c r="C25" s="25"/>
      <c r="G25" s="25"/>
      <c r="H25" s="72"/>
      <c r="I25" s="279"/>
      <c r="J25" s="20"/>
      <c r="K25" s="74"/>
      <c r="L25" s="20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ht="15.75" customHeight="1">
      <c r="A26" s="32"/>
      <c r="B26" s="25"/>
      <c r="C26" s="25"/>
      <c r="G26" s="25"/>
      <c r="H26" s="72"/>
      <c r="I26" s="279"/>
      <c r="J26" s="4"/>
      <c r="K26" s="74"/>
      <c r="L26" s="4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ht="15.75" customHeight="1">
      <c r="A27" s="32"/>
      <c r="B27" s="25"/>
      <c r="C27" s="25"/>
      <c r="G27" s="25"/>
      <c r="H27" s="72"/>
      <c r="I27" s="279"/>
      <c r="J27" s="4"/>
      <c r="K27" s="74"/>
      <c r="L27" s="4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ht="15.75" customHeight="1">
      <c r="A28" s="32"/>
      <c r="B28" s="65"/>
      <c r="C28" s="65"/>
      <c r="D28" s="32"/>
      <c r="E28" s="32"/>
      <c r="F28" s="32"/>
      <c r="G28" s="65"/>
      <c r="H28" s="67"/>
      <c r="I28" s="118"/>
      <c r="J28" s="32"/>
      <c r="K28" s="68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ht="15.75" customHeight="1">
      <c r="A29" s="32"/>
      <c r="B29" s="65"/>
      <c r="C29" s="65"/>
      <c r="D29" s="32"/>
      <c r="E29" s="32"/>
      <c r="F29" s="32"/>
      <c r="G29" s="65"/>
      <c r="H29" s="67"/>
      <c r="I29" s="118"/>
      <c r="J29" s="32"/>
      <c r="K29" s="68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ht="15.75" customHeight="1">
      <c r="A30" s="32"/>
      <c r="B30" s="69"/>
      <c r="G30" s="65"/>
      <c r="H30" s="67"/>
      <c r="I30" s="118"/>
      <c r="J30" s="32"/>
      <c r="K30" s="68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ht="15.75" customHeight="1">
      <c r="A31" s="32"/>
      <c r="B31" s="70"/>
      <c r="C31" s="70"/>
      <c r="D31" s="71"/>
      <c r="G31" s="65"/>
      <c r="H31" s="67"/>
      <c r="I31" s="118"/>
      <c r="J31" s="32"/>
      <c r="K31" s="68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ht="15.75" customHeight="1">
      <c r="A32" s="32"/>
      <c r="B32" s="70"/>
      <c r="C32" s="70"/>
      <c r="D32" s="71"/>
      <c r="G32" s="65"/>
      <c r="H32" s="67"/>
      <c r="I32" s="118"/>
      <c r="J32" s="32"/>
      <c r="K32" s="68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ht="15.75" customHeight="1">
      <c r="A33" s="32"/>
      <c r="B33" s="25"/>
      <c r="C33" s="25"/>
      <c r="D33" s="117"/>
      <c r="G33" s="65"/>
      <c r="H33" s="67"/>
      <c r="I33" s="118"/>
      <c r="J33" s="32"/>
      <c r="K33" s="68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ht="15.75" customHeight="1">
      <c r="A34" s="32"/>
      <c r="B34" s="65"/>
      <c r="C34" s="65"/>
      <c r="D34" s="32"/>
      <c r="E34" s="32"/>
      <c r="F34" s="32"/>
      <c r="G34" s="65"/>
      <c r="H34" s="67"/>
      <c r="I34" s="118"/>
      <c r="J34" s="32"/>
      <c r="K34" s="68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ht="15.75" customHeight="1">
      <c r="A35" s="32"/>
      <c r="B35" s="65"/>
      <c r="C35" s="65"/>
      <c r="D35" s="32"/>
      <c r="E35" s="32"/>
      <c r="F35" s="32"/>
      <c r="G35" s="65"/>
      <c r="H35" s="67"/>
      <c r="I35" s="118"/>
      <c r="J35" s="32"/>
      <c r="K35" s="68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ht="15.75" customHeight="1">
      <c r="A36" s="32"/>
      <c r="B36" s="65"/>
      <c r="C36" s="65"/>
      <c r="D36" s="32"/>
      <c r="E36" s="32"/>
      <c r="F36" s="32"/>
      <c r="G36" s="65"/>
      <c r="H36" s="67"/>
      <c r="I36" s="118"/>
      <c r="J36" s="32"/>
      <c r="K36" s="68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ht="15.75" customHeight="1">
      <c r="A37" s="32"/>
      <c r="B37" s="65"/>
      <c r="C37" s="65"/>
      <c r="D37" s="32"/>
      <c r="E37" s="32"/>
      <c r="F37" s="32"/>
      <c r="G37" s="65"/>
      <c r="H37" s="67"/>
      <c r="I37" s="118"/>
      <c r="J37" s="32"/>
      <c r="K37" s="68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ht="15.75" customHeight="1">
      <c r="A38" s="32"/>
      <c r="B38" s="65"/>
      <c r="C38" s="65"/>
      <c r="D38" s="32"/>
      <c r="E38" s="32"/>
      <c r="F38" s="32"/>
      <c r="G38" s="65"/>
      <c r="H38" s="67"/>
      <c r="I38" s="118"/>
      <c r="J38" s="32"/>
      <c r="K38" s="68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ht="15.75" customHeight="1">
      <c r="A39" s="32"/>
      <c r="B39" s="65"/>
      <c r="C39" s="65"/>
      <c r="D39" s="32"/>
      <c r="E39" s="32"/>
      <c r="F39" s="32"/>
      <c r="G39" s="65"/>
      <c r="H39" s="67"/>
      <c r="I39" s="118"/>
      <c r="J39" s="32"/>
      <c r="K39" s="68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ht="15.75" customHeight="1">
      <c r="A40" s="32"/>
      <c r="B40" s="65"/>
      <c r="C40" s="65"/>
      <c r="D40" s="32"/>
      <c r="E40" s="32"/>
      <c r="F40" s="32"/>
      <c r="G40" s="65"/>
      <c r="H40" s="67"/>
      <c r="I40" s="118"/>
      <c r="J40" s="32"/>
      <c r="K40" s="68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ht="15.75" customHeight="1">
      <c r="A41" s="32"/>
      <c r="B41" s="65"/>
      <c r="C41" s="65"/>
      <c r="D41" s="32"/>
      <c r="E41" s="32"/>
      <c r="F41" s="32"/>
      <c r="G41" s="65"/>
      <c r="H41" s="67"/>
      <c r="I41" s="118"/>
      <c r="J41" s="32"/>
      <c r="K41" s="68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ht="15.75" customHeight="1">
      <c r="A42" s="32"/>
      <c r="B42" s="65"/>
      <c r="C42" s="65"/>
      <c r="D42" s="32"/>
      <c r="E42" s="32"/>
      <c r="F42" s="32"/>
      <c r="G42" s="65"/>
      <c r="H42" s="67"/>
      <c r="I42" s="118"/>
      <c r="J42" s="32"/>
      <c r="K42" s="68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ht="15.75" customHeight="1">
      <c r="A43" s="32"/>
      <c r="B43" s="65"/>
      <c r="C43" s="65"/>
      <c r="D43" s="32"/>
      <c r="E43" s="32"/>
      <c r="F43" s="32"/>
      <c r="G43" s="65"/>
      <c r="H43" s="67"/>
      <c r="I43" s="118"/>
      <c r="J43" s="32"/>
      <c r="K43" s="68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ht="15.75" customHeight="1">
      <c r="A44" s="32"/>
      <c r="B44" s="65"/>
      <c r="C44" s="65"/>
      <c r="D44" s="32"/>
      <c r="E44" s="32"/>
      <c r="F44" s="32"/>
      <c r="G44" s="65"/>
      <c r="H44" s="67"/>
      <c r="I44" s="118"/>
      <c r="J44" s="32"/>
      <c r="K44" s="68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ht="15.75" customHeight="1">
      <c r="A45" s="32"/>
      <c r="B45" s="65"/>
      <c r="C45" s="65"/>
      <c r="D45" s="32"/>
      <c r="E45" s="32"/>
      <c r="F45" s="32"/>
      <c r="G45" s="65"/>
      <c r="H45" s="67"/>
      <c r="I45" s="118"/>
      <c r="J45" s="32"/>
      <c r="K45" s="68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ht="15.75" customHeight="1">
      <c r="A46" s="32"/>
      <c r="B46" s="65"/>
      <c r="C46" s="65"/>
      <c r="D46" s="32"/>
      <c r="E46" s="32"/>
      <c r="F46" s="32"/>
      <c r="G46" s="65"/>
      <c r="H46" s="67"/>
      <c r="I46" s="118"/>
      <c r="J46" s="32"/>
      <c r="K46" s="68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ht="15.75" customHeight="1">
      <c r="A47" s="32"/>
      <c r="B47" s="65"/>
      <c r="C47" s="65"/>
      <c r="D47" s="32"/>
      <c r="E47" s="32"/>
      <c r="F47" s="32"/>
      <c r="G47" s="65"/>
      <c r="H47" s="67"/>
      <c r="I47" s="118"/>
      <c r="J47" s="32"/>
      <c r="K47" s="68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ht="15.75" customHeight="1">
      <c r="A48" s="32"/>
      <c r="B48" s="65"/>
      <c r="C48" s="65"/>
      <c r="D48" s="32"/>
      <c r="E48" s="32"/>
      <c r="F48" s="32"/>
      <c r="G48" s="65"/>
      <c r="H48" s="67"/>
      <c r="I48" s="118"/>
      <c r="J48" s="32"/>
      <c r="K48" s="68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15.75" customHeight="1">
      <c r="A49" s="32"/>
      <c r="B49" s="65"/>
      <c r="C49" s="65"/>
      <c r="D49" s="32"/>
      <c r="E49" s="32"/>
      <c r="F49" s="32"/>
      <c r="G49" s="65"/>
      <c r="H49" s="67"/>
      <c r="I49" s="118"/>
      <c r="J49" s="32"/>
      <c r="K49" s="68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ht="15.75" customHeight="1">
      <c r="A50" s="32"/>
      <c r="B50" s="65"/>
      <c r="C50" s="65"/>
      <c r="D50" s="32"/>
      <c r="E50" s="32"/>
      <c r="F50" s="32"/>
      <c r="G50" s="65"/>
      <c r="H50" s="67"/>
      <c r="I50" s="118"/>
      <c r="J50" s="32"/>
      <c r="K50" s="68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ht="15.75" customHeight="1">
      <c r="A51" s="32"/>
      <c r="B51" s="65"/>
      <c r="C51" s="65"/>
      <c r="D51" s="32"/>
      <c r="E51" s="32"/>
      <c r="F51" s="32"/>
      <c r="G51" s="65"/>
      <c r="H51" s="67"/>
      <c r="I51" s="118"/>
      <c r="J51" s="32"/>
      <c r="K51" s="68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ht="15.75" customHeight="1">
      <c r="A52" s="32"/>
      <c r="B52" s="65"/>
      <c r="C52" s="65"/>
      <c r="D52" s="32"/>
      <c r="E52" s="32"/>
      <c r="F52" s="32"/>
      <c r="G52" s="65"/>
      <c r="H52" s="67"/>
      <c r="I52" s="118"/>
      <c r="J52" s="32"/>
      <c r="K52" s="6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ht="15.75" customHeight="1">
      <c r="A53" s="32"/>
      <c r="B53" s="65"/>
      <c r="C53" s="65"/>
      <c r="D53" s="32"/>
      <c r="E53" s="32"/>
      <c r="F53" s="32"/>
      <c r="G53" s="65"/>
      <c r="H53" s="67"/>
      <c r="I53" s="118"/>
      <c r="J53" s="32"/>
      <c r="K53" s="68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ht="15.75" customHeight="1">
      <c r="A54" s="32"/>
      <c r="B54" s="65"/>
      <c r="C54" s="65"/>
      <c r="D54" s="32"/>
      <c r="E54" s="32"/>
      <c r="F54" s="32"/>
      <c r="G54" s="65"/>
      <c r="H54" s="67"/>
      <c r="I54" s="118"/>
      <c r="J54" s="32"/>
      <c r="K54" s="68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ht="15.75" customHeight="1">
      <c r="A55" s="32"/>
      <c r="B55" s="65"/>
      <c r="C55" s="65"/>
      <c r="D55" s="32"/>
      <c r="E55" s="32"/>
      <c r="F55" s="32"/>
      <c r="G55" s="65"/>
      <c r="H55" s="67"/>
      <c r="I55" s="118"/>
      <c r="J55" s="32"/>
      <c r="K55" s="68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ht="15.75" customHeight="1">
      <c r="A56" s="32"/>
      <c r="B56" s="65"/>
      <c r="C56" s="65"/>
      <c r="D56" s="32"/>
      <c r="E56" s="32"/>
      <c r="F56" s="32"/>
      <c r="G56" s="65"/>
      <c r="H56" s="67"/>
      <c r="I56" s="118"/>
      <c r="J56" s="32"/>
      <c r="K56" s="68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ht="15.75" customHeight="1">
      <c r="A57" s="32"/>
      <c r="B57" s="65"/>
      <c r="C57" s="65"/>
      <c r="D57" s="32"/>
      <c r="E57" s="32"/>
      <c r="F57" s="32"/>
      <c r="G57" s="65"/>
      <c r="H57" s="67"/>
      <c r="I57" s="118"/>
      <c r="J57" s="32"/>
      <c r="K57" s="68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ht="15.75" customHeight="1">
      <c r="A58" s="32"/>
      <c r="B58" s="65"/>
      <c r="C58" s="65"/>
      <c r="D58" s="32"/>
      <c r="E58" s="32"/>
      <c r="F58" s="32"/>
      <c r="G58" s="65"/>
      <c r="H58" s="67"/>
      <c r="I58" s="118"/>
      <c r="J58" s="32"/>
      <c r="K58" s="68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ht="15.75" customHeight="1">
      <c r="A59" s="32"/>
      <c r="B59" s="65"/>
      <c r="C59" s="65"/>
      <c r="D59" s="32"/>
      <c r="E59" s="32"/>
      <c r="F59" s="32"/>
      <c r="G59" s="65"/>
      <c r="H59" s="67"/>
      <c r="I59" s="118"/>
      <c r="J59" s="32"/>
      <c r="K59" s="68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ht="15.75" customHeight="1">
      <c r="A60" s="32"/>
      <c r="B60" s="65"/>
      <c r="C60" s="65"/>
      <c r="D60" s="32"/>
      <c r="E60" s="32"/>
      <c r="F60" s="32"/>
      <c r="G60" s="65"/>
      <c r="H60" s="67"/>
      <c r="I60" s="118"/>
      <c r="J60" s="32"/>
      <c r="K60" s="68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ht="15.75" customHeight="1">
      <c r="A61" s="32"/>
      <c r="B61" s="65"/>
      <c r="C61" s="65"/>
      <c r="D61" s="32"/>
      <c r="E61" s="32"/>
      <c r="F61" s="32"/>
      <c r="G61" s="65"/>
      <c r="H61" s="67"/>
      <c r="I61" s="118"/>
      <c r="J61" s="32"/>
      <c r="K61" s="68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ht="15.75" customHeight="1">
      <c r="A62" s="32"/>
      <c r="B62" s="65"/>
      <c r="C62" s="65"/>
      <c r="D62" s="32"/>
      <c r="E62" s="32"/>
      <c r="F62" s="32"/>
      <c r="G62" s="65"/>
      <c r="H62" s="67"/>
      <c r="I62" s="118"/>
      <c r="J62" s="32"/>
      <c r="K62" s="68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ht="15.75" customHeight="1">
      <c r="A63" s="32"/>
      <c r="B63" s="65"/>
      <c r="C63" s="65"/>
      <c r="D63" s="32"/>
      <c r="E63" s="32"/>
      <c r="F63" s="32"/>
      <c r="G63" s="65"/>
      <c r="H63" s="67"/>
      <c r="I63" s="118"/>
      <c r="J63" s="32"/>
      <c r="K63" s="68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ht="15.75" customHeight="1">
      <c r="A64" s="32"/>
      <c r="B64" s="65"/>
      <c r="C64" s="65"/>
      <c r="D64" s="32"/>
      <c r="E64" s="32"/>
      <c r="F64" s="32"/>
      <c r="G64" s="65"/>
      <c r="H64" s="67"/>
      <c r="I64" s="118"/>
      <c r="J64" s="32"/>
      <c r="K64" s="68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ht="15.75" customHeight="1">
      <c r="A65" s="32"/>
      <c r="B65" s="65"/>
      <c r="C65" s="65"/>
      <c r="D65" s="32"/>
      <c r="E65" s="32"/>
      <c r="F65" s="32"/>
      <c r="G65" s="65"/>
      <c r="H65" s="67"/>
      <c r="I65" s="118"/>
      <c r="J65" s="32"/>
      <c r="K65" s="68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ht="15.75" customHeight="1">
      <c r="A66" s="32"/>
      <c r="B66" s="65"/>
      <c r="C66" s="65"/>
      <c r="D66" s="32"/>
      <c r="E66" s="32"/>
      <c r="F66" s="32"/>
      <c r="G66" s="65"/>
      <c r="H66" s="67"/>
      <c r="I66" s="118"/>
      <c r="J66" s="32"/>
      <c r="K66" s="68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ht="15.75" customHeight="1">
      <c r="A67" s="32"/>
      <c r="B67" s="65"/>
      <c r="C67" s="65"/>
      <c r="D67" s="32"/>
      <c r="E67" s="32"/>
      <c r="F67" s="32"/>
      <c r="G67" s="65"/>
      <c r="H67" s="67"/>
      <c r="I67" s="118"/>
      <c r="J67" s="32"/>
      <c r="K67" s="68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ht="15.75" customHeight="1">
      <c r="A68" s="32"/>
      <c r="B68" s="65"/>
      <c r="C68" s="65"/>
      <c r="D68" s="32"/>
      <c r="E68" s="32"/>
      <c r="F68" s="32"/>
      <c r="G68" s="65"/>
      <c r="H68" s="67"/>
      <c r="I68" s="118"/>
      <c r="J68" s="32"/>
      <c r="K68" s="68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ht="15.75" customHeight="1">
      <c r="A69" s="32"/>
      <c r="B69" s="65"/>
      <c r="C69" s="65"/>
      <c r="D69" s="32"/>
      <c r="E69" s="32"/>
      <c r="F69" s="32"/>
      <c r="G69" s="65"/>
      <c r="H69" s="67"/>
      <c r="I69" s="118"/>
      <c r="J69" s="32"/>
      <c r="K69" s="68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ht="15.75" customHeight="1">
      <c r="A70" s="32"/>
      <c r="B70" s="65"/>
      <c r="C70" s="65"/>
      <c r="D70" s="32"/>
      <c r="E70" s="32"/>
      <c r="F70" s="32"/>
      <c r="G70" s="65"/>
      <c r="H70" s="67"/>
      <c r="I70" s="118"/>
      <c r="J70" s="32"/>
      <c r="K70" s="6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ht="15.75" customHeight="1">
      <c r="A71" s="32"/>
      <c r="B71" s="65"/>
      <c r="C71" s="65"/>
      <c r="D71" s="32"/>
      <c r="E71" s="32"/>
      <c r="F71" s="32"/>
      <c r="G71" s="65"/>
      <c r="H71" s="67"/>
      <c r="I71" s="118"/>
      <c r="J71" s="32"/>
      <c r="K71" s="6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ht="15.75" customHeight="1">
      <c r="A72" s="32"/>
      <c r="B72" s="65"/>
      <c r="C72" s="65"/>
      <c r="D72" s="32"/>
      <c r="E72" s="32"/>
      <c r="F72" s="32"/>
      <c r="G72" s="65"/>
      <c r="H72" s="67"/>
      <c r="I72" s="118"/>
      <c r="J72" s="32"/>
      <c r="K72" s="68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ht="15.75" customHeight="1">
      <c r="A73" s="32"/>
      <c r="B73" s="65"/>
      <c r="C73" s="65"/>
      <c r="D73" s="32"/>
      <c r="E73" s="32"/>
      <c r="F73" s="32"/>
      <c r="G73" s="65"/>
      <c r="H73" s="67"/>
      <c r="I73" s="118"/>
      <c r="J73" s="32"/>
      <c r="K73" s="68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ht="15.75" customHeight="1">
      <c r="A74" s="32"/>
      <c r="B74" s="65"/>
      <c r="C74" s="65"/>
      <c r="D74" s="32"/>
      <c r="E74" s="32"/>
      <c r="F74" s="32"/>
      <c r="G74" s="65"/>
      <c r="H74" s="67"/>
      <c r="I74" s="118"/>
      <c r="J74" s="32"/>
      <c r="K74" s="68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ht="15.75" customHeight="1">
      <c r="A75" s="32"/>
      <c r="B75" s="65"/>
      <c r="C75" s="65"/>
      <c r="D75" s="32"/>
      <c r="E75" s="32"/>
      <c r="F75" s="32"/>
      <c r="G75" s="65"/>
      <c r="H75" s="67"/>
      <c r="I75" s="118"/>
      <c r="J75" s="32"/>
      <c r="K75" s="68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ht="15.75" customHeight="1">
      <c r="A76" s="32"/>
      <c r="B76" s="65"/>
      <c r="C76" s="65"/>
      <c r="D76" s="32"/>
      <c r="E76" s="32"/>
      <c r="F76" s="32"/>
      <c r="G76" s="65"/>
      <c r="H76" s="67"/>
      <c r="I76" s="118"/>
      <c r="J76" s="32"/>
      <c r="K76" s="68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ht="15.75" customHeight="1">
      <c r="A77" s="32"/>
      <c r="B77" s="65"/>
      <c r="C77" s="65"/>
      <c r="D77" s="32"/>
      <c r="E77" s="32"/>
      <c r="F77" s="32"/>
      <c r="G77" s="65"/>
      <c r="H77" s="67"/>
      <c r="I77" s="118"/>
      <c r="J77" s="32"/>
      <c r="K77" s="68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ht="15.75" customHeight="1">
      <c r="A78" s="32"/>
      <c r="B78" s="65"/>
      <c r="C78" s="65"/>
      <c r="D78" s="32"/>
      <c r="E78" s="32"/>
      <c r="F78" s="32"/>
      <c r="G78" s="65"/>
      <c r="H78" s="67"/>
      <c r="I78" s="118"/>
      <c r="J78" s="32"/>
      <c r="K78" s="68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ht="15.75" customHeight="1">
      <c r="A79" s="32"/>
      <c r="B79" s="65"/>
      <c r="C79" s="65"/>
      <c r="D79" s="32"/>
      <c r="E79" s="32"/>
      <c r="F79" s="32"/>
      <c r="G79" s="65"/>
      <c r="H79" s="67"/>
      <c r="I79" s="118"/>
      <c r="J79" s="32"/>
      <c r="K79" s="68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ht="15.75" customHeight="1">
      <c r="A80" s="32"/>
      <c r="B80" s="65"/>
      <c r="C80" s="65"/>
      <c r="D80" s="32"/>
      <c r="E80" s="32"/>
      <c r="F80" s="32"/>
      <c r="G80" s="65"/>
      <c r="H80" s="67"/>
      <c r="I80" s="118"/>
      <c r="J80" s="32"/>
      <c r="K80" s="68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ht="15.75" customHeight="1">
      <c r="A81" s="32"/>
      <c r="B81" s="65"/>
      <c r="C81" s="65"/>
      <c r="D81" s="32"/>
      <c r="E81" s="32"/>
      <c r="F81" s="32"/>
      <c r="G81" s="65"/>
      <c r="H81" s="67"/>
      <c r="I81" s="118"/>
      <c r="J81" s="32"/>
      <c r="K81" s="68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ht="15.75" customHeight="1">
      <c r="A82" s="32"/>
      <c r="B82" s="65"/>
      <c r="C82" s="65"/>
      <c r="D82" s="32"/>
      <c r="E82" s="32"/>
      <c r="F82" s="32"/>
      <c r="G82" s="65"/>
      <c r="H82" s="67"/>
      <c r="I82" s="118"/>
      <c r="J82" s="32"/>
      <c r="K82" s="68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ht="15.75" customHeight="1">
      <c r="A83" s="32"/>
      <c r="B83" s="65"/>
      <c r="C83" s="65"/>
      <c r="D83" s="32"/>
      <c r="E83" s="32"/>
      <c r="F83" s="32"/>
      <c r="G83" s="65"/>
      <c r="H83" s="67"/>
      <c r="I83" s="118"/>
      <c r="J83" s="32"/>
      <c r="K83" s="6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ht="15.75" customHeight="1">
      <c r="A84" s="32"/>
      <c r="B84" s="65"/>
      <c r="C84" s="65"/>
      <c r="D84" s="32"/>
      <c r="E84" s="32"/>
      <c r="F84" s="32"/>
      <c r="G84" s="65"/>
      <c r="H84" s="67"/>
      <c r="I84" s="118"/>
      <c r="J84" s="32"/>
      <c r="K84" s="6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ht="15.75" customHeight="1">
      <c r="A85" s="32"/>
      <c r="B85" s="65"/>
      <c r="C85" s="65"/>
      <c r="D85" s="32"/>
      <c r="E85" s="32"/>
      <c r="F85" s="32"/>
      <c r="G85" s="65"/>
      <c r="H85" s="67"/>
      <c r="I85" s="118"/>
      <c r="J85" s="32"/>
      <c r="K85" s="6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ht="15.75" customHeight="1">
      <c r="A86" s="32"/>
      <c r="B86" s="65"/>
      <c r="C86" s="65"/>
      <c r="D86" s="32"/>
      <c r="E86" s="32"/>
      <c r="F86" s="32"/>
      <c r="G86" s="65"/>
      <c r="H86" s="67"/>
      <c r="I86" s="118"/>
      <c r="J86" s="32"/>
      <c r="K86" s="6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ht="15.75" customHeight="1">
      <c r="A87" s="32"/>
      <c r="B87" s="65"/>
      <c r="C87" s="65"/>
      <c r="D87" s="32"/>
      <c r="E87" s="32"/>
      <c r="F87" s="32"/>
      <c r="G87" s="65"/>
      <c r="H87" s="67"/>
      <c r="I87" s="118"/>
      <c r="J87" s="32"/>
      <c r="K87" s="68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ht="15.75" customHeight="1">
      <c r="A88" s="32"/>
      <c r="B88" s="65"/>
      <c r="C88" s="65"/>
      <c r="D88" s="32"/>
      <c r="E88" s="32"/>
      <c r="F88" s="32"/>
      <c r="G88" s="65"/>
      <c r="H88" s="67"/>
      <c r="I88" s="118"/>
      <c r="J88" s="32"/>
      <c r="K88" s="68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ht="15.75" customHeight="1">
      <c r="A89" s="32"/>
      <c r="B89" s="65"/>
      <c r="C89" s="65"/>
      <c r="D89" s="32"/>
      <c r="E89" s="32"/>
      <c r="F89" s="32"/>
      <c r="G89" s="65"/>
      <c r="H89" s="67"/>
      <c r="I89" s="118"/>
      <c r="J89" s="32"/>
      <c r="K89" s="68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ht="15.75" customHeight="1">
      <c r="A90" s="32"/>
      <c r="B90" s="65"/>
      <c r="C90" s="65"/>
      <c r="D90" s="32"/>
      <c r="E90" s="32"/>
      <c r="F90" s="32"/>
      <c r="G90" s="65"/>
      <c r="H90" s="67"/>
      <c r="I90" s="118"/>
      <c r="J90" s="32"/>
      <c r="K90" s="68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ht="15.75" customHeight="1">
      <c r="A91" s="32"/>
      <c r="B91" s="65"/>
      <c r="C91" s="65"/>
      <c r="D91" s="32"/>
      <c r="E91" s="32"/>
      <c r="F91" s="32"/>
      <c r="G91" s="65"/>
      <c r="H91" s="67"/>
      <c r="I91" s="118"/>
      <c r="J91" s="32"/>
      <c r="K91" s="68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ht="15.75" customHeight="1">
      <c r="A92" s="32"/>
      <c r="B92" s="65"/>
      <c r="C92" s="65"/>
      <c r="D92" s="32"/>
      <c r="E92" s="32"/>
      <c r="F92" s="32"/>
      <c r="G92" s="65"/>
      <c r="H92" s="67"/>
      <c r="I92" s="118"/>
      <c r="J92" s="32"/>
      <c r="K92" s="68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ht="15.75" customHeight="1">
      <c r="A93" s="32"/>
      <c r="B93" s="65"/>
      <c r="C93" s="65"/>
      <c r="D93" s="32"/>
      <c r="E93" s="32"/>
      <c r="F93" s="32"/>
      <c r="G93" s="65"/>
      <c r="H93" s="67"/>
      <c r="I93" s="118"/>
      <c r="J93" s="32"/>
      <c r="K93" s="68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ht="15.75" customHeight="1">
      <c r="A94" s="32"/>
      <c r="B94" s="65"/>
      <c r="C94" s="65"/>
      <c r="D94" s="32"/>
      <c r="E94" s="32"/>
      <c r="F94" s="32"/>
      <c r="G94" s="65"/>
      <c r="H94" s="67"/>
      <c r="I94" s="118"/>
      <c r="J94" s="32"/>
      <c r="K94" s="68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ht="15.75" customHeight="1">
      <c r="A95" s="32"/>
      <c r="B95" s="65"/>
      <c r="C95" s="65"/>
      <c r="D95" s="32"/>
      <c r="E95" s="32"/>
      <c r="F95" s="32"/>
      <c r="G95" s="65"/>
      <c r="H95" s="67"/>
      <c r="I95" s="118"/>
      <c r="J95" s="32"/>
      <c r="K95" s="68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ht="15.75" customHeight="1">
      <c r="A96" s="32"/>
      <c r="B96" s="65"/>
      <c r="C96" s="65"/>
      <c r="D96" s="32"/>
      <c r="E96" s="32"/>
      <c r="F96" s="32"/>
      <c r="G96" s="65"/>
      <c r="H96" s="67"/>
      <c r="I96" s="118"/>
      <c r="J96" s="32"/>
      <c r="K96" s="6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ht="15.75" customHeight="1">
      <c r="A97" s="32"/>
      <c r="B97" s="65"/>
      <c r="C97" s="65"/>
      <c r="D97" s="32"/>
      <c r="E97" s="32"/>
      <c r="F97" s="32"/>
      <c r="G97" s="65"/>
      <c r="H97" s="67"/>
      <c r="I97" s="118"/>
      <c r="J97" s="32"/>
      <c r="K97" s="68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ht="15.75" customHeight="1">
      <c r="A98" s="32"/>
      <c r="B98" s="65"/>
      <c r="C98" s="65"/>
      <c r="D98" s="32"/>
      <c r="E98" s="32"/>
      <c r="F98" s="32"/>
      <c r="G98" s="65"/>
      <c r="H98" s="67"/>
      <c r="I98" s="118"/>
      <c r="J98" s="32"/>
      <c r="K98" s="68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ht="15.75" customHeight="1">
      <c r="A99" s="32"/>
      <c r="B99" s="65"/>
      <c r="C99" s="65"/>
      <c r="D99" s="32"/>
      <c r="E99" s="32"/>
      <c r="F99" s="32"/>
      <c r="G99" s="65"/>
      <c r="H99" s="67"/>
      <c r="I99" s="118"/>
      <c r="J99" s="32"/>
      <c r="K99" s="68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ht="15.75" customHeight="1">
      <c r="A100" s="32"/>
      <c r="B100" s="65"/>
      <c r="C100" s="65"/>
      <c r="D100" s="32"/>
      <c r="E100" s="32"/>
      <c r="F100" s="32"/>
      <c r="G100" s="65"/>
      <c r="H100" s="67"/>
      <c r="I100" s="118"/>
      <c r="J100" s="32"/>
      <c r="K100" s="6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ht="15.75" customHeight="1">
      <c r="A101" s="32"/>
      <c r="B101" s="65"/>
      <c r="C101" s="65"/>
      <c r="D101" s="32"/>
      <c r="E101" s="32"/>
      <c r="F101" s="32"/>
      <c r="G101" s="65"/>
      <c r="H101" s="67"/>
      <c r="I101" s="118"/>
      <c r="J101" s="32"/>
      <c r="K101" s="68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ht="15.75" customHeight="1">
      <c r="A102" s="32"/>
      <c r="B102" s="65"/>
      <c r="C102" s="65"/>
      <c r="D102" s="32"/>
      <c r="E102" s="32"/>
      <c r="F102" s="32"/>
      <c r="G102" s="65"/>
      <c r="H102" s="67"/>
      <c r="I102" s="118"/>
      <c r="J102" s="32"/>
      <c r="K102" s="68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ht="15.75" customHeight="1">
      <c r="A103" s="32"/>
      <c r="B103" s="65"/>
      <c r="C103" s="65"/>
      <c r="D103" s="32"/>
      <c r="E103" s="32"/>
      <c r="F103" s="32"/>
      <c r="G103" s="65"/>
      <c r="H103" s="67"/>
      <c r="I103" s="118"/>
      <c r="J103" s="32"/>
      <c r="K103" s="68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ht="15.75" customHeight="1">
      <c r="A104" s="32"/>
      <c r="B104" s="65"/>
      <c r="C104" s="65"/>
      <c r="D104" s="32"/>
      <c r="E104" s="32"/>
      <c r="F104" s="32"/>
      <c r="G104" s="65"/>
      <c r="H104" s="67"/>
      <c r="I104" s="118"/>
      <c r="J104" s="32"/>
      <c r="K104" s="68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ht="15.75" customHeight="1">
      <c r="A105" s="32"/>
      <c r="B105" s="65"/>
      <c r="C105" s="65"/>
      <c r="D105" s="32"/>
      <c r="E105" s="32"/>
      <c r="F105" s="32"/>
      <c r="G105" s="65"/>
      <c r="H105" s="67"/>
      <c r="I105" s="118"/>
      <c r="J105" s="32"/>
      <c r="K105" s="68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ht="15.75" customHeight="1">
      <c r="A106" s="32"/>
      <c r="B106" s="65"/>
      <c r="C106" s="65"/>
      <c r="D106" s="32"/>
      <c r="E106" s="32"/>
      <c r="F106" s="32"/>
      <c r="G106" s="65"/>
      <c r="H106" s="67"/>
      <c r="I106" s="118"/>
      <c r="J106" s="32"/>
      <c r="K106" s="6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ht="15.75" customHeight="1">
      <c r="A107" s="32"/>
      <c r="B107" s="65"/>
      <c r="C107" s="65"/>
      <c r="D107" s="32"/>
      <c r="E107" s="32"/>
      <c r="F107" s="32"/>
      <c r="G107" s="65"/>
      <c r="H107" s="67"/>
      <c r="I107" s="118"/>
      <c r="J107" s="32"/>
      <c r="K107" s="6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ht="15.75" customHeight="1">
      <c r="A108" s="32"/>
      <c r="B108" s="65"/>
      <c r="C108" s="65"/>
      <c r="D108" s="32"/>
      <c r="E108" s="32"/>
      <c r="F108" s="32"/>
      <c r="G108" s="65"/>
      <c r="H108" s="67"/>
      <c r="I108" s="118"/>
      <c r="J108" s="32"/>
      <c r="K108" s="6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ht="15.75" customHeight="1">
      <c r="A109" s="32"/>
      <c r="B109" s="65"/>
      <c r="C109" s="65"/>
      <c r="D109" s="32"/>
      <c r="E109" s="32"/>
      <c r="F109" s="32"/>
      <c r="G109" s="65"/>
      <c r="H109" s="67"/>
      <c r="I109" s="118"/>
      <c r="J109" s="32"/>
      <c r="K109" s="6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ht="15.75" customHeight="1">
      <c r="A110" s="32"/>
      <c r="B110" s="65"/>
      <c r="C110" s="65"/>
      <c r="D110" s="32"/>
      <c r="E110" s="32"/>
      <c r="F110" s="32"/>
      <c r="G110" s="65"/>
      <c r="H110" s="67"/>
      <c r="I110" s="118"/>
      <c r="J110" s="32"/>
      <c r="K110" s="6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ht="15.75" customHeight="1">
      <c r="A111" s="32"/>
      <c r="B111" s="65"/>
      <c r="C111" s="65"/>
      <c r="D111" s="32"/>
      <c r="E111" s="32"/>
      <c r="F111" s="32"/>
      <c r="G111" s="65"/>
      <c r="H111" s="67"/>
      <c r="I111" s="118"/>
      <c r="J111" s="32"/>
      <c r="K111" s="6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ht="15.75" customHeight="1">
      <c r="A112" s="32"/>
      <c r="B112" s="65"/>
      <c r="C112" s="65"/>
      <c r="D112" s="32"/>
      <c r="E112" s="32"/>
      <c r="F112" s="32"/>
      <c r="G112" s="65"/>
      <c r="H112" s="67"/>
      <c r="I112" s="118"/>
      <c r="J112" s="32"/>
      <c r="K112" s="6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ht="15.75" customHeight="1">
      <c r="A113" s="32"/>
      <c r="B113" s="65"/>
      <c r="C113" s="65"/>
      <c r="D113" s="32"/>
      <c r="E113" s="32"/>
      <c r="F113" s="32"/>
      <c r="G113" s="65"/>
      <c r="H113" s="67"/>
      <c r="I113" s="118"/>
      <c r="J113" s="32"/>
      <c r="K113" s="6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ht="15.75" customHeight="1">
      <c r="A114" s="32"/>
      <c r="B114" s="65"/>
      <c r="C114" s="65"/>
      <c r="D114" s="32"/>
      <c r="E114" s="32"/>
      <c r="F114" s="32"/>
      <c r="G114" s="65"/>
      <c r="H114" s="67"/>
      <c r="I114" s="118"/>
      <c r="J114" s="32"/>
      <c r="K114" s="6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 ht="15.75" customHeight="1">
      <c r="A115" s="32"/>
      <c r="B115" s="65"/>
      <c r="C115" s="65"/>
      <c r="D115" s="32"/>
      <c r="E115" s="32"/>
      <c r="F115" s="32"/>
      <c r="G115" s="65"/>
      <c r="H115" s="67"/>
      <c r="I115" s="118"/>
      <c r="J115" s="32"/>
      <c r="K115" s="6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 ht="15.75" customHeight="1">
      <c r="A116" s="32"/>
      <c r="B116" s="65"/>
      <c r="C116" s="65"/>
      <c r="D116" s="32"/>
      <c r="E116" s="32"/>
      <c r="F116" s="32"/>
      <c r="G116" s="65"/>
      <c r="H116" s="67"/>
      <c r="I116" s="118"/>
      <c r="J116" s="32"/>
      <c r="K116" s="6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 ht="15.75" customHeight="1">
      <c r="A117" s="32"/>
      <c r="B117" s="65"/>
      <c r="C117" s="65"/>
      <c r="D117" s="32"/>
      <c r="E117" s="32"/>
      <c r="F117" s="32"/>
      <c r="G117" s="65"/>
      <c r="H117" s="67"/>
      <c r="I117" s="118"/>
      <c r="J117" s="32"/>
      <c r="K117" s="68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 ht="15.75" customHeight="1">
      <c r="A118" s="32"/>
      <c r="B118" s="65"/>
      <c r="C118" s="65"/>
      <c r="D118" s="32"/>
      <c r="E118" s="32"/>
      <c r="F118" s="32"/>
      <c r="G118" s="65"/>
      <c r="H118" s="67"/>
      <c r="I118" s="118"/>
      <c r="J118" s="32"/>
      <c r="K118" s="68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 ht="15.75" customHeight="1">
      <c r="A119" s="32"/>
      <c r="B119" s="65"/>
      <c r="C119" s="65"/>
      <c r="D119" s="32"/>
      <c r="E119" s="32"/>
      <c r="F119" s="32"/>
      <c r="G119" s="65"/>
      <c r="H119" s="67"/>
      <c r="I119" s="118"/>
      <c r="J119" s="32"/>
      <c r="K119" s="68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 ht="15.75" customHeight="1">
      <c r="A120" s="32"/>
      <c r="B120" s="65"/>
      <c r="C120" s="65"/>
      <c r="D120" s="32"/>
      <c r="E120" s="32"/>
      <c r="F120" s="32"/>
      <c r="G120" s="65"/>
      <c r="H120" s="67"/>
      <c r="I120" s="118"/>
      <c r="J120" s="32"/>
      <c r="K120" s="68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 ht="15.75" customHeight="1">
      <c r="A121" s="32"/>
      <c r="B121" s="65"/>
      <c r="C121" s="65"/>
      <c r="D121" s="32"/>
      <c r="E121" s="32"/>
      <c r="F121" s="32"/>
      <c r="G121" s="65"/>
      <c r="H121" s="67"/>
      <c r="I121" s="118"/>
      <c r="J121" s="32"/>
      <c r="K121" s="68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 ht="15.75" customHeight="1">
      <c r="A122" s="32"/>
      <c r="B122" s="65"/>
      <c r="C122" s="65"/>
      <c r="D122" s="32"/>
      <c r="E122" s="32"/>
      <c r="F122" s="32"/>
      <c r="G122" s="65"/>
      <c r="H122" s="67"/>
      <c r="I122" s="118"/>
      <c r="J122" s="32"/>
      <c r="K122" s="68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 ht="15.75" customHeight="1">
      <c r="A123" s="32"/>
      <c r="B123" s="65"/>
      <c r="C123" s="65"/>
      <c r="D123" s="32"/>
      <c r="E123" s="32"/>
      <c r="F123" s="32"/>
      <c r="G123" s="65"/>
      <c r="H123" s="67"/>
      <c r="I123" s="118"/>
      <c r="J123" s="32"/>
      <c r="K123" s="68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 ht="15.75" customHeight="1">
      <c r="A124" s="32"/>
      <c r="B124" s="65"/>
      <c r="C124" s="65"/>
      <c r="D124" s="32"/>
      <c r="E124" s="32"/>
      <c r="F124" s="32"/>
      <c r="G124" s="65"/>
      <c r="H124" s="67"/>
      <c r="I124" s="118"/>
      <c r="J124" s="32"/>
      <c r="K124" s="68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 ht="15.75" customHeight="1">
      <c r="A125" s="32"/>
      <c r="B125" s="65"/>
      <c r="C125" s="65"/>
      <c r="D125" s="32"/>
      <c r="E125" s="32"/>
      <c r="F125" s="32"/>
      <c r="G125" s="65"/>
      <c r="H125" s="67"/>
      <c r="I125" s="118"/>
      <c r="J125" s="32"/>
      <c r="K125" s="68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 ht="15.75" customHeight="1">
      <c r="A126" s="32"/>
      <c r="B126" s="65"/>
      <c r="C126" s="65"/>
      <c r="D126" s="32"/>
      <c r="E126" s="32"/>
      <c r="F126" s="32"/>
      <c r="G126" s="65"/>
      <c r="H126" s="67"/>
      <c r="I126" s="118"/>
      <c r="J126" s="32"/>
      <c r="K126" s="68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 ht="15.75" customHeight="1">
      <c r="A127" s="32"/>
      <c r="B127" s="65"/>
      <c r="C127" s="65"/>
      <c r="D127" s="32"/>
      <c r="E127" s="32"/>
      <c r="F127" s="32"/>
      <c r="G127" s="65"/>
      <c r="H127" s="67"/>
      <c r="I127" s="118"/>
      <c r="J127" s="32"/>
      <c r="K127" s="68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 ht="15.75" customHeight="1">
      <c r="A128" s="32"/>
      <c r="B128" s="65"/>
      <c r="C128" s="65"/>
      <c r="D128" s="32"/>
      <c r="E128" s="32"/>
      <c r="F128" s="32"/>
      <c r="G128" s="65"/>
      <c r="H128" s="67"/>
      <c r="I128" s="118"/>
      <c r="J128" s="32"/>
      <c r="K128" s="68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ht="15.75" customHeight="1">
      <c r="A129" s="32"/>
      <c r="B129" s="65"/>
      <c r="C129" s="65"/>
      <c r="D129" s="32"/>
      <c r="E129" s="32"/>
      <c r="F129" s="32"/>
      <c r="G129" s="65"/>
      <c r="H129" s="67"/>
      <c r="I129" s="118"/>
      <c r="J129" s="32"/>
      <c r="K129" s="68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 ht="15.75" customHeight="1">
      <c r="A130" s="32"/>
      <c r="B130" s="65"/>
      <c r="C130" s="65"/>
      <c r="D130" s="32"/>
      <c r="E130" s="32"/>
      <c r="F130" s="32"/>
      <c r="G130" s="65"/>
      <c r="H130" s="67"/>
      <c r="I130" s="118"/>
      <c r="J130" s="32"/>
      <c r="K130" s="68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 ht="15.75" customHeight="1">
      <c r="A131" s="32"/>
      <c r="B131" s="65"/>
      <c r="C131" s="65"/>
      <c r="D131" s="32"/>
      <c r="E131" s="32"/>
      <c r="F131" s="32"/>
      <c r="G131" s="65"/>
      <c r="H131" s="67"/>
      <c r="I131" s="118"/>
      <c r="J131" s="32"/>
      <c r="K131" s="68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 ht="15.75" customHeight="1">
      <c r="A132" s="32"/>
      <c r="B132" s="65"/>
      <c r="C132" s="65"/>
      <c r="D132" s="32"/>
      <c r="E132" s="32"/>
      <c r="F132" s="32"/>
      <c r="G132" s="65"/>
      <c r="H132" s="67"/>
      <c r="I132" s="118"/>
      <c r="J132" s="32"/>
      <c r="K132" s="68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ht="15.75" customHeight="1">
      <c r="A133" s="32"/>
      <c r="B133" s="65"/>
      <c r="C133" s="65"/>
      <c r="D133" s="32"/>
      <c r="E133" s="32"/>
      <c r="F133" s="32"/>
      <c r="G133" s="65"/>
      <c r="H133" s="67"/>
      <c r="I133" s="118"/>
      <c r="J133" s="32"/>
      <c r="K133" s="68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ht="15.75" customHeight="1">
      <c r="A134" s="32"/>
      <c r="B134" s="65"/>
      <c r="C134" s="65"/>
      <c r="D134" s="32"/>
      <c r="E134" s="32"/>
      <c r="F134" s="32"/>
      <c r="G134" s="65"/>
      <c r="H134" s="67"/>
      <c r="I134" s="118"/>
      <c r="J134" s="32"/>
      <c r="K134" s="68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 ht="15.75" customHeight="1">
      <c r="A135" s="32"/>
      <c r="B135" s="65"/>
      <c r="C135" s="65"/>
      <c r="D135" s="32"/>
      <c r="E135" s="32"/>
      <c r="F135" s="32"/>
      <c r="G135" s="65"/>
      <c r="H135" s="67"/>
      <c r="I135" s="118"/>
      <c r="J135" s="32"/>
      <c r="K135" s="68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 ht="15.75" customHeight="1">
      <c r="A136" s="32"/>
      <c r="B136" s="65"/>
      <c r="C136" s="65"/>
      <c r="D136" s="32"/>
      <c r="E136" s="32"/>
      <c r="F136" s="32"/>
      <c r="G136" s="65"/>
      <c r="H136" s="67"/>
      <c r="I136" s="118"/>
      <c r="J136" s="32"/>
      <c r="K136" s="68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 ht="15.75" customHeight="1">
      <c r="A137" s="32"/>
      <c r="B137" s="65"/>
      <c r="C137" s="65"/>
      <c r="D137" s="32"/>
      <c r="E137" s="32"/>
      <c r="F137" s="32"/>
      <c r="G137" s="65"/>
      <c r="H137" s="67"/>
      <c r="I137" s="118"/>
      <c r="J137" s="32"/>
      <c r="K137" s="68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 ht="15.75" customHeight="1">
      <c r="A138" s="32"/>
      <c r="B138" s="65"/>
      <c r="C138" s="65"/>
      <c r="D138" s="32"/>
      <c r="E138" s="32"/>
      <c r="F138" s="32"/>
      <c r="G138" s="65"/>
      <c r="H138" s="67"/>
      <c r="I138" s="118"/>
      <c r="J138" s="32"/>
      <c r="K138" s="68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 ht="15.75" customHeight="1">
      <c r="A139" s="32"/>
      <c r="B139" s="65"/>
      <c r="C139" s="65"/>
      <c r="D139" s="32"/>
      <c r="E139" s="32"/>
      <c r="F139" s="32"/>
      <c r="G139" s="65"/>
      <c r="H139" s="67"/>
      <c r="I139" s="118"/>
      <c r="J139" s="32"/>
      <c r="K139" s="68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 ht="15.75" customHeight="1">
      <c r="A140" s="32"/>
      <c r="B140" s="65"/>
      <c r="C140" s="65"/>
      <c r="D140" s="32"/>
      <c r="E140" s="32"/>
      <c r="F140" s="32"/>
      <c r="G140" s="65"/>
      <c r="H140" s="67"/>
      <c r="I140" s="118"/>
      <c r="J140" s="32"/>
      <c r="K140" s="68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 ht="15.75" customHeight="1">
      <c r="A141" s="32"/>
      <c r="B141" s="65"/>
      <c r="C141" s="65"/>
      <c r="D141" s="32"/>
      <c r="E141" s="32"/>
      <c r="F141" s="32"/>
      <c r="G141" s="65"/>
      <c r="H141" s="67"/>
      <c r="I141" s="118"/>
      <c r="J141" s="32"/>
      <c r="K141" s="68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 ht="15.75" customHeight="1">
      <c r="A142" s="32"/>
      <c r="B142" s="65"/>
      <c r="C142" s="65"/>
      <c r="D142" s="32"/>
      <c r="E142" s="32"/>
      <c r="F142" s="32"/>
      <c r="G142" s="65"/>
      <c r="H142" s="67"/>
      <c r="I142" s="118"/>
      <c r="J142" s="32"/>
      <c r="K142" s="68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 ht="15.75" customHeight="1">
      <c r="A143" s="32"/>
      <c r="B143" s="65"/>
      <c r="C143" s="65"/>
      <c r="D143" s="32"/>
      <c r="E143" s="32"/>
      <c r="F143" s="32"/>
      <c r="G143" s="65"/>
      <c r="H143" s="67"/>
      <c r="I143" s="118"/>
      <c r="J143" s="32"/>
      <c r="K143" s="68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 ht="15.75" customHeight="1">
      <c r="A144" s="32"/>
      <c r="B144" s="65"/>
      <c r="C144" s="65"/>
      <c r="D144" s="32"/>
      <c r="E144" s="32"/>
      <c r="F144" s="32"/>
      <c r="G144" s="65"/>
      <c r="H144" s="67"/>
      <c r="I144" s="118"/>
      <c r="J144" s="32"/>
      <c r="K144" s="68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 ht="15.75" customHeight="1">
      <c r="A145" s="32"/>
      <c r="B145" s="65"/>
      <c r="C145" s="65"/>
      <c r="D145" s="32"/>
      <c r="E145" s="32"/>
      <c r="F145" s="32"/>
      <c r="G145" s="65"/>
      <c r="H145" s="67"/>
      <c r="I145" s="118"/>
      <c r="J145" s="32"/>
      <c r="K145" s="68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 ht="15.75" customHeight="1">
      <c r="A146" s="32"/>
      <c r="B146" s="65"/>
      <c r="C146" s="65"/>
      <c r="D146" s="32"/>
      <c r="E146" s="32"/>
      <c r="F146" s="32"/>
      <c r="G146" s="65"/>
      <c r="H146" s="67"/>
      <c r="I146" s="118"/>
      <c r="J146" s="32"/>
      <c r="K146" s="68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 ht="15.75" customHeight="1">
      <c r="A147" s="32"/>
      <c r="B147" s="65"/>
      <c r="C147" s="65"/>
      <c r="D147" s="32"/>
      <c r="E147" s="32"/>
      <c r="F147" s="32"/>
      <c r="G147" s="65"/>
      <c r="H147" s="67"/>
      <c r="I147" s="118"/>
      <c r="J147" s="32"/>
      <c r="K147" s="68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 ht="15.75" customHeight="1">
      <c r="A148" s="32"/>
      <c r="B148" s="65"/>
      <c r="C148" s="65"/>
      <c r="D148" s="32"/>
      <c r="E148" s="32"/>
      <c r="F148" s="32"/>
      <c r="G148" s="65"/>
      <c r="H148" s="67"/>
      <c r="I148" s="118"/>
      <c r="J148" s="32"/>
      <c r="K148" s="68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 ht="15.75" customHeight="1">
      <c r="A149" s="32"/>
      <c r="B149" s="65"/>
      <c r="C149" s="65"/>
      <c r="D149" s="32"/>
      <c r="E149" s="32"/>
      <c r="F149" s="32"/>
      <c r="G149" s="65"/>
      <c r="H149" s="67"/>
      <c r="I149" s="118"/>
      <c r="J149" s="32"/>
      <c r="K149" s="68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 ht="15.75" customHeight="1">
      <c r="A150" s="32"/>
      <c r="B150" s="65"/>
      <c r="C150" s="65"/>
      <c r="D150" s="32"/>
      <c r="E150" s="32"/>
      <c r="F150" s="32"/>
      <c r="G150" s="65"/>
      <c r="H150" s="67"/>
      <c r="I150" s="118"/>
      <c r="J150" s="32"/>
      <c r="K150" s="68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 ht="15.75" customHeight="1">
      <c r="A151" s="32"/>
      <c r="B151" s="65"/>
      <c r="C151" s="65"/>
      <c r="D151" s="32"/>
      <c r="E151" s="32"/>
      <c r="F151" s="32"/>
      <c r="G151" s="65"/>
      <c r="H151" s="67"/>
      <c r="I151" s="118"/>
      <c r="J151" s="32"/>
      <c r="K151" s="68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 ht="15.75" customHeight="1">
      <c r="A152" s="32"/>
      <c r="B152" s="65"/>
      <c r="C152" s="65"/>
      <c r="D152" s="32"/>
      <c r="E152" s="32"/>
      <c r="F152" s="32"/>
      <c r="G152" s="65"/>
      <c r="H152" s="67"/>
      <c r="I152" s="118"/>
      <c r="J152" s="32"/>
      <c r="K152" s="68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 ht="15.75" customHeight="1">
      <c r="A153" s="32"/>
      <c r="B153" s="65"/>
      <c r="C153" s="65"/>
      <c r="D153" s="32"/>
      <c r="E153" s="32"/>
      <c r="F153" s="32"/>
      <c r="G153" s="65"/>
      <c r="H153" s="67"/>
      <c r="I153" s="118"/>
      <c r="J153" s="32"/>
      <c r="K153" s="68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 ht="15.75" customHeight="1">
      <c r="A154" s="32"/>
      <c r="B154" s="65"/>
      <c r="C154" s="65"/>
      <c r="D154" s="32"/>
      <c r="E154" s="32"/>
      <c r="F154" s="32"/>
      <c r="G154" s="65"/>
      <c r="H154" s="67"/>
      <c r="I154" s="118"/>
      <c r="J154" s="32"/>
      <c r="K154" s="68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 ht="15.75" customHeight="1">
      <c r="A155" s="32"/>
      <c r="B155" s="65"/>
      <c r="C155" s="65"/>
      <c r="D155" s="32"/>
      <c r="E155" s="32"/>
      <c r="F155" s="32"/>
      <c r="G155" s="65"/>
      <c r="H155" s="67"/>
      <c r="I155" s="118"/>
      <c r="J155" s="32"/>
      <c r="K155" s="68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 ht="15.75" customHeight="1">
      <c r="A156" s="32"/>
      <c r="B156" s="65"/>
      <c r="C156" s="65"/>
      <c r="D156" s="32"/>
      <c r="E156" s="32"/>
      <c r="F156" s="32"/>
      <c r="G156" s="65"/>
      <c r="H156" s="67"/>
      <c r="I156" s="118"/>
      <c r="J156" s="32"/>
      <c r="K156" s="68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 ht="15.75" customHeight="1">
      <c r="A157" s="32"/>
      <c r="B157" s="65"/>
      <c r="C157" s="65"/>
      <c r="D157" s="32"/>
      <c r="E157" s="32"/>
      <c r="F157" s="32"/>
      <c r="G157" s="65"/>
      <c r="H157" s="67"/>
      <c r="I157" s="118"/>
      <c r="J157" s="32"/>
      <c r="K157" s="68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 ht="15.75" customHeight="1">
      <c r="A158" s="32"/>
      <c r="B158" s="65"/>
      <c r="C158" s="65"/>
      <c r="D158" s="32"/>
      <c r="E158" s="32"/>
      <c r="F158" s="32"/>
      <c r="G158" s="65"/>
      <c r="H158" s="67"/>
      <c r="I158" s="118"/>
      <c r="J158" s="32"/>
      <c r="K158" s="68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 ht="15.75" customHeight="1">
      <c r="A159" s="32"/>
      <c r="B159" s="65"/>
      <c r="C159" s="65"/>
      <c r="D159" s="32"/>
      <c r="E159" s="32"/>
      <c r="F159" s="32"/>
      <c r="G159" s="65"/>
      <c r="H159" s="67"/>
      <c r="I159" s="118"/>
      <c r="J159" s="32"/>
      <c r="K159" s="68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 ht="15.75" customHeight="1">
      <c r="A160" s="32"/>
      <c r="B160" s="65"/>
      <c r="C160" s="65"/>
      <c r="D160" s="32"/>
      <c r="E160" s="32"/>
      <c r="F160" s="32"/>
      <c r="G160" s="65"/>
      <c r="H160" s="67"/>
      <c r="I160" s="118"/>
      <c r="J160" s="32"/>
      <c r="K160" s="68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 ht="15.75" customHeight="1">
      <c r="A161" s="32"/>
      <c r="B161" s="65"/>
      <c r="C161" s="65"/>
      <c r="D161" s="32"/>
      <c r="E161" s="32"/>
      <c r="F161" s="32"/>
      <c r="G161" s="65"/>
      <c r="H161" s="67"/>
      <c r="I161" s="118"/>
      <c r="J161" s="32"/>
      <c r="K161" s="68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 ht="15.75" customHeight="1">
      <c r="A162" s="32"/>
      <c r="B162" s="65"/>
      <c r="C162" s="65"/>
      <c r="D162" s="32"/>
      <c r="E162" s="32"/>
      <c r="F162" s="32"/>
      <c r="G162" s="65"/>
      <c r="H162" s="67"/>
      <c r="I162" s="118"/>
      <c r="J162" s="32"/>
      <c r="K162" s="68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 ht="15.75" customHeight="1">
      <c r="A163" s="32"/>
      <c r="B163" s="65"/>
      <c r="C163" s="65"/>
      <c r="D163" s="32"/>
      <c r="E163" s="32"/>
      <c r="F163" s="32"/>
      <c r="G163" s="65"/>
      <c r="H163" s="67"/>
      <c r="I163" s="118"/>
      <c r="J163" s="32"/>
      <c r="K163" s="68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 ht="15.75" customHeight="1">
      <c r="A164" s="32"/>
      <c r="B164" s="65"/>
      <c r="C164" s="65"/>
      <c r="D164" s="32"/>
      <c r="E164" s="32"/>
      <c r="F164" s="32"/>
      <c r="G164" s="65"/>
      <c r="H164" s="67"/>
      <c r="I164" s="118"/>
      <c r="J164" s="32"/>
      <c r="K164" s="68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 ht="15.75" customHeight="1">
      <c r="A165" s="32"/>
      <c r="B165" s="65"/>
      <c r="C165" s="65"/>
      <c r="D165" s="32"/>
      <c r="E165" s="32"/>
      <c r="F165" s="32"/>
      <c r="G165" s="65"/>
      <c r="H165" s="67"/>
      <c r="I165" s="118"/>
      <c r="J165" s="32"/>
      <c r="K165" s="68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 ht="15.75" customHeight="1">
      <c r="A166" s="32"/>
      <c r="B166" s="65"/>
      <c r="C166" s="65"/>
      <c r="D166" s="32"/>
      <c r="E166" s="32"/>
      <c r="F166" s="32"/>
      <c r="G166" s="65"/>
      <c r="H166" s="67"/>
      <c r="I166" s="118"/>
      <c r="J166" s="32"/>
      <c r="K166" s="68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 ht="15.75" customHeight="1">
      <c r="A167" s="32"/>
      <c r="B167" s="65"/>
      <c r="C167" s="65"/>
      <c r="D167" s="32"/>
      <c r="E167" s="32"/>
      <c r="F167" s="32"/>
      <c r="G167" s="65"/>
      <c r="H167" s="67"/>
      <c r="I167" s="118"/>
      <c r="J167" s="32"/>
      <c r="K167" s="68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 ht="15.75" customHeight="1">
      <c r="A168" s="32"/>
      <c r="B168" s="65"/>
      <c r="C168" s="65"/>
      <c r="D168" s="32"/>
      <c r="E168" s="32"/>
      <c r="F168" s="32"/>
      <c r="G168" s="65"/>
      <c r="H168" s="67"/>
      <c r="I168" s="118"/>
      <c r="J168" s="32"/>
      <c r="K168" s="68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 ht="15.75" customHeight="1">
      <c r="A169" s="32"/>
      <c r="B169" s="65"/>
      <c r="C169" s="65"/>
      <c r="D169" s="32"/>
      <c r="E169" s="32"/>
      <c r="F169" s="32"/>
      <c r="G169" s="65"/>
      <c r="H169" s="67"/>
      <c r="I169" s="118"/>
      <c r="J169" s="32"/>
      <c r="K169" s="68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 ht="15.75" customHeight="1">
      <c r="A170" s="32"/>
      <c r="B170" s="65"/>
      <c r="C170" s="65"/>
      <c r="D170" s="32"/>
      <c r="E170" s="32"/>
      <c r="F170" s="32"/>
      <c r="G170" s="65"/>
      <c r="H170" s="67"/>
      <c r="I170" s="118"/>
      <c r="J170" s="32"/>
      <c r="K170" s="68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 ht="15.75" customHeight="1">
      <c r="A171" s="32"/>
      <c r="B171" s="65"/>
      <c r="C171" s="65"/>
      <c r="D171" s="32"/>
      <c r="E171" s="32"/>
      <c r="F171" s="32"/>
      <c r="G171" s="65"/>
      <c r="H171" s="67"/>
      <c r="I171" s="118"/>
      <c r="J171" s="32"/>
      <c r="K171" s="68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ht="15.75" customHeight="1">
      <c r="A172" s="32"/>
      <c r="B172" s="65"/>
      <c r="C172" s="65"/>
      <c r="D172" s="32"/>
      <c r="E172" s="32"/>
      <c r="F172" s="32"/>
      <c r="G172" s="65"/>
      <c r="H172" s="67"/>
      <c r="I172" s="118"/>
      <c r="J172" s="32"/>
      <c r="K172" s="68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 ht="15.75" customHeight="1">
      <c r="A173" s="32"/>
      <c r="B173" s="65"/>
      <c r="C173" s="65"/>
      <c r="D173" s="32"/>
      <c r="E173" s="32"/>
      <c r="F173" s="32"/>
      <c r="G173" s="65"/>
      <c r="H173" s="67"/>
      <c r="I173" s="118"/>
      <c r="J173" s="32"/>
      <c r="K173" s="68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ht="15.75" customHeight="1">
      <c r="A174" s="32"/>
      <c r="B174" s="65"/>
      <c r="C174" s="65"/>
      <c r="D174" s="32"/>
      <c r="E174" s="32"/>
      <c r="F174" s="32"/>
      <c r="G174" s="65"/>
      <c r="H174" s="67"/>
      <c r="I174" s="118"/>
      <c r="J174" s="32"/>
      <c r="K174" s="68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ht="15.75" customHeight="1">
      <c r="A175" s="32"/>
      <c r="B175" s="65"/>
      <c r="C175" s="65"/>
      <c r="D175" s="32"/>
      <c r="E175" s="32"/>
      <c r="F175" s="32"/>
      <c r="G175" s="65"/>
      <c r="H175" s="67"/>
      <c r="I175" s="118"/>
      <c r="J175" s="32"/>
      <c r="K175" s="68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 ht="15.75" customHeight="1">
      <c r="A176" s="32"/>
      <c r="B176" s="65"/>
      <c r="C176" s="65"/>
      <c r="D176" s="32"/>
      <c r="E176" s="32"/>
      <c r="F176" s="32"/>
      <c r="G176" s="65"/>
      <c r="H176" s="67"/>
      <c r="I176" s="118"/>
      <c r="J176" s="32"/>
      <c r="K176" s="68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 ht="15.75" customHeight="1">
      <c r="A177" s="32"/>
      <c r="B177" s="65"/>
      <c r="C177" s="65"/>
      <c r="D177" s="32"/>
      <c r="E177" s="32"/>
      <c r="F177" s="32"/>
      <c r="G177" s="65"/>
      <c r="H177" s="67"/>
      <c r="I177" s="118"/>
      <c r="J177" s="32"/>
      <c r="K177" s="68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ht="15.75" customHeight="1">
      <c r="A178" s="32"/>
      <c r="B178" s="65"/>
      <c r="C178" s="65"/>
      <c r="D178" s="32"/>
      <c r="E178" s="32"/>
      <c r="F178" s="32"/>
      <c r="G178" s="65"/>
      <c r="H178" s="67"/>
      <c r="I178" s="118"/>
      <c r="J178" s="32"/>
      <c r="K178" s="68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 ht="15.75" customHeight="1">
      <c r="A179" s="32"/>
      <c r="B179" s="65"/>
      <c r="C179" s="65"/>
      <c r="D179" s="32"/>
      <c r="E179" s="32"/>
      <c r="F179" s="32"/>
      <c r="G179" s="65"/>
      <c r="H179" s="67"/>
      <c r="I179" s="118"/>
      <c r="J179" s="32"/>
      <c r="K179" s="68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 ht="15.75" customHeight="1">
      <c r="A180" s="32"/>
      <c r="B180" s="65"/>
      <c r="C180" s="65"/>
      <c r="D180" s="32"/>
      <c r="E180" s="32"/>
      <c r="F180" s="32"/>
      <c r="G180" s="65"/>
      <c r="H180" s="67"/>
      <c r="I180" s="118"/>
      <c r="J180" s="32"/>
      <c r="K180" s="68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 ht="15.75" customHeight="1">
      <c r="A181" s="32"/>
      <c r="B181" s="65"/>
      <c r="C181" s="65"/>
      <c r="D181" s="32"/>
      <c r="E181" s="32"/>
      <c r="F181" s="32"/>
      <c r="G181" s="65"/>
      <c r="H181" s="67"/>
      <c r="I181" s="118"/>
      <c r="J181" s="32"/>
      <c r="K181" s="68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 ht="15.75" customHeight="1">
      <c r="A182" s="32"/>
      <c r="B182" s="65"/>
      <c r="C182" s="65"/>
      <c r="D182" s="32"/>
      <c r="E182" s="32"/>
      <c r="F182" s="32"/>
      <c r="G182" s="65"/>
      <c r="H182" s="67"/>
      <c r="I182" s="118"/>
      <c r="J182" s="32"/>
      <c r="K182" s="68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ht="15.75" customHeight="1">
      <c r="A183" s="32"/>
      <c r="B183" s="65"/>
      <c r="C183" s="65"/>
      <c r="D183" s="32"/>
      <c r="E183" s="32"/>
      <c r="F183" s="32"/>
      <c r="G183" s="65"/>
      <c r="H183" s="67"/>
      <c r="I183" s="118"/>
      <c r="J183" s="32"/>
      <c r="K183" s="68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 ht="15.75" customHeight="1">
      <c r="A184" s="32"/>
      <c r="B184" s="65"/>
      <c r="C184" s="65"/>
      <c r="D184" s="32"/>
      <c r="E184" s="32"/>
      <c r="F184" s="32"/>
      <c r="G184" s="65"/>
      <c r="H184" s="67"/>
      <c r="I184" s="118"/>
      <c r="J184" s="32"/>
      <c r="K184" s="68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 ht="15.75" customHeight="1">
      <c r="A185" s="32"/>
      <c r="B185" s="65"/>
      <c r="C185" s="65"/>
      <c r="D185" s="32"/>
      <c r="E185" s="32"/>
      <c r="F185" s="32"/>
      <c r="G185" s="65"/>
      <c r="H185" s="67"/>
      <c r="I185" s="118"/>
      <c r="J185" s="32"/>
      <c r="K185" s="68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 ht="15.75" customHeight="1">
      <c r="A186" s="32"/>
      <c r="B186" s="65"/>
      <c r="C186" s="65"/>
      <c r="D186" s="32"/>
      <c r="E186" s="32"/>
      <c r="F186" s="32"/>
      <c r="G186" s="65"/>
      <c r="H186" s="67"/>
      <c r="I186" s="118"/>
      <c r="J186" s="32"/>
      <c r="K186" s="68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 ht="15.75" customHeight="1">
      <c r="A187" s="32"/>
      <c r="B187" s="65"/>
      <c r="C187" s="65"/>
      <c r="D187" s="32"/>
      <c r="E187" s="32"/>
      <c r="F187" s="32"/>
      <c r="G187" s="65"/>
      <c r="H187" s="67"/>
      <c r="I187" s="118"/>
      <c r="J187" s="32"/>
      <c r="K187" s="68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 ht="15.75" customHeight="1">
      <c r="A188" s="32"/>
      <c r="B188" s="65"/>
      <c r="C188" s="65"/>
      <c r="D188" s="32"/>
      <c r="E188" s="32"/>
      <c r="F188" s="32"/>
      <c r="G188" s="65"/>
      <c r="H188" s="67"/>
      <c r="I188" s="118"/>
      <c r="J188" s="32"/>
      <c r="K188" s="68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 ht="15.75" customHeight="1">
      <c r="A189" s="32"/>
      <c r="B189" s="65"/>
      <c r="C189" s="65"/>
      <c r="D189" s="32"/>
      <c r="E189" s="32"/>
      <c r="F189" s="32"/>
      <c r="G189" s="65"/>
      <c r="H189" s="67"/>
      <c r="I189" s="118"/>
      <c r="J189" s="32"/>
      <c r="K189" s="68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 ht="15.75" customHeight="1">
      <c r="A190" s="32"/>
      <c r="B190" s="65"/>
      <c r="C190" s="65"/>
      <c r="D190" s="32"/>
      <c r="E190" s="32"/>
      <c r="F190" s="32"/>
      <c r="G190" s="65"/>
      <c r="H190" s="67"/>
      <c r="I190" s="118"/>
      <c r="J190" s="32"/>
      <c r="K190" s="68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 ht="15.75" customHeight="1">
      <c r="A191" s="32"/>
      <c r="B191" s="65"/>
      <c r="C191" s="65"/>
      <c r="D191" s="32"/>
      <c r="E191" s="32"/>
      <c r="F191" s="32"/>
      <c r="G191" s="65"/>
      <c r="H191" s="67"/>
      <c r="I191" s="118"/>
      <c r="J191" s="32"/>
      <c r="K191" s="68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 ht="15.75" customHeight="1">
      <c r="A192" s="32"/>
      <c r="B192" s="65"/>
      <c r="C192" s="65"/>
      <c r="D192" s="32"/>
      <c r="E192" s="32"/>
      <c r="F192" s="32"/>
      <c r="G192" s="65"/>
      <c r="H192" s="67"/>
      <c r="I192" s="118"/>
      <c r="J192" s="32"/>
      <c r="K192" s="68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 ht="15.75" customHeight="1">
      <c r="A193" s="32"/>
      <c r="B193" s="65"/>
      <c r="C193" s="65"/>
      <c r="D193" s="32"/>
      <c r="E193" s="32"/>
      <c r="F193" s="32"/>
      <c r="G193" s="65"/>
      <c r="H193" s="67"/>
      <c r="I193" s="118"/>
      <c r="J193" s="32"/>
      <c r="K193" s="68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 ht="15.75" customHeight="1">
      <c r="A194" s="32"/>
      <c r="B194" s="65"/>
      <c r="C194" s="65"/>
      <c r="D194" s="32"/>
      <c r="E194" s="32"/>
      <c r="F194" s="32"/>
      <c r="G194" s="65"/>
      <c r="H194" s="67"/>
      <c r="I194" s="118"/>
      <c r="J194" s="32"/>
      <c r="K194" s="68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 ht="15.75" customHeight="1">
      <c r="A195" s="32"/>
      <c r="B195" s="65"/>
      <c r="C195" s="65"/>
      <c r="D195" s="32"/>
      <c r="E195" s="32"/>
      <c r="F195" s="32"/>
      <c r="G195" s="65"/>
      <c r="H195" s="67"/>
      <c r="I195" s="118"/>
      <c r="J195" s="32"/>
      <c r="K195" s="68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 ht="15.75" customHeight="1">
      <c r="A196" s="32"/>
      <c r="B196" s="65"/>
      <c r="C196" s="65"/>
      <c r="D196" s="32"/>
      <c r="E196" s="32"/>
      <c r="F196" s="32"/>
      <c r="G196" s="65"/>
      <c r="H196" s="67"/>
      <c r="I196" s="118"/>
      <c r="J196" s="32"/>
      <c r="K196" s="68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ht="15.75" customHeight="1">
      <c r="A197" s="32"/>
      <c r="B197" s="65"/>
      <c r="C197" s="65"/>
      <c r="D197" s="32"/>
      <c r="E197" s="32"/>
      <c r="F197" s="32"/>
      <c r="G197" s="65"/>
      <c r="H197" s="67"/>
      <c r="I197" s="118"/>
      <c r="J197" s="32"/>
      <c r="K197" s="68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ht="15.75" customHeight="1">
      <c r="A198" s="32"/>
      <c r="B198" s="65"/>
      <c r="C198" s="65"/>
      <c r="D198" s="32"/>
      <c r="E198" s="32"/>
      <c r="F198" s="32"/>
      <c r="G198" s="65"/>
      <c r="H198" s="67"/>
      <c r="I198" s="118"/>
      <c r="J198" s="32"/>
      <c r="K198" s="68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ht="15.75" customHeight="1">
      <c r="A199" s="32"/>
      <c r="B199" s="65"/>
      <c r="C199" s="65"/>
      <c r="D199" s="32"/>
      <c r="E199" s="32"/>
      <c r="F199" s="32"/>
      <c r="G199" s="65"/>
      <c r="H199" s="67"/>
      <c r="I199" s="118"/>
      <c r="J199" s="32"/>
      <c r="K199" s="68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 ht="15.75" customHeight="1">
      <c r="A200" s="32"/>
      <c r="B200" s="65"/>
      <c r="C200" s="65"/>
      <c r="D200" s="32"/>
      <c r="E200" s="32"/>
      <c r="F200" s="32"/>
      <c r="G200" s="65"/>
      <c r="H200" s="67"/>
      <c r="I200" s="118"/>
      <c r="J200" s="32"/>
      <c r="K200" s="68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 ht="15.75" customHeight="1">
      <c r="A201" s="32"/>
      <c r="B201" s="65"/>
      <c r="C201" s="65"/>
      <c r="D201" s="32"/>
      <c r="E201" s="32"/>
      <c r="F201" s="32"/>
      <c r="G201" s="65"/>
      <c r="H201" s="67"/>
      <c r="I201" s="118"/>
      <c r="J201" s="32"/>
      <c r="K201" s="68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 ht="15.75" customHeight="1">
      <c r="A202" s="32"/>
      <c r="B202" s="65"/>
      <c r="C202" s="65"/>
      <c r="D202" s="32"/>
      <c r="E202" s="32"/>
      <c r="F202" s="32"/>
      <c r="G202" s="65"/>
      <c r="H202" s="67"/>
      <c r="I202" s="118"/>
      <c r="J202" s="32"/>
      <c r="K202" s="68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 ht="15.75" customHeight="1">
      <c r="A203" s="32"/>
      <c r="B203" s="65"/>
      <c r="C203" s="65"/>
      <c r="D203" s="32"/>
      <c r="E203" s="32"/>
      <c r="F203" s="32"/>
      <c r="G203" s="65"/>
      <c r="H203" s="67"/>
      <c r="I203" s="118"/>
      <c r="J203" s="32"/>
      <c r="K203" s="68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 ht="15.75" customHeight="1">
      <c r="A204" s="32"/>
      <c r="B204" s="65"/>
      <c r="C204" s="65"/>
      <c r="D204" s="32"/>
      <c r="E204" s="32"/>
      <c r="F204" s="32"/>
      <c r="G204" s="65"/>
      <c r="H204" s="67"/>
      <c r="I204" s="118"/>
      <c r="J204" s="32"/>
      <c r="K204" s="68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ht="15.75" customHeight="1">
      <c r="A205" s="32"/>
      <c r="B205" s="65"/>
      <c r="C205" s="65"/>
      <c r="D205" s="32"/>
      <c r="E205" s="32"/>
      <c r="F205" s="32"/>
      <c r="G205" s="65"/>
      <c r="H205" s="67"/>
      <c r="I205" s="118"/>
      <c r="J205" s="32"/>
      <c r="K205" s="68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ht="15.75" customHeight="1">
      <c r="A206" s="32"/>
      <c r="B206" s="65"/>
      <c r="C206" s="65"/>
      <c r="D206" s="32"/>
      <c r="E206" s="32"/>
      <c r="F206" s="32"/>
      <c r="G206" s="65"/>
      <c r="H206" s="67"/>
      <c r="I206" s="118"/>
      <c r="J206" s="32"/>
      <c r="K206" s="68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 ht="15.75" customHeight="1">
      <c r="A207" s="32"/>
      <c r="B207" s="65"/>
      <c r="C207" s="65"/>
      <c r="D207" s="32"/>
      <c r="E207" s="32"/>
      <c r="F207" s="32"/>
      <c r="G207" s="65"/>
      <c r="H207" s="67"/>
      <c r="I207" s="118"/>
      <c r="J207" s="32"/>
      <c r="K207" s="68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 ht="15.75" customHeight="1">
      <c r="A208" s="32"/>
      <c r="B208" s="65"/>
      <c r="C208" s="65"/>
      <c r="D208" s="32"/>
      <c r="E208" s="32"/>
      <c r="F208" s="32"/>
      <c r="G208" s="65"/>
      <c r="H208" s="67"/>
      <c r="I208" s="118"/>
      <c r="J208" s="32"/>
      <c r="K208" s="68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 ht="15.75" customHeight="1">
      <c r="A209" s="32"/>
      <c r="B209" s="65"/>
      <c r="C209" s="65"/>
      <c r="D209" s="32"/>
      <c r="E209" s="32"/>
      <c r="F209" s="32"/>
      <c r="G209" s="65"/>
      <c r="H209" s="67"/>
      <c r="I209" s="118"/>
      <c r="J209" s="32"/>
      <c r="K209" s="68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 ht="15.75" customHeight="1">
      <c r="A210" s="32"/>
      <c r="B210" s="65"/>
      <c r="C210" s="65"/>
      <c r="D210" s="32"/>
      <c r="E210" s="32"/>
      <c r="F210" s="32"/>
      <c r="G210" s="65"/>
      <c r="H210" s="67"/>
      <c r="I210" s="118"/>
      <c r="J210" s="32"/>
      <c r="K210" s="68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 ht="15.75" customHeight="1">
      <c r="A211" s="32"/>
      <c r="B211" s="65"/>
      <c r="C211" s="65"/>
      <c r="D211" s="32"/>
      <c r="E211" s="32"/>
      <c r="F211" s="32"/>
      <c r="G211" s="65"/>
      <c r="H211" s="67"/>
      <c r="I211" s="118"/>
      <c r="J211" s="32"/>
      <c r="K211" s="68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ht="15.75" customHeight="1">
      <c r="A212" s="32"/>
      <c r="B212" s="65"/>
      <c r="C212" s="65"/>
      <c r="D212" s="32"/>
      <c r="E212" s="32"/>
      <c r="F212" s="32"/>
      <c r="G212" s="65"/>
      <c r="H212" s="67"/>
      <c r="I212" s="118"/>
      <c r="J212" s="32"/>
      <c r="K212" s="68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 ht="15.75" customHeight="1">
      <c r="A213" s="32"/>
      <c r="B213" s="65"/>
      <c r="C213" s="65"/>
      <c r="D213" s="32"/>
      <c r="E213" s="32"/>
      <c r="F213" s="32"/>
      <c r="G213" s="65"/>
      <c r="H213" s="67"/>
      <c r="I213" s="118"/>
      <c r="J213" s="32"/>
      <c r="K213" s="68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 ht="15.75" customHeight="1">
      <c r="A214" s="32"/>
      <c r="B214" s="65"/>
      <c r="C214" s="65"/>
      <c r="D214" s="32"/>
      <c r="E214" s="32"/>
      <c r="F214" s="32"/>
      <c r="G214" s="65"/>
      <c r="H214" s="67"/>
      <c r="I214" s="118"/>
      <c r="J214" s="32"/>
      <c r="K214" s="68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 ht="15.75" customHeight="1">
      <c r="A215" s="32"/>
      <c r="B215" s="65"/>
      <c r="C215" s="65"/>
      <c r="D215" s="32"/>
      <c r="E215" s="32"/>
      <c r="F215" s="32"/>
      <c r="G215" s="65"/>
      <c r="H215" s="67"/>
      <c r="I215" s="118"/>
      <c r="J215" s="32"/>
      <c r="K215" s="68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 ht="15.75" customHeight="1">
      <c r="A216" s="32"/>
      <c r="B216" s="65"/>
      <c r="C216" s="65"/>
      <c r="D216" s="32"/>
      <c r="E216" s="32"/>
      <c r="F216" s="32"/>
      <c r="G216" s="65"/>
      <c r="H216" s="67"/>
      <c r="I216" s="118"/>
      <c r="J216" s="32"/>
      <c r="K216" s="68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 ht="15.75" customHeight="1">
      <c r="A217" s="32"/>
      <c r="B217" s="65"/>
      <c r="C217" s="65"/>
      <c r="D217" s="32"/>
      <c r="E217" s="32"/>
      <c r="F217" s="32"/>
      <c r="G217" s="65"/>
      <c r="H217" s="67"/>
      <c r="I217" s="118"/>
      <c r="J217" s="32"/>
      <c r="K217" s="68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 ht="15.75" customHeight="1">
      <c r="A218" s="32"/>
      <c r="B218" s="65"/>
      <c r="C218" s="65"/>
      <c r="D218" s="32"/>
      <c r="E218" s="32"/>
      <c r="F218" s="32"/>
      <c r="G218" s="65"/>
      <c r="H218" s="67"/>
      <c r="I218" s="118"/>
      <c r="J218" s="32"/>
      <c r="K218" s="68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 ht="15.75" customHeight="1">
      <c r="A219" s="32"/>
      <c r="B219" s="65"/>
      <c r="C219" s="65"/>
      <c r="D219" s="32"/>
      <c r="E219" s="32"/>
      <c r="F219" s="32"/>
      <c r="G219" s="65"/>
      <c r="H219" s="67"/>
      <c r="I219" s="118"/>
      <c r="J219" s="32"/>
      <c r="K219" s="68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ht="15.75" customHeight="1">
      <c r="A220" s="32"/>
      <c r="B220" s="65"/>
      <c r="C220" s="65"/>
      <c r="D220" s="32"/>
      <c r="E220" s="32"/>
      <c r="F220" s="32"/>
      <c r="G220" s="65"/>
      <c r="H220" s="67"/>
      <c r="I220" s="118"/>
      <c r="J220" s="32"/>
      <c r="K220" s="68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ht="15.75" customHeight="1">
      <c r="A221" s="32"/>
      <c r="B221" s="65"/>
      <c r="C221" s="65"/>
      <c r="D221" s="32"/>
      <c r="E221" s="32"/>
      <c r="F221" s="32"/>
      <c r="G221" s="65"/>
      <c r="H221" s="67"/>
      <c r="I221" s="118"/>
      <c r="J221" s="32"/>
      <c r="K221" s="68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ht="15.75" customHeight="1">
      <c r="A222" s="32"/>
      <c r="B222" s="65"/>
      <c r="C222" s="65"/>
      <c r="D222" s="32"/>
      <c r="E222" s="32"/>
      <c r="F222" s="32"/>
      <c r="G222" s="65"/>
      <c r="H222" s="67"/>
      <c r="I222" s="118"/>
      <c r="J222" s="32"/>
      <c r="K222" s="68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ht="15.75" customHeight="1">
      <c r="A223" s="32"/>
      <c r="B223" s="65"/>
      <c r="C223" s="65"/>
      <c r="D223" s="32"/>
      <c r="E223" s="32"/>
      <c r="F223" s="32"/>
      <c r="G223" s="65"/>
      <c r="H223" s="67"/>
      <c r="I223" s="118"/>
      <c r="J223" s="32"/>
      <c r="K223" s="68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ht="15.75" customHeight="1">
      <c r="A224" s="32"/>
      <c r="B224" s="65"/>
      <c r="C224" s="65"/>
      <c r="D224" s="32"/>
      <c r="E224" s="32"/>
      <c r="F224" s="32"/>
      <c r="G224" s="65"/>
      <c r="H224" s="67"/>
      <c r="I224" s="118"/>
      <c r="J224" s="32"/>
      <c r="K224" s="68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ht="15.75" customHeight="1">
      <c r="A225" s="32"/>
      <c r="B225" s="65"/>
      <c r="C225" s="65"/>
      <c r="D225" s="32"/>
      <c r="E225" s="32"/>
      <c r="F225" s="32"/>
      <c r="G225" s="65"/>
      <c r="H225" s="67"/>
      <c r="I225" s="118"/>
      <c r="J225" s="32"/>
      <c r="K225" s="68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ht="15.75" customHeight="1">
      <c r="A226" s="32"/>
      <c r="B226" s="65"/>
      <c r="C226" s="65"/>
      <c r="D226" s="32"/>
      <c r="E226" s="32"/>
      <c r="F226" s="32"/>
      <c r="G226" s="65"/>
      <c r="H226" s="67"/>
      <c r="I226" s="118"/>
      <c r="J226" s="32"/>
      <c r="K226" s="68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ht="15.75" customHeight="1">
      <c r="A227" s="32"/>
      <c r="B227" s="65"/>
      <c r="C227" s="65"/>
      <c r="D227" s="32"/>
      <c r="E227" s="32"/>
      <c r="F227" s="32"/>
      <c r="G227" s="65"/>
      <c r="H227" s="67"/>
      <c r="I227" s="118"/>
      <c r="J227" s="32"/>
      <c r="K227" s="68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ht="15.75" customHeight="1">
      <c r="A228" s="32"/>
      <c r="B228" s="65"/>
      <c r="C228" s="65"/>
      <c r="D228" s="32"/>
      <c r="E228" s="32"/>
      <c r="F228" s="32"/>
      <c r="G228" s="65"/>
      <c r="H228" s="67"/>
      <c r="I228" s="118"/>
      <c r="J228" s="32"/>
      <c r="K228" s="68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ht="15.75" customHeight="1">
      <c r="A229" s="32"/>
      <c r="B229" s="65"/>
      <c r="C229" s="65"/>
      <c r="D229" s="32"/>
      <c r="E229" s="32"/>
      <c r="F229" s="32"/>
      <c r="G229" s="65"/>
      <c r="H229" s="67"/>
      <c r="I229" s="118"/>
      <c r="J229" s="32"/>
      <c r="K229" s="68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ht="15.75" customHeight="1">
      <c r="A230" s="32"/>
      <c r="B230" s="65"/>
      <c r="C230" s="65"/>
      <c r="D230" s="32"/>
      <c r="E230" s="32"/>
      <c r="F230" s="32"/>
      <c r="G230" s="65"/>
      <c r="H230" s="67"/>
      <c r="I230" s="118"/>
      <c r="J230" s="32"/>
      <c r="K230" s="68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ht="15.75" customHeight="1">
      <c r="A231" s="32"/>
      <c r="B231" s="65"/>
      <c r="C231" s="65"/>
      <c r="D231" s="32"/>
      <c r="E231" s="32"/>
      <c r="F231" s="32"/>
      <c r="G231" s="65"/>
      <c r="H231" s="67"/>
      <c r="I231" s="118"/>
      <c r="J231" s="32"/>
      <c r="K231" s="68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ht="15.75" customHeight="1">
      <c r="A232" s="32"/>
      <c r="B232" s="65"/>
      <c r="C232" s="65"/>
      <c r="D232" s="32"/>
      <c r="E232" s="32"/>
      <c r="F232" s="32"/>
      <c r="G232" s="65"/>
      <c r="H232" s="67"/>
      <c r="I232" s="118"/>
      <c r="J232" s="32"/>
      <c r="K232" s="68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 ht="15.75" customHeight="1">
      <c r="A233" s="32"/>
      <c r="B233" s="65"/>
      <c r="C233" s="65"/>
      <c r="D233" s="32"/>
      <c r="E233" s="32"/>
      <c r="F233" s="32"/>
      <c r="G233" s="65"/>
      <c r="H233" s="67"/>
      <c r="I233" s="118"/>
      <c r="J233" s="32"/>
      <c r="K233" s="68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 ht="15.75" customHeight="1">
      <c r="A234" s="32"/>
      <c r="B234" s="65"/>
      <c r="C234" s="65"/>
      <c r="D234" s="32"/>
      <c r="E234" s="32"/>
      <c r="F234" s="32"/>
      <c r="G234" s="65"/>
      <c r="H234" s="67"/>
      <c r="I234" s="118"/>
      <c r="J234" s="32"/>
      <c r="K234" s="68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 ht="15.75" customHeight="1">
      <c r="A235" s="32"/>
      <c r="B235" s="65"/>
      <c r="C235" s="65"/>
      <c r="D235" s="32"/>
      <c r="E235" s="32"/>
      <c r="F235" s="32"/>
      <c r="G235" s="65"/>
      <c r="H235" s="67"/>
      <c r="I235" s="118"/>
      <c r="J235" s="32"/>
      <c r="K235" s="68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 ht="15.75" customHeight="1">
      <c r="A236" s="32"/>
      <c r="B236" s="65"/>
      <c r="C236" s="65"/>
      <c r="D236" s="32"/>
      <c r="E236" s="32"/>
      <c r="F236" s="32"/>
      <c r="G236" s="65"/>
      <c r="H236" s="67"/>
      <c r="I236" s="118"/>
      <c r="J236" s="32"/>
      <c r="K236" s="68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 ht="15.75" customHeight="1">
      <c r="A237" s="32"/>
      <c r="B237" s="65"/>
      <c r="C237" s="65"/>
      <c r="D237" s="32"/>
      <c r="E237" s="32"/>
      <c r="F237" s="32"/>
      <c r="G237" s="65"/>
      <c r="H237" s="67"/>
      <c r="I237" s="118"/>
      <c r="J237" s="32"/>
      <c r="K237" s="68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 ht="15.75" customHeight="1">
      <c r="A238" s="32"/>
      <c r="B238" s="65"/>
      <c r="C238" s="65"/>
      <c r="D238" s="32"/>
      <c r="E238" s="32"/>
      <c r="F238" s="32"/>
      <c r="G238" s="65"/>
      <c r="H238" s="67"/>
      <c r="I238" s="118"/>
      <c r="J238" s="32"/>
      <c r="K238" s="68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ht="15.75" customHeight="1">
      <c r="A239" s="32"/>
      <c r="B239" s="65"/>
      <c r="C239" s="65"/>
      <c r="D239" s="32"/>
      <c r="E239" s="32"/>
      <c r="F239" s="32"/>
      <c r="G239" s="65"/>
      <c r="H239" s="67"/>
      <c r="I239" s="118"/>
      <c r="J239" s="32"/>
      <c r="K239" s="68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 ht="15.75" customHeight="1">
      <c r="A240" s="32"/>
      <c r="B240" s="65"/>
      <c r="C240" s="65"/>
      <c r="D240" s="32"/>
      <c r="E240" s="32"/>
      <c r="F240" s="32"/>
      <c r="G240" s="65"/>
      <c r="H240" s="67"/>
      <c r="I240" s="118"/>
      <c r="J240" s="32"/>
      <c r="K240" s="68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 ht="15.75" customHeight="1">
      <c r="A241" s="32"/>
      <c r="B241" s="65"/>
      <c r="C241" s="65"/>
      <c r="D241" s="32"/>
      <c r="E241" s="32"/>
      <c r="F241" s="32"/>
      <c r="G241" s="65"/>
      <c r="H241" s="67"/>
      <c r="I241" s="118"/>
      <c r="J241" s="32"/>
      <c r="K241" s="68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 ht="15.75" customHeight="1">
      <c r="A242" s="32"/>
      <c r="B242" s="65"/>
      <c r="C242" s="65"/>
      <c r="D242" s="32"/>
      <c r="E242" s="32"/>
      <c r="F242" s="32"/>
      <c r="G242" s="65"/>
      <c r="H242" s="67"/>
      <c r="I242" s="118"/>
      <c r="J242" s="32"/>
      <c r="K242" s="68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 ht="15.75" customHeight="1">
      <c r="A243" s="32"/>
      <c r="B243" s="65"/>
      <c r="C243" s="65"/>
      <c r="D243" s="32"/>
      <c r="E243" s="32"/>
      <c r="F243" s="32"/>
      <c r="G243" s="65"/>
      <c r="H243" s="67"/>
      <c r="I243" s="118"/>
      <c r="J243" s="32"/>
      <c r="K243" s="68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 ht="15.75" customHeight="1">
      <c r="A244" s="32"/>
      <c r="B244" s="65"/>
      <c r="C244" s="65"/>
      <c r="D244" s="32"/>
      <c r="E244" s="32"/>
      <c r="F244" s="32"/>
      <c r="G244" s="65"/>
      <c r="H244" s="67"/>
      <c r="I244" s="118"/>
      <c r="J244" s="32"/>
      <c r="K244" s="68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 ht="15.75" customHeight="1">
      <c r="A245" s="32"/>
      <c r="B245" s="65"/>
      <c r="C245" s="65"/>
      <c r="D245" s="32"/>
      <c r="E245" s="32"/>
      <c r="F245" s="32"/>
      <c r="G245" s="65"/>
      <c r="H245" s="67"/>
      <c r="I245" s="118"/>
      <c r="J245" s="32"/>
      <c r="K245" s="68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 ht="15.75" customHeight="1">
      <c r="A246" s="32"/>
      <c r="B246" s="65"/>
      <c r="C246" s="65"/>
      <c r="D246" s="32"/>
      <c r="E246" s="32"/>
      <c r="F246" s="32"/>
      <c r="G246" s="65"/>
      <c r="H246" s="67"/>
      <c r="I246" s="118"/>
      <c r="J246" s="32"/>
      <c r="K246" s="68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 ht="15.75" customHeight="1">
      <c r="A247" s="32"/>
      <c r="B247" s="65"/>
      <c r="C247" s="65"/>
      <c r="D247" s="32"/>
      <c r="E247" s="32"/>
      <c r="F247" s="32"/>
      <c r="G247" s="65"/>
      <c r="H247" s="67"/>
      <c r="I247" s="118"/>
      <c r="J247" s="32"/>
      <c r="K247" s="68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 ht="15.75" customHeight="1">
      <c r="A248" s="32"/>
      <c r="B248" s="65"/>
      <c r="C248" s="65"/>
      <c r="D248" s="32"/>
      <c r="E248" s="32"/>
      <c r="F248" s="32"/>
      <c r="G248" s="65"/>
      <c r="H248" s="67"/>
      <c r="I248" s="118"/>
      <c r="J248" s="32"/>
      <c r="K248" s="68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 ht="15.75" customHeight="1">
      <c r="A249" s="32"/>
      <c r="B249" s="65"/>
      <c r="C249" s="65"/>
      <c r="D249" s="32"/>
      <c r="E249" s="32"/>
      <c r="F249" s="32"/>
      <c r="G249" s="65"/>
      <c r="H249" s="67"/>
      <c r="I249" s="118"/>
      <c r="J249" s="32"/>
      <c r="K249" s="68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 ht="15.75" customHeight="1">
      <c r="A250" s="32"/>
      <c r="B250" s="65"/>
      <c r="C250" s="65"/>
      <c r="D250" s="32"/>
      <c r="E250" s="32"/>
      <c r="F250" s="32"/>
      <c r="G250" s="65"/>
      <c r="H250" s="67"/>
      <c r="I250" s="118"/>
      <c r="J250" s="32"/>
      <c r="K250" s="68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 ht="15.75" customHeight="1">
      <c r="A251" s="32"/>
      <c r="B251" s="65"/>
      <c r="C251" s="65"/>
      <c r="D251" s="32"/>
      <c r="E251" s="32"/>
      <c r="F251" s="32"/>
      <c r="G251" s="65"/>
      <c r="H251" s="67"/>
      <c r="I251" s="118"/>
      <c r="J251" s="32"/>
      <c r="K251" s="68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ht="15.75" customHeight="1">
      <c r="A252" s="32"/>
      <c r="B252" s="65"/>
      <c r="C252" s="65"/>
      <c r="D252" s="32"/>
      <c r="E252" s="32"/>
      <c r="F252" s="32"/>
      <c r="G252" s="65"/>
      <c r="H252" s="67"/>
      <c r="I252" s="118"/>
      <c r="J252" s="32"/>
      <c r="K252" s="68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ht="15.75" customHeight="1">
      <c r="A253" s="32"/>
      <c r="B253" s="65"/>
      <c r="C253" s="65"/>
      <c r="D253" s="32"/>
      <c r="E253" s="32"/>
      <c r="F253" s="32"/>
      <c r="G253" s="65"/>
      <c r="H253" s="67"/>
      <c r="I253" s="118"/>
      <c r="J253" s="32"/>
      <c r="K253" s="68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ht="15.75" customHeight="1">
      <c r="A254" s="32"/>
      <c r="B254" s="65"/>
      <c r="C254" s="65"/>
      <c r="D254" s="32"/>
      <c r="E254" s="32"/>
      <c r="F254" s="32"/>
      <c r="G254" s="65"/>
      <c r="H254" s="67"/>
      <c r="I254" s="118"/>
      <c r="J254" s="32"/>
      <c r="K254" s="68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 ht="15.75" customHeight="1">
      <c r="A255" s="32"/>
      <c r="B255" s="65"/>
      <c r="C255" s="65"/>
      <c r="D255" s="32"/>
      <c r="E255" s="32"/>
      <c r="F255" s="32"/>
      <c r="G255" s="65"/>
      <c r="H255" s="67"/>
      <c r="I255" s="118"/>
      <c r="J255" s="32"/>
      <c r="K255" s="68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 ht="15.75" customHeight="1">
      <c r="A256" s="32"/>
      <c r="B256" s="65"/>
      <c r="C256" s="65"/>
      <c r="D256" s="32"/>
      <c r="E256" s="32"/>
      <c r="F256" s="32"/>
      <c r="G256" s="65"/>
      <c r="H256" s="67"/>
      <c r="I256" s="118"/>
      <c r="J256" s="32"/>
      <c r="K256" s="68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 ht="15.75" customHeight="1">
      <c r="A257" s="32"/>
      <c r="B257" s="65"/>
      <c r="C257" s="65"/>
      <c r="D257" s="32"/>
      <c r="E257" s="32"/>
      <c r="F257" s="32"/>
      <c r="G257" s="65"/>
      <c r="H257" s="67"/>
      <c r="I257" s="118"/>
      <c r="J257" s="32"/>
      <c r="K257" s="68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 ht="15.75" customHeight="1">
      <c r="A258" s="32"/>
      <c r="B258" s="65"/>
      <c r="C258" s="65"/>
      <c r="D258" s="32"/>
      <c r="E258" s="32"/>
      <c r="F258" s="32"/>
      <c r="G258" s="65"/>
      <c r="H258" s="67"/>
      <c r="I258" s="118"/>
      <c r="J258" s="32"/>
      <c r="K258" s="68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 ht="15.75" customHeight="1">
      <c r="A259" s="32"/>
      <c r="B259" s="65"/>
      <c r="C259" s="65"/>
      <c r="D259" s="32"/>
      <c r="E259" s="32"/>
      <c r="F259" s="32"/>
      <c r="G259" s="65"/>
      <c r="H259" s="67"/>
      <c r="I259" s="118"/>
      <c r="J259" s="32"/>
      <c r="K259" s="68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 ht="15.75" customHeight="1">
      <c r="A260" s="32"/>
      <c r="B260" s="65"/>
      <c r="C260" s="65"/>
      <c r="D260" s="32"/>
      <c r="E260" s="32"/>
      <c r="F260" s="32"/>
      <c r="G260" s="65"/>
      <c r="H260" s="67"/>
      <c r="I260" s="118"/>
      <c r="J260" s="32"/>
      <c r="K260" s="68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 ht="15.75" customHeight="1">
      <c r="A261" s="32"/>
      <c r="B261" s="65"/>
      <c r="C261" s="65"/>
      <c r="D261" s="32"/>
      <c r="E261" s="32"/>
      <c r="F261" s="32"/>
      <c r="G261" s="65"/>
      <c r="H261" s="67"/>
      <c r="I261" s="118"/>
      <c r="J261" s="32"/>
      <c r="K261" s="68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 ht="15.75" customHeight="1">
      <c r="A262" s="32"/>
      <c r="B262" s="65"/>
      <c r="C262" s="65"/>
      <c r="D262" s="32"/>
      <c r="E262" s="32"/>
      <c r="F262" s="32"/>
      <c r="G262" s="65"/>
      <c r="H262" s="67"/>
      <c r="I262" s="118"/>
      <c r="J262" s="32"/>
      <c r="K262" s="68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 ht="15.75" customHeight="1">
      <c r="A263" s="32"/>
      <c r="B263" s="65"/>
      <c r="C263" s="65"/>
      <c r="D263" s="32"/>
      <c r="E263" s="32"/>
      <c r="F263" s="32"/>
      <c r="G263" s="65"/>
      <c r="H263" s="67"/>
      <c r="I263" s="118"/>
      <c r="J263" s="32"/>
      <c r="K263" s="68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 ht="15.75" customHeight="1">
      <c r="A264" s="32"/>
      <c r="B264" s="65"/>
      <c r="C264" s="65"/>
      <c r="D264" s="32"/>
      <c r="E264" s="32"/>
      <c r="F264" s="32"/>
      <c r="G264" s="65"/>
      <c r="H264" s="67"/>
      <c r="I264" s="118"/>
      <c r="J264" s="32"/>
      <c r="K264" s="68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ht="15.75" customHeight="1">
      <c r="A265" s="32"/>
      <c r="B265" s="65"/>
      <c r="C265" s="65"/>
      <c r="D265" s="32"/>
      <c r="E265" s="32"/>
      <c r="F265" s="32"/>
      <c r="G265" s="65"/>
      <c r="H265" s="67"/>
      <c r="I265" s="118"/>
      <c r="J265" s="32"/>
      <c r="K265" s="68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 ht="15.75" customHeight="1">
      <c r="A266" s="32"/>
      <c r="B266" s="65"/>
      <c r="C266" s="65"/>
      <c r="D266" s="32"/>
      <c r="E266" s="32"/>
      <c r="F266" s="32"/>
      <c r="G266" s="65"/>
      <c r="H266" s="67"/>
      <c r="I266" s="118"/>
      <c r="J266" s="32"/>
      <c r="K266" s="68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 ht="15.75" customHeight="1">
      <c r="A267" s="32"/>
      <c r="B267" s="65"/>
      <c r="C267" s="65"/>
      <c r="D267" s="32"/>
      <c r="E267" s="32"/>
      <c r="F267" s="32"/>
      <c r="G267" s="65"/>
      <c r="H267" s="67"/>
      <c r="I267" s="118"/>
      <c r="J267" s="32"/>
      <c r="K267" s="68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 ht="15.75" customHeight="1">
      <c r="A268" s="32"/>
      <c r="B268" s="65"/>
      <c r="C268" s="65"/>
      <c r="D268" s="32"/>
      <c r="E268" s="32"/>
      <c r="F268" s="32"/>
      <c r="G268" s="65"/>
      <c r="H268" s="67"/>
      <c r="I268" s="118"/>
      <c r="J268" s="32"/>
      <c r="K268" s="68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 ht="15.75" customHeight="1">
      <c r="A269" s="32"/>
      <c r="B269" s="65"/>
      <c r="C269" s="65"/>
      <c r="D269" s="32"/>
      <c r="E269" s="32"/>
      <c r="F269" s="32"/>
      <c r="G269" s="65"/>
      <c r="H269" s="67"/>
      <c r="I269" s="118"/>
      <c r="J269" s="32"/>
      <c r="K269" s="68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 ht="15.75" customHeight="1">
      <c r="A270" s="32"/>
      <c r="B270" s="65"/>
      <c r="C270" s="65"/>
      <c r="D270" s="32"/>
      <c r="E270" s="32"/>
      <c r="F270" s="32"/>
      <c r="G270" s="65"/>
      <c r="H270" s="67"/>
      <c r="I270" s="118"/>
      <c r="J270" s="32"/>
      <c r="K270" s="68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 ht="15.75" customHeight="1">
      <c r="A271" s="32"/>
      <c r="B271" s="65"/>
      <c r="C271" s="65"/>
      <c r="D271" s="32"/>
      <c r="E271" s="32"/>
      <c r="F271" s="32"/>
      <c r="G271" s="65"/>
      <c r="H271" s="67"/>
      <c r="I271" s="118"/>
      <c r="J271" s="32"/>
      <c r="K271" s="68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 ht="15.75" customHeight="1">
      <c r="A272" s="32"/>
      <c r="B272" s="65"/>
      <c r="C272" s="65"/>
      <c r="D272" s="32"/>
      <c r="E272" s="32"/>
      <c r="F272" s="32"/>
      <c r="G272" s="65"/>
      <c r="H272" s="67"/>
      <c r="I272" s="118"/>
      <c r="J272" s="32"/>
      <c r="K272" s="68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 ht="15.75" customHeight="1">
      <c r="A273" s="32"/>
      <c r="B273" s="65"/>
      <c r="C273" s="65"/>
      <c r="D273" s="32"/>
      <c r="E273" s="32"/>
      <c r="F273" s="32"/>
      <c r="G273" s="65"/>
      <c r="H273" s="67"/>
      <c r="I273" s="118"/>
      <c r="J273" s="32"/>
      <c r="K273" s="68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 ht="15.75" customHeight="1">
      <c r="A274" s="32"/>
      <c r="B274" s="65"/>
      <c r="C274" s="65"/>
      <c r="D274" s="32"/>
      <c r="E274" s="32"/>
      <c r="F274" s="32"/>
      <c r="G274" s="65"/>
      <c r="H274" s="67"/>
      <c r="I274" s="118"/>
      <c r="J274" s="32"/>
      <c r="K274" s="68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 ht="15.75" customHeight="1">
      <c r="A275" s="32"/>
      <c r="B275" s="65"/>
      <c r="C275" s="65"/>
      <c r="D275" s="32"/>
      <c r="E275" s="32"/>
      <c r="F275" s="32"/>
      <c r="G275" s="65"/>
      <c r="H275" s="67"/>
      <c r="I275" s="118"/>
      <c r="J275" s="32"/>
      <c r="K275" s="68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ht="15.75" customHeight="1">
      <c r="A276" s="32"/>
      <c r="B276" s="65"/>
      <c r="C276" s="65"/>
      <c r="D276" s="32"/>
      <c r="E276" s="32"/>
      <c r="F276" s="32"/>
      <c r="G276" s="65"/>
      <c r="H276" s="67"/>
      <c r="I276" s="118"/>
      <c r="J276" s="32"/>
      <c r="K276" s="68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ht="15.75" customHeight="1">
      <c r="A277" s="32"/>
      <c r="B277" s="65"/>
      <c r="C277" s="65"/>
      <c r="D277" s="32"/>
      <c r="E277" s="32"/>
      <c r="F277" s="32"/>
      <c r="G277" s="65"/>
      <c r="H277" s="67"/>
      <c r="I277" s="118"/>
      <c r="J277" s="32"/>
      <c r="K277" s="68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 ht="15.75" customHeight="1">
      <c r="A278" s="32"/>
      <c r="B278" s="65"/>
      <c r="C278" s="65"/>
      <c r="D278" s="32"/>
      <c r="E278" s="32"/>
      <c r="F278" s="32"/>
      <c r="G278" s="65"/>
      <c r="H278" s="67"/>
      <c r="I278" s="118"/>
      <c r="J278" s="32"/>
      <c r="K278" s="68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 ht="15.75" customHeight="1">
      <c r="A279" s="32"/>
      <c r="B279" s="65"/>
      <c r="C279" s="65"/>
      <c r="D279" s="32"/>
      <c r="E279" s="32"/>
      <c r="F279" s="32"/>
      <c r="G279" s="65"/>
      <c r="H279" s="67"/>
      <c r="I279" s="118"/>
      <c r="J279" s="32"/>
      <c r="K279" s="68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 ht="15.75" customHeight="1">
      <c r="A280" s="32"/>
      <c r="B280" s="65"/>
      <c r="C280" s="65"/>
      <c r="D280" s="32"/>
      <c r="E280" s="32"/>
      <c r="F280" s="32"/>
      <c r="G280" s="65"/>
      <c r="H280" s="67"/>
      <c r="I280" s="118"/>
      <c r="J280" s="32"/>
      <c r="K280" s="68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 ht="15.75" customHeight="1">
      <c r="A281" s="32"/>
      <c r="B281" s="65"/>
      <c r="C281" s="65"/>
      <c r="D281" s="32"/>
      <c r="E281" s="32"/>
      <c r="F281" s="32"/>
      <c r="G281" s="65"/>
      <c r="H281" s="67"/>
      <c r="I281" s="118"/>
      <c r="J281" s="32"/>
      <c r="K281" s="68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 ht="15.75" customHeight="1">
      <c r="A282" s="32"/>
      <c r="B282" s="65"/>
      <c r="C282" s="65"/>
      <c r="D282" s="32"/>
      <c r="E282" s="32"/>
      <c r="F282" s="32"/>
      <c r="G282" s="65"/>
      <c r="H282" s="67"/>
      <c r="I282" s="118"/>
      <c r="J282" s="32"/>
      <c r="K282" s="68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 ht="15.75" customHeight="1">
      <c r="A283" s="32"/>
      <c r="B283" s="65"/>
      <c r="C283" s="65"/>
      <c r="D283" s="32"/>
      <c r="E283" s="32"/>
      <c r="F283" s="32"/>
      <c r="G283" s="65"/>
      <c r="H283" s="67"/>
      <c r="I283" s="118"/>
      <c r="J283" s="32"/>
      <c r="K283" s="68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 ht="15.75" customHeight="1">
      <c r="A284" s="32"/>
      <c r="B284" s="65"/>
      <c r="C284" s="65"/>
      <c r="D284" s="32"/>
      <c r="E284" s="32"/>
      <c r="F284" s="32"/>
      <c r="G284" s="65"/>
      <c r="H284" s="67"/>
      <c r="I284" s="118"/>
      <c r="J284" s="32"/>
      <c r="K284" s="68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 ht="15.75" customHeight="1">
      <c r="A285" s="32"/>
      <c r="B285" s="65"/>
      <c r="C285" s="65"/>
      <c r="D285" s="32"/>
      <c r="E285" s="32"/>
      <c r="F285" s="32"/>
      <c r="G285" s="65"/>
      <c r="H285" s="67"/>
      <c r="I285" s="118"/>
      <c r="J285" s="32"/>
      <c r="K285" s="68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 ht="15.75" customHeight="1">
      <c r="A286" s="32"/>
      <c r="B286" s="65"/>
      <c r="C286" s="65"/>
      <c r="D286" s="32"/>
      <c r="E286" s="32"/>
      <c r="F286" s="32"/>
      <c r="G286" s="65"/>
      <c r="H286" s="67"/>
      <c r="I286" s="118"/>
      <c r="J286" s="32"/>
      <c r="K286" s="68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 ht="15.75" customHeight="1">
      <c r="A287" s="32"/>
      <c r="B287" s="65"/>
      <c r="C287" s="65"/>
      <c r="D287" s="32"/>
      <c r="E287" s="32"/>
      <c r="F287" s="32"/>
      <c r="G287" s="65"/>
      <c r="H287" s="67"/>
      <c r="I287" s="118"/>
      <c r="J287" s="32"/>
      <c r="K287" s="68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 ht="15.75" customHeight="1">
      <c r="A288" s="32"/>
      <c r="B288" s="65"/>
      <c r="C288" s="65"/>
      <c r="D288" s="32"/>
      <c r="E288" s="32"/>
      <c r="F288" s="32"/>
      <c r="G288" s="65"/>
      <c r="H288" s="67"/>
      <c r="I288" s="118"/>
      <c r="J288" s="32"/>
      <c r="K288" s="68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 ht="15.75" customHeight="1">
      <c r="A289" s="32"/>
      <c r="B289" s="65"/>
      <c r="C289" s="65"/>
      <c r="D289" s="32"/>
      <c r="E289" s="32"/>
      <c r="F289" s="32"/>
      <c r="G289" s="65"/>
      <c r="H289" s="67"/>
      <c r="I289" s="118"/>
      <c r="J289" s="32"/>
      <c r="K289" s="68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 ht="15.75" customHeight="1">
      <c r="A290" s="32"/>
      <c r="B290" s="65"/>
      <c r="C290" s="65"/>
      <c r="D290" s="32"/>
      <c r="E290" s="32"/>
      <c r="F290" s="32"/>
      <c r="G290" s="65"/>
      <c r="H290" s="67"/>
      <c r="I290" s="118"/>
      <c r="J290" s="32"/>
      <c r="K290" s="68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 ht="15.75" customHeight="1">
      <c r="A291" s="32"/>
      <c r="B291" s="65"/>
      <c r="C291" s="65"/>
      <c r="D291" s="32"/>
      <c r="E291" s="32"/>
      <c r="F291" s="32"/>
      <c r="G291" s="65"/>
      <c r="H291" s="67"/>
      <c r="I291" s="118"/>
      <c r="J291" s="32"/>
      <c r="K291" s="68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 ht="15.75" customHeight="1">
      <c r="A292" s="32"/>
      <c r="B292" s="65"/>
      <c r="C292" s="65"/>
      <c r="D292" s="32"/>
      <c r="E292" s="32"/>
      <c r="F292" s="32"/>
      <c r="G292" s="65"/>
      <c r="H292" s="67"/>
      <c r="I292" s="118"/>
      <c r="J292" s="32"/>
      <c r="K292" s="68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ht="15.75" customHeight="1">
      <c r="A293" s="32"/>
      <c r="B293" s="65"/>
      <c r="C293" s="65"/>
      <c r="D293" s="32"/>
      <c r="E293" s="32"/>
      <c r="F293" s="32"/>
      <c r="G293" s="65"/>
      <c r="H293" s="67"/>
      <c r="I293" s="118"/>
      <c r="J293" s="32"/>
      <c r="K293" s="68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ht="15.75" customHeight="1">
      <c r="A294" s="32"/>
      <c r="B294" s="65"/>
      <c r="C294" s="65"/>
      <c r="D294" s="32"/>
      <c r="E294" s="32"/>
      <c r="F294" s="32"/>
      <c r="G294" s="65"/>
      <c r="H294" s="67"/>
      <c r="I294" s="118"/>
      <c r="J294" s="32"/>
      <c r="K294" s="68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 ht="15.75" customHeight="1">
      <c r="A295" s="32"/>
      <c r="B295" s="65"/>
      <c r="C295" s="65"/>
      <c r="D295" s="32"/>
      <c r="E295" s="32"/>
      <c r="F295" s="32"/>
      <c r="G295" s="65"/>
      <c r="H295" s="67"/>
      <c r="I295" s="118"/>
      <c r="J295" s="32"/>
      <c r="K295" s="68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 ht="15.75" customHeight="1">
      <c r="A296" s="32"/>
      <c r="B296" s="65"/>
      <c r="C296" s="65"/>
      <c r="D296" s="32"/>
      <c r="E296" s="32"/>
      <c r="F296" s="32"/>
      <c r="G296" s="65"/>
      <c r="H296" s="67"/>
      <c r="I296" s="118"/>
      <c r="J296" s="32"/>
      <c r="K296" s="68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 ht="15.75" customHeight="1">
      <c r="A297" s="32"/>
      <c r="B297" s="65"/>
      <c r="C297" s="65"/>
      <c r="D297" s="32"/>
      <c r="E297" s="32"/>
      <c r="F297" s="32"/>
      <c r="G297" s="65"/>
      <c r="H297" s="67"/>
      <c r="I297" s="118"/>
      <c r="J297" s="32"/>
      <c r="K297" s="68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 ht="15.75" customHeight="1">
      <c r="A298" s="32"/>
      <c r="B298" s="65"/>
      <c r="C298" s="65"/>
      <c r="D298" s="32"/>
      <c r="E298" s="32"/>
      <c r="F298" s="32"/>
      <c r="G298" s="65"/>
      <c r="H298" s="67"/>
      <c r="I298" s="118"/>
      <c r="J298" s="32"/>
      <c r="K298" s="68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 ht="15.75" customHeight="1">
      <c r="A299" s="32"/>
      <c r="B299" s="65"/>
      <c r="C299" s="65"/>
      <c r="D299" s="32"/>
      <c r="E299" s="32"/>
      <c r="F299" s="32"/>
      <c r="G299" s="65"/>
      <c r="H299" s="67"/>
      <c r="I299" s="118"/>
      <c r="J299" s="32"/>
      <c r="K299" s="68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ht="15.75" customHeight="1">
      <c r="A300" s="32"/>
      <c r="B300" s="65"/>
      <c r="C300" s="65"/>
      <c r="D300" s="32"/>
      <c r="E300" s="32"/>
      <c r="F300" s="32"/>
      <c r="G300" s="65"/>
      <c r="H300" s="67"/>
      <c r="I300" s="118"/>
      <c r="J300" s="32"/>
      <c r="K300" s="68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 ht="15.75" customHeight="1">
      <c r="A301" s="32"/>
      <c r="B301" s="65"/>
      <c r="C301" s="65"/>
      <c r="D301" s="32"/>
      <c r="E301" s="32"/>
      <c r="F301" s="32"/>
      <c r="G301" s="65"/>
      <c r="H301" s="67"/>
      <c r="I301" s="118"/>
      <c r="J301" s="32"/>
      <c r="K301" s="68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 ht="15.75" customHeight="1">
      <c r="A302" s="32"/>
      <c r="B302" s="65"/>
      <c r="C302" s="65"/>
      <c r="D302" s="32"/>
      <c r="E302" s="32"/>
      <c r="F302" s="32"/>
      <c r="G302" s="65"/>
      <c r="H302" s="67"/>
      <c r="I302" s="118"/>
      <c r="J302" s="32"/>
      <c r="K302" s="68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 ht="15.75" customHeight="1">
      <c r="A303" s="32"/>
      <c r="B303" s="65"/>
      <c r="C303" s="65"/>
      <c r="D303" s="32"/>
      <c r="E303" s="32"/>
      <c r="F303" s="32"/>
      <c r="G303" s="65"/>
      <c r="H303" s="67"/>
      <c r="I303" s="118"/>
      <c r="J303" s="32"/>
      <c r="K303" s="68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 ht="15.75" customHeight="1">
      <c r="A304" s="32"/>
      <c r="B304" s="65"/>
      <c r="C304" s="65"/>
      <c r="D304" s="32"/>
      <c r="E304" s="32"/>
      <c r="F304" s="32"/>
      <c r="G304" s="65"/>
      <c r="H304" s="67"/>
      <c r="I304" s="118"/>
      <c r="J304" s="32"/>
      <c r="K304" s="68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 ht="15.75" customHeight="1">
      <c r="A305" s="32"/>
      <c r="B305" s="65"/>
      <c r="C305" s="65"/>
      <c r="D305" s="32"/>
      <c r="E305" s="32"/>
      <c r="F305" s="32"/>
      <c r="G305" s="65"/>
      <c r="H305" s="67"/>
      <c r="I305" s="118"/>
      <c r="J305" s="32"/>
      <c r="K305" s="68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 ht="15.75" customHeight="1">
      <c r="A306" s="32"/>
      <c r="B306" s="65"/>
      <c r="C306" s="65"/>
      <c r="D306" s="32"/>
      <c r="E306" s="32"/>
      <c r="F306" s="32"/>
      <c r="G306" s="65"/>
      <c r="H306" s="67"/>
      <c r="I306" s="118"/>
      <c r="J306" s="32"/>
      <c r="K306" s="68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 ht="15.75" customHeight="1">
      <c r="A307" s="32"/>
      <c r="B307" s="65"/>
      <c r="C307" s="65"/>
      <c r="D307" s="32"/>
      <c r="E307" s="32"/>
      <c r="F307" s="32"/>
      <c r="G307" s="65"/>
      <c r="H307" s="67"/>
      <c r="I307" s="118"/>
      <c r="J307" s="32"/>
      <c r="K307" s="68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 ht="15.75" customHeight="1">
      <c r="A308" s="32"/>
      <c r="B308" s="65"/>
      <c r="C308" s="65"/>
      <c r="D308" s="32"/>
      <c r="E308" s="32"/>
      <c r="F308" s="32"/>
      <c r="G308" s="65"/>
      <c r="H308" s="67"/>
      <c r="I308" s="118"/>
      <c r="J308" s="32"/>
      <c r="K308" s="68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 ht="15.75" customHeight="1">
      <c r="A309" s="32"/>
      <c r="B309" s="65"/>
      <c r="C309" s="65"/>
      <c r="D309" s="32"/>
      <c r="E309" s="32"/>
      <c r="F309" s="32"/>
      <c r="G309" s="65"/>
      <c r="H309" s="67"/>
      <c r="I309" s="118"/>
      <c r="J309" s="32"/>
      <c r="K309" s="68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 ht="15.75" customHeight="1">
      <c r="A310" s="32"/>
      <c r="B310" s="65"/>
      <c r="C310" s="65"/>
      <c r="D310" s="32"/>
      <c r="E310" s="32"/>
      <c r="F310" s="32"/>
      <c r="G310" s="65"/>
      <c r="H310" s="67"/>
      <c r="I310" s="118"/>
      <c r="J310" s="32"/>
      <c r="K310" s="68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 ht="15.75" customHeight="1">
      <c r="A311" s="32"/>
      <c r="B311" s="65"/>
      <c r="C311" s="65"/>
      <c r="D311" s="32"/>
      <c r="E311" s="32"/>
      <c r="F311" s="32"/>
      <c r="G311" s="65"/>
      <c r="H311" s="67"/>
      <c r="I311" s="118"/>
      <c r="J311" s="32"/>
      <c r="K311" s="68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 ht="15.75" customHeight="1">
      <c r="A312" s="32"/>
      <c r="B312" s="65"/>
      <c r="C312" s="65"/>
      <c r="D312" s="32"/>
      <c r="E312" s="32"/>
      <c r="F312" s="32"/>
      <c r="G312" s="65"/>
      <c r="H312" s="67"/>
      <c r="I312" s="118"/>
      <c r="J312" s="32"/>
      <c r="K312" s="68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 ht="15.75" customHeight="1">
      <c r="A313" s="32"/>
      <c r="B313" s="65"/>
      <c r="C313" s="65"/>
      <c r="D313" s="32"/>
      <c r="E313" s="32"/>
      <c r="F313" s="32"/>
      <c r="G313" s="65"/>
      <c r="H313" s="67"/>
      <c r="I313" s="118"/>
      <c r="J313" s="32"/>
      <c r="K313" s="68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 ht="15.75" customHeight="1">
      <c r="A314" s="32"/>
      <c r="B314" s="65"/>
      <c r="C314" s="65"/>
      <c r="D314" s="32"/>
      <c r="E314" s="32"/>
      <c r="F314" s="32"/>
      <c r="G314" s="65"/>
      <c r="H314" s="67"/>
      <c r="I314" s="118"/>
      <c r="J314" s="32"/>
      <c r="K314" s="68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 ht="15.75" customHeight="1">
      <c r="A315" s="32"/>
      <c r="B315" s="65"/>
      <c r="C315" s="65"/>
      <c r="D315" s="32"/>
      <c r="E315" s="32"/>
      <c r="F315" s="32"/>
      <c r="G315" s="65"/>
      <c r="H315" s="67"/>
      <c r="I315" s="118"/>
      <c r="J315" s="32"/>
      <c r="K315" s="68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 ht="15.75" customHeight="1">
      <c r="A316" s="32"/>
      <c r="B316" s="65"/>
      <c r="C316" s="65"/>
      <c r="D316" s="32"/>
      <c r="E316" s="32"/>
      <c r="F316" s="32"/>
      <c r="G316" s="65"/>
      <c r="H316" s="67"/>
      <c r="I316" s="118"/>
      <c r="J316" s="32"/>
      <c r="K316" s="68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 ht="15.75" customHeight="1">
      <c r="A317" s="32"/>
      <c r="B317" s="65"/>
      <c r="C317" s="65"/>
      <c r="D317" s="32"/>
      <c r="E317" s="32"/>
      <c r="F317" s="32"/>
      <c r="G317" s="65"/>
      <c r="H317" s="67"/>
      <c r="I317" s="118"/>
      <c r="J317" s="32"/>
      <c r="K317" s="68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 ht="15.75" customHeight="1">
      <c r="A318" s="32"/>
      <c r="B318" s="65"/>
      <c r="C318" s="65"/>
      <c r="D318" s="32"/>
      <c r="E318" s="32"/>
      <c r="F318" s="32"/>
      <c r="G318" s="65"/>
      <c r="H318" s="67"/>
      <c r="I318" s="118"/>
      <c r="J318" s="32"/>
      <c r="K318" s="68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 ht="15.75" customHeight="1">
      <c r="A319" s="32"/>
      <c r="B319" s="65"/>
      <c r="C319" s="65"/>
      <c r="D319" s="32"/>
      <c r="E319" s="32"/>
      <c r="F319" s="32"/>
      <c r="G319" s="65"/>
      <c r="H319" s="67"/>
      <c r="I319" s="118"/>
      <c r="J319" s="32"/>
      <c r="K319" s="68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 ht="15.75" customHeight="1">
      <c r="A320" s="32"/>
      <c r="B320" s="65"/>
      <c r="C320" s="65"/>
      <c r="D320" s="32"/>
      <c r="E320" s="32"/>
      <c r="F320" s="32"/>
      <c r="G320" s="65"/>
      <c r="H320" s="67"/>
      <c r="I320" s="118"/>
      <c r="J320" s="32"/>
      <c r="K320" s="68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 ht="15.75" customHeight="1">
      <c r="A321" s="32"/>
      <c r="B321" s="65"/>
      <c r="C321" s="65"/>
      <c r="D321" s="32"/>
      <c r="E321" s="32"/>
      <c r="F321" s="32"/>
      <c r="G321" s="65"/>
      <c r="H321" s="67"/>
      <c r="I321" s="118"/>
      <c r="J321" s="32"/>
      <c r="K321" s="68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 ht="15.75" customHeight="1">
      <c r="A322" s="32"/>
      <c r="B322" s="65"/>
      <c r="C322" s="65"/>
      <c r="D322" s="32"/>
      <c r="E322" s="32"/>
      <c r="F322" s="32"/>
      <c r="G322" s="65"/>
      <c r="H322" s="67"/>
      <c r="I322" s="118"/>
      <c r="J322" s="32"/>
      <c r="K322" s="68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 ht="15.75" customHeight="1">
      <c r="A323" s="32"/>
      <c r="B323" s="65"/>
      <c r="C323" s="65"/>
      <c r="D323" s="32"/>
      <c r="E323" s="32"/>
      <c r="F323" s="32"/>
      <c r="G323" s="65"/>
      <c r="H323" s="67"/>
      <c r="I323" s="118"/>
      <c r="J323" s="32"/>
      <c r="K323" s="68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 ht="15.75" customHeight="1">
      <c r="A324" s="32"/>
      <c r="B324" s="65"/>
      <c r="C324" s="65"/>
      <c r="D324" s="32"/>
      <c r="E324" s="32"/>
      <c r="F324" s="32"/>
      <c r="G324" s="65"/>
      <c r="H324" s="67"/>
      <c r="I324" s="118"/>
      <c r="J324" s="32"/>
      <c r="K324" s="68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 ht="15.75" customHeight="1">
      <c r="A325" s="32"/>
      <c r="B325" s="65"/>
      <c r="C325" s="65"/>
      <c r="D325" s="32"/>
      <c r="E325" s="32"/>
      <c r="F325" s="32"/>
      <c r="G325" s="65"/>
      <c r="H325" s="67"/>
      <c r="I325" s="118"/>
      <c r="J325" s="32"/>
      <c r="K325" s="68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 ht="15.75" customHeight="1">
      <c r="A326" s="32"/>
      <c r="B326" s="65"/>
      <c r="C326" s="65"/>
      <c r="D326" s="32"/>
      <c r="E326" s="32"/>
      <c r="F326" s="32"/>
      <c r="G326" s="65"/>
      <c r="H326" s="67"/>
      <c r="I326" s="118"/>
      <c r="J326" s="32"/>
      <c r="K326" s="68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 ht="15.75" customHeight="1">
      <c r="A327" s="32"/>
      <c r="B327" s="65"/>
      <c r="C327" s="65"/>
      <c r="D327" s="32"/>
      <c r="E327" s="32"/>
      <c r="F327" s="32"/>
      <c r="G327" s="65"/>
      <c r="H327" s="67"/>
      <c r="I327" s="118"/>
      <c r="J327" s="32"/>
      <c r="K327" s="68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 ht="15.75" customHeight="1">
      <c r="A328" s="32"/>
      <c r="B328" s="65"/>
      <c r="C328" s="65"/>
      <c r="D328" s="32"/>
      <c r="E328" s="32"/>
      <c r="F328" s="32"/>
      <c r="G328" s="65"/>
      <c r="H328" s="67"/>
      <c r="I328" s="118"/>
      <c r="J328" s="32"/>
      <c r="K328" s="68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 ht="15.75" customHeight="1">
      <c r="A329" s="32"/>
      <c r="B329" s="65"/>
      <c r="C329" s="65"/>
      <c r="D329" s="32"/>
      <c r="E329" s="32"/>
      <c r="F329" s="32"/>
      <c r="G329" s="65"/>
      <c r="H329" s="67"/>
      <c r="I329" s="118"/>
      <c r="J329" s="32"/>
      <c r="K329" s="68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 ht="15.75" customHeight="1">
      <c r="A330" s="32"/>
      <c r="B330" s="65"/>
      <c r="C330" s="65"/>
      <c r="D330" s="32"/>
      <c r="E330" s="32"/>
      <c r="F330" s="32"/>
      <c r="G330" s="65"/>
      <c r="H330" s="67"/>
      <c r="I330" s="118"/>
      <c r="J330" s="32"/>
      <c r="K330" s="68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 ht="15.75" customHeight="1">
      <c r="A331" s="32"/>
      <c r="B331" s="65"/>
      <c r="C331" s="65"/>
      <c r="D331" s="32"/>
      <c r="E331" s="32"/>
      <c r="F331" s="32"/>
      <c r="G331" s="65"/>
      <c r="H331" s="67"/>
      <c r="I331" s="118"/>
      <c r="J331" s="32"/>
      <c r="K331" s="68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 ht="15.75" customHeight="1">
      <c r="A332" s="32"/>
      <c r="B332" s="65"/>
      <c r="C332" s="65"/>
      <c r="D332" s="32"/>
      <c r="E332" s="32"/>
      <c r="F332" s="32"/>
      <c r="G332" s="65"/>
      <c r="H332" s="67"/>
      <c r="I332" s="118"/>
      <c r="J332" s="32"/>
      <c r="K332" s="68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 ht="15.75" customHeight="1">
      <c r="A333" s="32"/>
      <c r="B333" s="65"/>
      <c r="C333" s="65"/>
      <c r="D333" s="32"/>
      <c r="E333" s="32"/>
      <c r="F333" s="32"/>
      <c r="G333" s="65"/>
      <c r="H333" s="67"/>
      <c r="I333" s="118"/>
      <c r="J333" s="32"/>
      <c r="K333" s="68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 ht="15.75" customHeight="1">
      <c r="A334" s="32"/>
      <c r="B334" s="65"/>
      <c r="C334" s="65"/>
      <c r="D334" s="32"/>
      <c r="E334" s="32"/>
      <c r="F334" s="32"/>
      <c r="G334" s="65"/>
      <c r="H334" s="67"/>
      <c r="I334" s="118"/>
      <c r="J334" s="32"/>
      <c r="K334" s="68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 ht="15.75" customHeight="1">
      <c r="A335" s="32"/>
      <c r="B335" s="65"/>
      <c r="C335" s="65"/>
      <c r="D335" s="32"/>
      <c r="E335" s="32"/>
      <c r="F335" s="32"/>
      <c r="G335" s="65"/>
      <c r="H335" s="67"/>
      <c r="I335" s="118"/>
      <c r="J335" s="32"/>
      <c r="K335" s="68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 ht="15.75" customHeight="1">
      <c r="A336" s="32"/>
      <c r="B336" s="65"/>
      <c r="C336" s="65"/>
      <c r="D336" s="32"/>
      <c r="E336" s="32"/>
      <c r="F336" s="32"/>
      <c r="G336" s="65"/>
      <c r="H336" s="67"/>
      <c r="I336" s="118"/>
      <c r="J336" s="32"/>
      <c r="K336" s="68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 ht="15.75" customHeight="1">
      <c r="A337" s="32"/>
      <c r="B337" s="65"/>
      <c r="C337" s="65"/>
      <c r="D337" s="32"/>
      <c r="E337" s="32"/>
      <c r="F337" s="32"/>
      <c r="G337" s="65"/>
      <c r="H337" s="67"/>
      <c r="I337" s="118"/>
      <c r="J337" s="32"/>
      <c r="K337" s="68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 ht="15.75" customHeight="1">
      <c r="A338" s="32"/>
      <c r="B338" s="65"/>
      <c r="C338" s="65"/>
      <c r="D338" s="32"/>
      <c r="E338" s="32"/>
      <c r="F338" s="32"/>
      <c r="G338" s="65"/>
      <c r="H338" s="67"/>
      <c r="I338" s="118"/>
      <c r="J338" s="32"/>
      <c r="K338" s="68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 ht="15.75" customHeight="1">
      <c r="A339" s="32"/>
      <c r="B339" s="65"/>
      <c r="C339" s="65"/>
      <c r="D339" s="32"/>
      <c r="E339" s="32"/>
      <c r="F339" s="32"/>
      <c r="G339" s="65"/>
      <c r="H339" s="67"/>
      <c r="I339" s="118"/>
      <c r="J339" s="32"/>
      <c r="K339" s="68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 ht="15.75" customHeight="1">
      <c r="A340" s="32"/>
      <c r="B340" s="65"/>
      <c r="C340" s="65"/>
      <c r="D340" s="32"/>
      <c r="E340" s="32"/>
      <c r="F340" s="32"/>
      <c r="G340" s="65"/>
      <c r="H340" s="67"/>
      <c r="I340" s="118"/>
      <c r="J340" s="32"/>
      <c r="K340" s="68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 ht="15.75" customHeight="1">
      <c r="A341" s="32"/>
      <c r="B341" s="65"/>
      <c r="C341" s="65"/>
      <c r="D341" s="32"/>
      <c r="E341" s="32"/>
      <c r="F341" s="32"/>
      <c r="G341" s="65"/>
      <c r="H341" s="67"/>
      <c r="I341" s="118"/>
      <c r="J341" s="32"/>
      <c r="K341" s="68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 ht="15.75" customHeight="1">
      <c r="A342" s="32"/>
      <c r="B342" s="65"/>
      <c r="C342" s="65"/>
      <c r="D342" s="32"/>
      <c r="E342" s="32"/>
      <c r="F342" s="32"/>
      <c r="G342" s="65"/>
      <c r="H342" s="67"/>
      <c r="I342" s="118"/>
      <c r="J342" s="32"/>
      <c r="K342" s="68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 ht="15.75" customHeight="1">
      <c r="A343" s="32"/>
      <c r="B343" s="65"/>
      <c r="C343" s="65"/>
      <c r="D343" s="32"/>
      <c r="E343" s="32"/>
      <c r="F343" s="32"/>
      <c r="G343" s="65"/>
      <c r="H343" s="67"/>
      <c r="I343" s="118"/>
      <c r="J343" s="32"/>
      <c r="K343" s="68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 ht="15.75" customHeight="1">
      <c r="A344" s="32"/>
      <c r="B344" s="65"/>
      <c r="C344" s="65"/>
      <c r="D344" s="32"/>
      <c r="E344" s="32"/>
      <c r="F344" s="32"/>
      <c r="G344" s="65"/>
      <c r="H344" s="67"/>
      <c r="I344" s="118"/>
      <c r="J344" s="32"/>
      <c r="K344" s="68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 ht="15.75" customHeight="1">
      <c r="A345" s="32"/>
      <c r="B345" s="65"/>
      <c r="C345" s="65"/>
      <c r="D345" s="32"/>
      <c r="E345" s="32"/>
      <c r="F345" s="32"/>
      <c r="G345" s="65"/>
      <c r="H345" s="67"/>
      <c r="I345" s="118"/>
      <c r="J345" s="32"/>
      <c r="K345" s="68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 ht="15.75" customHeight="1">
      <c r="A346" s="32"/>
      <c r="B346" s="65"/>
      <c r="C346" s="65"/>
      <c r="D346" s="32"/>
      <c r="E346" s="32"/>
      <c r="F346" s="32"/>
      <c r="G346" s="65"/>
      <c r="H346" s="67"/>
      <c r="I346" s="118"/>
      <c r="J346" s="32"/>
      <c r="K346" s="68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 ht="15.75" customHeight="1">
      <c r="A347" s="32"/>
      <c r="B347" s="65"/>
      <c r="C347" s="65"/>
      <c r="D347" s="32"/>
      <c r="E347" s="32"/>
      <c r="F347" s="32"/>
      <c r="G347" s="65"/>
      <c r="H347" s="67"/>
      <c r="I347" s="118"/>
      <c r="J347" s="32"/>
      <c r="K347" s="68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 ht="15.75" customHeight="1">
      <c r="A348" s="32"/>
      <c r="B348" s="65"/>
      <c r="C348" s="65"/>
      <c r="D348" s="32"/>
      <c r="E348" s="32"/>
      <c r="F348" s="32"/>
      <c r="G348" s="65"/>
      <c r="H348" s="67"/>
      <c r="I348" s="118"/>
      <c r="J348" s="32"/>
      <c r="K348" s="68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 ht="15.75" customHeight="1">
      <c r="A349" s="32"/>
      <c r="B349" s="65"/>
      <c r="C349" s="65"/>
      <c r="D349" s="32"/>
      <c r="E349" s="32"/>
      <c r="F349" s="32"/>
      <c r="G349" s="65"/>
      <c r="H349" s="67"/>
      <c r="I349" s="118"/>
      <c r="J349" s="32"/>
      <c r="K349" s="68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 ht="15.75" customHeight="1">
      <c r="A350" s="32"/>
      <c r="B350" s="65"/>
      <c r="C350" s="65"/>
      <c r="D350" s="32"/>
      <c r="E350" s="32"/>
      <c r="F350" s="32"/>
      <c r="G350" s="65"/>
      <c r="H350" s="67"/>
      <c r="I350" s="118"/>
      <c r="J350" s="32"/>
      <c r="K350" s="68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 ht="15.75" customHeight="1">
      <c r="A351" s="32"/>
      <c r="B351" s="65"/>
      <c r="C351" s="65"/>
      <c r="D351" s="32"/>
      <c r="E351" s="32"/>
      <c r="F351" s="32"/>
      <c r="G351" s="65"/>
      <c r="H351" s="67"/>
      <c r="I351" s="118"/>
      <c r="J351" s="32"/>
      <c r="K351" s="68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 ht="15.75" customHeight="1">
      <c r="A352" s="32"/>
      <c r="B352" s="65"/>
      <c r="C352" s="65"/>
      <c r="D352" s="32"/>
      <c r="E352" s="32"/>
      <c r="F352" s="32"/>
      <c r="G352" s="65"/>
      <c r="H352" s="67"/>
      <c r="I352" s="118"/>
      <c r="J352" s="32"/>
      <c r="K352" s="68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 ht="15.75" customHeight="1">
      <c r="A353" s="32"/>
      <c r="B353" s="65"/>
      <c r="C353" s="65"/>
      <c r="D353" s="32"/>
      <c r="E353" s="32"/>
      <c r="F353" s="32"/>
      <c r="G353" s="65"/>
      <c r="H353" s="67"/>
      <c r="I353" s="118"/>
      <c r="J353" s="32"/>
      <c r="K353" s="68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 ht="15.75" customHeight="1">
      <c r="A354" s="32"/>
      <c r="B354" s="65"/>
      <c r="C354" s="65"/>
      <c r="D354" s="32"/>
      <c r="E354" s="32"/>
      <c r="F354" s="32"/>
      <c r="G354" s="65"/>
      <c r="H354" s="67"/>
      <c r="I354" s="118"/>
      <c r="J354" s="32"/>
      <c r="K354" s="68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 ht="15.75" customHeight="1">
      <c r="A355" s="32"/>
      <c r="B355" s="65"/>
      <c r="C355" s="65"/>
      <c r="D355" s="32"/>
      <c r="E355" s="32"/>
      <c r="F355" s="32"/>
      <c r="G355" s="65"/>
      <c r="H355" s="67"/>
      <c r="I355" s="118"/>
      <c r="J355" s="32"/>
      <c r="K355" s="68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 ht="15.75" customHeight="1">
      <c r="A356" s="32"/>
      <c r="B356" s="65"/>
      <c r="C356" s="65"/>
      <c r="D356" s="32"/>
      <c r="E356" s="32"/>
      <c r="F356" s="32"/>
      <c r="G356" s="65"/>
      <c r="H356" s="67"/>
      <c r="I356" s="118"/>
      <c r="J356" s="32"/>
      <c r="K356" s="68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 ht="15.75" customHeight="1">
      <c r="A357" s="32"/>
      <c r="B357" s="65"/>
      <c r="C357" s="65"/>
      <c r="D357" s="32"/>
      <c r="E357" s="32"/>
      <c r="F357" s="32"/>
      <c r="G357" s="65"/>
      <c r="H357" s="67"/>
      <c r="I357" s="118"/>
      <c r="J357" s="32"/>
      <c r="K357" s="68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 ht="15.75" customHeight="1">
      <c r="A358" s="32"/>
      <c r="B358" s="65"/>
      <c r="C358" s="65"/>
      <c r="D358" s="32"/>
      <c r="E358" s="32"/>
      <c r="F358" s="32"/>
      <c r="G358" s="65"/>
      <c r="H358" s="67"/>
      <c r="I358" s="118"/>
      <c r="J358" s="32"/>
      <c r="K358" s="68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 ht="15.75" customHeight="1">
      <c r="A359" s="32"/>
      <c r="B359" s="65"/>
      <c r="C359" s="65"/>
      <c r="D359" s="32"/>
      <c r="E359" s="32"/>
      <c r="F359" s="32"/>
      <c r="G359" s="65"/>
      <c r="H359" s="67"/>
      <c r="I359" s="118"/>
      <c r="J359" s="32"/>
      <c r="K359" s="68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 ht="15.75" customHeight="1">
      <c r="A360" s="32"/>
      <c r="B360" s="65"/>
      <c r="C360" s="65"/>
      <c r="D360" s="32"/>
      <c r="E360" s="32"/>
      <c r="F360" s="32"/>
      <c r="G360" s="65"/>
      <c r="H360" s="67"/>
      <c r="I360" s="118"/>
      <c r="J360" s="32"/>
      <c r="K360" s="68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 ht="15.75" customHeight="1">
      <c r="A361" s="32"/>
      <c r="B361" s="65"/>
      <c r="C361" s="65"/>
      <c r="D361" s="32"/>
      <c r="E361" s="32"/>
      <c r="F361" s="32"/>
      <c r="G361" s="65"/>
      <c r="H361" s="67"/>
      <c r="I361" s="118"/>
      <c r="J361" s="32"/>
      <c r="K361" s="68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 ht="15.75" customHeight="1">
      <c r="A362" s="32"/>
      <c r="B362" s="65"/>
      <c r="C362" s="65"/>
      <c r="D362" s="32"/>
      <c r="E362" s="32"/>
      <c r="F362" s="32"/>
      <c r="G362" s="65"/>
      <c r="H362" s="67"/>
      <c r="I362" s="118"/>
      <c r="J362" s="32"/>
      <c r="K362" s="68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 ht="15.75" customHeight="1">
      <c r="A363" s="32"/>
      <c r="B363" s="65"/>
      <c r="C363" s="65"/>
      <c r="D363" s="32"/>
      <c r="E363" s="32"/>
      <c r="F363" s="32"/>
      <c r="G363" s="65"/>
      <c r="H363" s="67"/>
      <c r="I363" s="118"/>
      <c r="J363" s="32"/>
      <c r="K363" s="68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 ht="15.75" customHeight="1">
      <c r="A364" s="32"/>
      <c r="B364" s="65"/>
      <c r="C364" s="65"/>
      <c r="D364" s="32"/>
      <c r="E364" s="32"/>
      <c r="F364" s="32"/>
      <c r="G364" s="65"/>
      <c r="H364" s="67"/>
      <c r="I364" s="118"/>
      <c r="J364" s="32"/>
      <c r="K364" s="68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 ht="15.75" customHeight="1">
      <c r="A365" s="32"/>
      <c r="B365" s="65"/>
      <c r="C365" s="65"/>
      <c r="D365" s="32"/>
      <c r="E365" s="32"/>
      <c r="F365" s="32"/>
      <c r="G365" s="65"/>
      <c r="H365" s="67"/>
      <c r="I365" s="118"/>
      <c r="J365" s="32"/>
      <c r="K365" s="68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 ht="15.75" customHeight="1">
      <c r="A366" s="32"/>
      <c r="B366" s="65"/>
      <c r="C366" s="65"/>
      <c r="D366" s="32"/>
      <c r="E366" s="32"/>
      <c r="F366" s="32"/>
      <c r="G366" s="65"/>
      <c r="H366" s="67"/>
      <c r="I366" s="118"/>
      <c r="J366" s="32"/>
      <c r="K366" s="68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 ht="15.75" customHeight="1">
      <c r="A367" s="32"/>
      <c r="B367" s="65"/>
      <c r="C367" s="65"/>
      <c r="D367" s="32"/>
      <c r="E367" s="32"/>
      <c r="F367" s="32"/>
      <c r="G367" s="65"/>
      <c r="H367" s="67"/>
      <c r="I367" s="118"/>
      <c r="J367" s="32"/>
      <c r="K367" s="68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 ht="15.75" customHeight="1">
      <c r="A368" s="32"/>
      <c r="B368" s="65"/>
      <c r="C368" s="65"/>
      <c r="D368" s="32"/>
      <c r="E368" s="32"/>
      <c r="F368" s="32"/>
      <c r="G368" s="65"/>
      <c r="H368" s="67"/>
      <c r="I368" s="118"/>
      <c r="J368" s="32"/>
      <c r="K368" s="68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 ht="15.75" customHeight="1">
      <c r="A369" s="32"/>
      <c r="B369" s="65"/>
      <c r="C369" s="65"/>
      <c r="D369" s="32"/>
      <c r="E369" s="32"/>
      <c r="F369" s="32"/>
      <c r="G369" s="65"/>
      <c r="H369" s="67"/>
      <c r="I369" s="118"/>
      <c r="J369" s="32"/>
      <c r="K369" s="68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 ht="15.75" customHeight="1">
      <c r="A370" s="32"/>
      <c r="B370" s="65"/>
      <c r="C370" s="65"/>
      <c r="D370" s="32"/>
      <c r="E370" s="32"/>
      <c r="F370" s="32"/>
      <c r="G370" s="65"/>
      <c r="H370" s="67"/>
      <c r="I370" s="118"/>
      <c r="J370" s="32"/>
      <c r="K370" s="68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 ht="15.75" customHeight="1">
      <c r="A371" s="32"/>
      <c r="B371" s="65"/>
      <c r="C371" s="65"/>
      <c r="D371" s="32"/>
      <c r="E371" s="32"/>
      <c r="F371" s="32"/>
      <c r="G371" s="65"/>
      <c r="H371" s="67"/>
      <c r="I371" s="118"/>
      <c r="J371" s="32"/>
      <c r="K371" s="68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 ht="15.75" customHeight="1">
      <c r="A372" s="32"/>
      <c r="B372" s="65"/>
      <c r="C372" s="65"/>
      <c r="D372" s="32"/>
      <c r="E372" s="32"/>
      <c r="F372" s="32"/>
      <c r="G372" s="65"/>
      <c r="H372" s="67"/>
      <c r="I372" s="118"/>
      <c r="J372" s="32"/>
      <c r="K372" s="68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 ht="15.75" customHeight="1">
      <c r="A373" s="32"/>
      <c r="B373" s="65"/>
      <c r="C373" s="65"/>
      <c r="D373" s="32"/>
      <c r="E373" s="32"/>
      <c r="F373" s="32"/>
      <c r="G373" s="65"/>
      <c r="H373" s="67"/>
      <c r="I373" s="118"/>
      <c r="J373" s="32"/>
      <c r="K373" s="68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 ht="15.75" customHeight="1">
      <c r="A374" s="32"/>
      <c r="B374" s="65"/>
      <c r="C374" s="65"/>
      <c r="D374" s="32"/>
      <c r="E374" s="32"/>
      <c r="F374" s="32"/>
      <c r="G374" s="65"/>
      <c r="H374" s="67"/>
      <c r="I374" s="118"/>
      <c r="J374" s="32"/>
      <c r="K374" s="68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 ht="15.75" customHeight="1">
      <c r="A375" s="32"/>
      <c r="B375" s="65"/>
      <c r="C375" s="65"/>
      <c r="D375" s="32"/>
      <c r="E375" s="32"/>
      <c r="F375" s="32"/>
      <c r="G375" s="65"/>
      <c r="H375" s="67"/>
      <c r="I375" s="118"/>
      <c r="J375" s="32"/>
      <c r="K375" s="68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 ht="15.75" customHeight="1">
      <c r="A376" s="32"/>
      <c r="B376" s="65"/>
      <c r="C376" s="65"/>
      <c r="D376" s="32"/>
      <c r="E376" s="32"/>
      <c r="F376" s="32"/>
      <c r="G376" s="65"/>
      <c r="H376" s="67"/>
      <c r="I376" s="118"/>
      <c r="J376" s="32"/>
      <c r="K376" s="68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 ht="15.75" customHeight="1">
      <c r="A377" s="32"/>
      <c r="B377" s="65"/>
      <c r="C377" s="65"/>
      <c r="D377" s="32"/>
      <c r="E377" s="32"/>
      <c r="F377" s="32"/>
      <c r="G377" s="65"/>
      <c r="H377" s="67"/>
      <c r="I377" s="118"/>
      <c r="J377" s="32"/>
      <c r="K377" s="68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 ht="15.75" customHeight="1">
      <c r="A378" s="32"/>
      <c r="B378" s="65"/>
      <c r="C378" s="65"/>
      <c r="D378" s="32"/>
      <c r="E378" s="32"/>
      <c r="F378" s="32"/>
      <c r="G378" s="65"/>
      <c r="H378" s="67"/>
      <c r="I378" s="118"/>
      <c r="J378" s="32"/>
      <c r="K378" s="68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 ht="15.75" customHeight="1">
      <c r="A379" s="32"/>
      <c r="B379" s="65"/>
      <c r="C379" s="65"/>
      <c r="D379" s="32"/>
      <c r="E379" s="32"/>
      <c r="F379" s="32"/>
      <c r="G379" s="65"/>
      <c r="H379" s="67"/>
      <c r="I379" s="118"/>
      <c r="J379" s="32"/>
      <c r="K379" s="68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 ht="15.75" customHeight="1">
      <c r="A380" s="32"/>
      <c r="B380" s="65"/>
      <c r="C380" s="65"/>
      <c r="D380" s="32"/>
      <c r="E380" s="32"/>
      <c r="F380" s="32"/>
      <c r="G380" s="65"/>
      <c r="H380" s="67"/>
      <c r="I380" s="118"/>
      <c r="J380" s="32"/>
      <c r="K380" s="68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 ht="15.75" customHeight="1">
      <c r="A381" s="32"/>
      <c r="B381" s="65"/>
      <c r="C381" s="65"/>
      <c r="D381" s="32"/>
      <c r="E381" s="32"/>
      <c r="F381" s="32"/>
      <c r="G381" s="65"/>
      <c r="H381" s="67"/>
      <c r="I381" s="118"/>
      <c r="J381" s="32"/>
      <c r="K381" s="68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 ht="15.75" customHeight="1">
      <c r="A382" s="32"/>
      <c r="B382" s="65"/>
      <c r="C382" s="65"/>
      <c r="D382" s="32"/>
      <c r="E382" s="32"/>
      <c r="F382" s="32"/>
      <c r="G382" s="65"/>
      <c r="H382" s="67"/>
      <c r="I382" s="118"/>
      <c r="J382" s="32"/>
      <c r="K382" s="68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 ht="15.75" customHeight="1">
      <c r="A383" s="32"/>
      <c r="B383" s="65"/>
      <c r="C383" s="65"/>
      <c r="D383" s="32"/>
      <c r="E383" s="32"/>
      <c r="F383" s="32"/>
      <c r="G383" s="65"/>
      <c r="H383" s="67"/>
      <c r="I383" s="118"/>
      <c r="J383" s="32"/>
      <c r="K383" s="68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 ht="15.75" customHeight="1">
      <c r="A384" s="32"/>
      <c r="B384" s="65"/>
      <c r="C384" s="65"/>
      <c r="D384" s="32"/>
      <c r="E384" s="32"/>
      <c r="F384" s="32"/>
      <c r="G384" s="65"/>
      <c r="H384" s="67"/>
      <c r="I384" s="118"/>
      <c r="J384" s="32"/>
      <c r="K384" s="68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 ht="15.75" customHeight="1">
      <c r="A385" s="32"/>
      <c r="B385" s="65"/>
      <c r="C385" s="65"/>
      <c r="D385" s="32"/>
      <c r="E385" s="32"/>
      <c r="F385" s="32"/>
      <c r="G385" s="65"/>
      <c r="H385" s="67"/>
      <c r="I385" s="118"/>
      <c r="J385" s="32"/>
      <c r="K385" s="68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 ht="15.75" customHeight="1">
      <c r="A386" s="32"/>
      <c r="B386" s="65"/>
      <c r="C386" s="65"/>
      <c r="D386" s="32"/>
      <c r="E386" s="32"/>
      <c r="F386" s="32"/>
      <c r="G386" s="65"/>
      <c r="H386" s="67"/>
      <c r="I386" s="118"/>
      <c r="J386" s="32"/>
      <c r="K386" s="68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 ht="15.75" customHeight="1">
      <c r="A387" s="32"/>
      <c r="B387" s="65"/>
      <c r="C387" s="65"/>
      <c r="D387" s="32"/>
      <c r="E387" s="32"/>
      <c r="F387" s="32"/>
      <c r="G387" s="65"/>
      <c r="H387" s="67"/>
      <c r="I387" s="118"/>
      <c r="J387" s="32"/>
      <c r="K387" s="68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 ht="15.75" customHeight="1">
      <c r="A388" s="32"/>
      <c r="B388" s="65"/>
      <c r="C388" s="65"/>
      <c r="D388" s="32"/>
      <c r="E388" s="32"/>
      <c r="F388" s="32"/>
      <c r="G388" s="65"/>
      <c r="H388" s="67"/>
      <c r="I388" s="118"/>
      <c r="J388" s="32"/>
      <c r="K388" s="68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 ht="15.75" customHeight="1">
      <c r="A389" s="32"/>
      <c r="B389" s="65"/>
      <c r="C389" s="65"/>
      <c r="D389" s="32"/>
      <c r="E389" s="32"/>
      <c r="F389" s="32"/>
      <c r="G389" s="65"/>
      <c r="H389" s="67"/>
      <c r="I389" s="118"/>
      <c r="J389" s="32"/>
      <c r="K389" s="68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 ht="15.75" customHeight="1">
      <c r="A390" s="32"/>
      <c r="B390" s="65"/>
      <c r="C390" s="65"/>
      <c r="D390" s="32"/>
      <c r="E390" s="32"/>
      <c r="F390" s="32"/>
      <c r="G390" s="65"/>
      <c r="H390" s="67"/>
      <c r="I390" s="118"/>
      <c r="J390" s="32"/>
      <c r="K390" s="68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 ht="15.75" customHeight="1">
      <c r="A391" s="32"/>
      <c r="B391" s="65"/>
      <c r="C391" s="65"/>
      <c r="D391" s="32"/>
      <c r="E391" s="32"/>
      <c r="F391" s="32"/>
      <c r="G391" s="65"/>
      <c r="H391" s="67"/>
      <c r="I391" s="118"/>
      <c r="J391" s="32"/>
      <c r="K391" s="68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 ht="15.75" customHeight="1">
      <c r="A392" s="32"/>
      <c r="B392" s="65"/>
      <c r="C392" s="65"/>
      <c r="D392" s="32"/>
      <c r="E392" s="32"/>
      <c r="F392" s="32"/>
      <c r="G392" s="65"/>
      <c r="H392" s="67"/>
      <c r="I392" s="118"/>
      <c r="J392" s="32"/>
      <c r="K392" s="68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 ht="15.75" customHeight="1">
      <c r="A393" s="32"/>
      <c r="B393" s="65"/>
      <c r="C393" s="65"/>
      <c r="D393" s="32"/>
      <c r="E393" s="32"/>
      <c r="F393" s="32"/>
      <c r="G393" s="65"/>
      <c r="H393" s="67"/>
      <c r="I393" s="118"/>
      <c r="J393" s="32"/>
      <c r="K393" s="68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 ht="15.75" customHeight="1">
      <c r="A394" s="32"/>
      <c r="B394" s="65"/>
      <c r="C394" s="65"/>
      <c r="D394" s="32"/>
      <c r="E394" s="32"/>
      <c r="F394" s="32"/>
      <c r="G394" s="65"/>
      <c r="H394" s="67"/>
      <c r="I394" s="118"/>
      <c r="J394" s="32"/>
      <c r="K394" s="68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 ht="15.75" customHeight="1">
      <c r="A395" s="32"/>
      <c r="B395" s="65"/>
      <c r="C395" s="65"/>
      <c r="D395" s="32"/>
      <c r="E395" s="32"/>
      <c r="F395" s="32"/>
      <c r="G395" s="65"/>
      <c r="H395" s="67"/>
      <c r="I395" s="118"/>
      <c r="J395" s="32"/>
      <c r="K395" s="68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 ht="15.75" customHeight="1">
      <c r="A396" s="32"/>
      <c r="B396" s="65"/>
      <c r="C396" s="65"/>
      <c r="D396" s="32"/>
      <c r="E396" s="32"/>
      <c r="F396" s="32"/>
      <c r="G396" s="65"/>
      <c r="H396" s="67"/>
      <c r="I396" s="118"/>
      <c r="J396" s="32"/>
      <c r="K396" s="68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 ht="15.75" customHeight="1">
      <c r="A397" s="32"/>
      <c r="B397" s="65"/>
      <c r="C397" s="65"/>
      <c r="D397" s="32"/>
      <c r="E397" s="32"/>
      <c r="F397" s="32"/>
      <c r="G397" s="65"/>
      <c r="H397" s="67"/>
      <c r="I397" s="118"/>
      <c r="J397" s="32"/>
      <c r="K397" s="68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ht="15.75" customHeight="1">
      <c r="A398" s="32"/>
      <c r="B398" s="65"/>
      <c r="C398" s="65"/>
      <c r="D398" s="32"/>
      <c r="E398" s="32"/>
      <c r="F398" s="32"/>
      <c r="G398" s="65"/>
      <c r="H398" s="67"/>
      <c r="I398" s="118"/>
      <c r="J398" s="32"/>
      <c r="K398" s="68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 ht="15.75" customHeight="1">
      <c r="A399" s="32"/>
      <c r="B399" s="65"/>
      <c r="C399" s="65"/>
      <c r="D399" s="32"/>
      <c r="E399" s="32"/>
      <c r="F399" s="32"/>
      <c r="G399" s="65"/>
      <c r="H399" s="67"/>
      <c r="I399" s="118"/>
      <c r="J399" s="32"/>
      <c r="K399" s="68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 ht="15.75" customHeight="1">
      <c r="A400" s="32"/>
      <c r="B400" s="65"/>
      <c r="C400" s="65"/>
      <c r="D400" s="32"/>
      <c r="E400" s="32"/>
      <c r="F400" s="32"/>
      <c r="G400" s="65"/>
      <c r="H400" s="67"/>
      <c r="I400" s="118"/>
      <c r="J400" s="32"/>
      <c r="K400" s="68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 ht="15.75" customHeight="1">
      <c r="A401" s="32"/>
      <c r="B401" s="65"/>
      <c r="C401" s="65"/>
      <c r="D401" s="32"/>
      <c r="E401" s="32"/>
      <c r="F401" s="32"/>
      <c r="G401" s="65"/>
      <c r="H401" s="67"/>
      <c r="I401" s="118"/>
      <c r="J401" s="32"/>
      <c r="K401" s="68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 ht="15.75" customHeight="1">
      <c r="A402" s="32"/>
      <c r="B402" s="65"/>
      <c r="C402" s="65"/>
      <c r="D402" s="32"/>
      <c r="E402" s="32"/>
      <c r="F402" s="32"/>
      <c r="G402" s="65"/>
      <c r="H402" s="67"/>
      <c r="I402" s="118"/>
      <c r="J402" s="32"/>
      <c r="K402" s="68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 ht="15.75" customHeight="1">
      <c r="A403" s="32"/>
      <c r="B403" s="65"/>
      <c r="C403" s="65"/>
      <c r="D403" s="32"/>
      <c r="E403" s="32"/>
      <c r="F403" s="32"/>
      <c r="G403" s="65"/>
      <c r="H403" s="67"/>
      <c r="I403" s="118"/>
      <c r="J403" s="32"/>
      <c r="K403" s="68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 ht="15.75" customHeight="1">
      <c r="A404" s="32"/>
      <c r="B404" s="65"/>
      <c r="C404" s="65"/>
      <c r="D404" s="32"/>
      <c r="E404" s="32"/>
      <c r="F404" s="32"/>
      <c r="G404" s="65"/>
      <c r="H404" s="67"/>
      <c r="I404" s="118"/>
      <c r="J404" s="32"/>
      <c r="K404" s="68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 ht="15.75" customHeight="1">
      <c r="A405" s="32"/>
      <c r="B405" s="65"/>
      <c r="C405" s="65"/>
      <c r="D405" s="32"/>
      <c r="E405" s="32"/>
      <c r="F405" s="32"/>
      <c r="G405" s="65"/>
      <c r="H405" s="67"/>
      <c r="I405" s="118"/>
      <c r="J405" s="32"/>
      <c r="K405" s="68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 ht="15.75" customHeight="1">
      <c r="A406" s="32"/>
      <c r="B406" s="65"/>
      <c r="C406" s="65"/>
      <c r="D406" s="32"/>
      <c r="E406" s="32"/>
      <c r="F406" s="32"/>
      <c r="G406" s="65"/>
      <c r="H406" s="67"/>
      <c r="I406" s="118"/>
      <c r="J406" s="32"/>
      <c r="K406" s="68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 ht="15.75" customHeight="1">
      <c r="A407" s="32"/>
      <c r="B407" s="65"/>
      <c r="C407" s="65"/>
      <c r="D407" s="32"/>
      <c r="E407" s="32"/>
      <c r="F407" s="32"/>
      <c r="G407" s="65"/>
      <c r="H407" s="67"/>
      <c r="I407" s="118"/>
      <c r="J407" s="32"/>
      <c r="K407" s="68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 ht="15.75" customHeight="1">
      <c r="A408" s="32"/>
      <c r="B408" s="65"/>
      <c r="C408" s="65"/>
      <c r="D408" s="32"/>
      <c r="E408" s="32"/>
      <c r="F408" s="32"/>
      <c r="G408" s="65"/>
      <c r="H408" s="67"/>
      <c r="I408" s="118"/>
      <c r="J408" s="32"/>
      <c r="K408" s="68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 ht="15.75" customHeight="1">
      <c r="A409" s="32"/>
      <c r="B409" s="65"/>
      <c r="C409" s="65"/>
      <c r="D409" s="32"/>
      <c r="E409" s="32"/>
      <c r="F409" s="32"/>
      <c r="G409" s="65"/>
      <c r="H409" s="67"/>
      <c r="I409" s="118"/>
      <c r="J409" s="32"/>
      <c r="K409" s="68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 ht="15.75" customHeight="1">
      <c r="A410" s="32"/>
      <c r="B410" s="65"/>
      <c r="C410" s="65"/>
      <c r="D410" s="32"/>
      <c r="E410" s="32"/>
      <c r="F410" s="32"/>
      <c r="G410" s="65"/>
      <c r="H410" s="67"/>
      <c r="I410" s="118"/>
      <c r="J410" s="32"/>
      <c r="K410" s="68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 ht="15.75" customHeight="1">
      <c r="A411" s="32"/>
      <c r="B411" s="65"/>
      <c r="C411" s="65"/>
      <c r="D411" s="32"/>
      <c r="E411" s="32"/>
      <c r="F411" s="32"/>
      <c r="G411" s="65"/>
      <c r="H411" s="67"/>
      <c r="I411" s="118"/>
      <c r="J411" s="32"/>
      <c r="K411" s="68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 ht="15.75" customHeight="1">
      <c r="A412" s="32"/>
      <c r="B412" s="65"/>
      <c r="C412" s="65"/>
      <c r="D412" s="32"/>
      <c r="E412" s="32"/>
      <c r="F412" s="32"/>
      <c r="G412" s="65"/>
      <c r="H412" s="67"/>
      <c r="I412" s="118"/>
      <c r="J412" s="32"/>
      <c r="K412" s="68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 ht="15.75" customHeight="1">
      <c r="A413" s="32"/>
      <c r="B413" s="65"/>
      <c r="C413" s="65"/>
      <c r="D413" s="32"/>
      <c r="E413" s="32"/>
      <c r="F413" s="32"/>
      <c r="G413" s="65"/>
      <c r="H413" s="67"/>
      <c r="I413" s="118"/>
      <c r="J413" s="32"/>
      <c r="K413" s="68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 ht="15.75" customHeight="1">
      <c r="A414" s="32"/>
      <c r="B414" s="65"/>
      <c r="C414" s="65"/>
      <c r="D414" s="32"/>
      <c r="E414" s="32"/>
      <c r="F414" s="32"/>
      <c r="G414" s="65"/>
      <c r="H414" s="67"/>
      <c r="I414" s="118"/>
      <c r="J414" s="32"/>
      <c r="K414" s="68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 ht="15.75" customHeight="1">
      <c r="A415" s="32"/>
      <c r="B415" s="65"/>
      <c r="C415" s="65"/>
      <c r="D415" s="32"/>
      <c r="E415" s="32"/>
      <c r="F415" s="32"/>
      <c r="G415" s="65"/>
      <c r="H415" s="67"/>
      <c r="I415" s="118"/>
      <c r="J415" s="32"/>
      <c r="K415" s="68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 ht="15.75" customHeight="1">
      <c r="A416" s="32"/>
      <c r="B416" s="65"/>
      <c r="C416" s="65"/>
      <c r="D416" s="32"/>
      <c r="E416" s="32"/>
      <c r="F416" s="32"/>
      <c r="G416" s="65"/>
      <c r="H416" s="67"/>
      <c r="I416" s="118"/>
      <c r="J416" s="32"/>
      <c r="K416" s="68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 ht="15.75" customHeight="1">
      <c r="A417" s="32"/>
      <c r="B417" s="65"/>
      <c r="C417" s="65"/>
      <c r="D417" s="32"/>
      <c r="E417" s="32"/>
      <c r="F417" s="32"/>
      <c r="G417" s="65"/>
      <c r="H417" s="67"/>
      <c r="I417" s="118"/>
      <c r="J417" s="32"/>
      <c r="K417" s="68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 ht="15.75" customHeight="1">
      <c r="A418" s="32"/>
      <c r="B418" s="65"/>
      <c r="C418" s="65"/>
      <c r="D418" s="32"/>
      <c r="E418" s="32"/>
      <c r="F418" s="32"/>
      <c r="G418" s="65"/>
      <c r="H418" s="67"/>
      <c r="I418" s="118"/>
      <c r="J418" s="32"/>
      <c r="K418" s="68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 ht="15.75" customHeight="1">
      <c r="A419" s="32"/>
      <c r="B419" s="65"/>
      <c r="C419" s="65"/>
      <c r="D419" s="32"/>
      <c r="E419" s="32"/>
      <c r="F419" s="32"/>
      <c r="G419" s="65"/>
      <c r="H419" s="67"/>
      <c r="I419" s="118"/>
      <c r="J419" s="32"/>
      <c r="K419" s="68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 ht="15.75" customHeight="1">
      <c r="A420" s="32"/>
      <c r="B420" s="65"/>
      <c r="C420" s="65"/>
      <c r="D420" s="32"/>
      <c r="E420" s="32"/>
      <c r="F420" s="32"/>
      <c r="G420" s="65"/>
      <c r="H420" s="67"/>
      <c r="I420" s="118"/>
      <c r="J420" s="32"/>
      <c r="K420" s="68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 ht="15.75" customHeight="1">
      <c r="A421" s="32"/>
      <c r="B421" s="65"/>
      <c r="C421" s="65"/>
      <c r="D421" s="32"/>
      <c r="E421" s="32"/>
      <c r="F421" s="32"/>
      <c r="G421" s="65"/>
      <c r="H421" s="67"/>
      <c r="I421" s="118"/>
      <c r="J421" s="32"/>
      <c r="K421" s="68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 ht="15.75" customHeight="1">
      <c r="A422" s="32"/>
      <c r="B422" s="65"/>
      <c r="C422" s="65"/>
      <c r="D422" s="32"/>
      <c r="E422" s="32"/>
      <c r="F422" s="32"/>
      <c r="G422" s="65"/>
      <c r="H422" s="67"/>
      <c r="I422" s="118"/>
      <c r="J422" s="32"/>
      <c r="K422" s="68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 ht="15.75" customHeight="1">
      <c r="A423" s="32"/>
      <c r="B423" s="65"/>
      <c r="C423" s="65"/>
      <c r="D423" s="32"/>
      <c r="E423" s="32"/>
      <c r="F423" s="32"/>
      <c r="G423" s="65"/>
      <c r="H423" s="67"/>
      <c r="I423" s="118"/>
      <c r="J423" s="32"/>
      <c r="K423" s="68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 ht="15.75" customHeight="1">
      <c r="A424" s="32"/>
      <c r="B424" s="65"/>
      <c r="C424" s="65"/>
      <c r="D424" s="32"/>
      <c r="E424" s="32"/>
      <c r="F424" s="32"/>
      <c r="G424" s="65"/>
      <c r="H424" s="67"/>
      <c r="I424" s="118"/>
      <c r="J424" s="32"/>
      <c r="K424" s="68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 ht="15.75" customHeight="1">
      <c r="A425" s="32"/>
      <c r="B425" s="65"/>
      <c r="C425" s="65"/>
      <c r="D425" s="32"/>
      <c r="E425" s="32"/>
      <c r="F425" s="32"/>
      <c r="G425" s="65"/>
      <c r="H425" s="67"/>
      <c r="I425" s="118"/>
      <c r="J425" s="32"/>
      <c r="K425" s="68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 ht="15.75" customHeight="1">
      <c r="A426" s="32"/>
      <c r="B426" s="65"/>
      <c r="C426" s="65"/>
      <c r="D426" s="32"/>
      <c r="E426" s="32"/>
      <c r="F426" s="32"/>
      <c r="G426" s="65"/>
      <c r="H426" s="67"/>
      <c r="I426" s="118"/>
      <c r="J426" s="32"/>
      <c r="K426" s="68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 ht="15.75" customHeight="1">
      <c r="A427" s="32"/>
      <c r="B427" s="65"/>
      <c r="C427" s="65"/>
      <c r="D427" s="32"/>
      <c r="E427" s="32"/>
      <c r="F427" s="32"/>
      <c r="G427" s="65"/>
      <c r="H427" s="67"/>
      <c r="I427" s="118"/>
      <c r="J427" s="32"/>
      <c r="K427" s="68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 ht="15.75" customHeight="1">
      <c r="A428" s="32"/>
      <c r="B428" s="65"/>
      <c r="C428" s="65"/>
      <c r="D428" s="32"/>
      <c r="E428" s="32"/>
      <c r="F428" s="32"/>
      <c r="G428" s="65"/>
      <c r="H428" s="67"/>
      <c r="I428" s="118"/>
      <c r="J428" s="32"/>
      <c r="K428" s="68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 ht="15.75" customHeight="1">
      <c r="A429" s="32"/>
      <c r="B429" s="65"/>
      <c r="C429" s="65"/>
      <c r="D429" s="32"/>
      <c r="E429" s="32"/>
      <c r="F429" s="32"/>
      <c r="G429" s="65"/>
      <c r="H429" s="67"/>
      <c r="I429" s="118"/>
      <c r="J429" s="32"/>
      <c r="K429" s="68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 ht="15.75" customHeight="1">
      <c r="A430" s="32"/>
      <c r="B430" s="65"/>
      <c r="C430" s="65"/>
      <c r="D430" s="32"/>
      <c r="E430" s="32"/>
      <c r="F430" s="32"/>
      <c r="G430" s="65"/>
      <c r="H430" s="67"/>
      <c r="I430" s="118"/>
      <c r="J430" s="32"/>
      <c r="K430" s="68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 ht="15.75" customHeight="1">
      <c r="A431" s="32"/>
      <c r="B431" s="65"/>
      <c r="C431" s="65"/>
      <c r="D431" s="32"/>
      <c r="E431" s="32"/>
      <c r="F431" s="32"/>
      <c r="G431" s="65"/>
      <c r="H431" s="67"/>
      <c r="I431" s="118"/>
      <c r="J431" s="32"/>
      <c r="K431" s="68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 ht="15.75" customHeight="1">
      <c r="A432" s="32"/>
      <c r="B432" s="65"/>
      <c r="C432" s="65"/>
      <c r="D432" s="32"/>
      <c r="E432" s="32"/>
      <c r="F432" s="32"/>
      <c r="G432" s="65"/>
      <c r="H432" s="67"/>
      <c r="I432" s="118"/>
      <c r="J432" s="32"/>
      <c r="K432" s="68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 ht="15.75" customHeight="1">
      <c r="A433" s="32"/>
      <c r="B433" s="65"/>
      <c r="C433" s="65"/>
      <c r="D433" s="32"/>
      <c r="E433" s="32"/>
      <c r="F433" s="32"/>
      <c r="G433" s="65"/>
      <c r="H433" s="67"/>
      <c r="I433" s="118"/>
      <c r="J433" s="32"/>
      <c r="K433" s="68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 ht="15.75" customHeight="1">
      <c r="A434" s="32"/>
      <c r="B434" s="65"/>
      <c r="C434" s="65"/>
      <c r="D434" s="32"/>
      <c r="E434" s="32"/>
      <c r="F434" s="32"/>
      <c r="G434" s="65"/>
      <c r="H434" s="67"/>
      <c r="I434" s="118"/>
      <c r="J434" s="32"/>
      <c r="K434" s="68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 ht="15.75" customHeight="1">
      <c r="A435" s="32"/>
      <c r="B435" s="65"/>
      <c r="C435" s="65"/>
      <c r="D435" s="32"/>
      <c r="E435" s="32"/>
      <c r="F435" s="32"/>
      <c r="G435" s="65"/>
      <c r="H435" s="67"/>
      <c r="I435" s="118"/>
      <c r="J435" s="32"/>
      <c r="K435" s="68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 ht="15.75" customHeight="1">
      <c r="A436" s="32"/>
      <c r="B436" s="65"/>
      <c r="C436" s="65"/>
      <c r="D436" s="32"/>
      <c r="E436" s="32"/>
      <c r="F436" s="32"/>
      <c r="G436" s="65"/>
      <c r="H436" s="67"/>
      <c r="I436" s="118"/>
      <c r="J436" s="32"/>
      <c r="K436" s="68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 ht="15.75" customHeight="1">
      <c r="A437" s="32"/>
      <c r="B437" s="65"/>
      <c r="C437" s="65"/>
      <c r="D437" s="32"/>
      <c r="E437" s="32"/>
      <c r="F437" s="32"/>
      <c r="G437" s="65"/>
      <c r="H437" s="67"/>
      <c r="I437" s="118"/>
      <c r="J437" s="32"/>
      <c r="K437" s="68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 ht="15.75" customHeight="1">
      <c r="A438" s="32"/>
      <c r="B438" s="65"/>
      <c r="C438" s="65"/>
      <c r="D438" s="32"/>
      <c r="E438" s="32"/>
      <c r="F438" s="32"/>
      <c r="G438" s="65"/>
      <c r="H438" s="67"/>
      <c r="I438" s="118"/>
      <c r="J438" s="32"/>
      <c r="K438" s="68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 ht="15.75" customHeight="1">
      <c r="A439" s="32"/>
      <c r="B439" s="65"/>
      <c r="C439" s="65"/>
      <c r="D439" s="32"/>
      <c r="E439" s="32"/>
      <c r="F439" s="32"/>
      <c r="G439" s="65"/>
      <c r="H439" s="67"/>
      <c r="I439" s="118"/>
      <c r="J439" s="32"/>
      <c r="K439" s="68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 ht="15.75" customHeight="1">
      <c r="A440" s="32"/>
      <c r="B440" s="65"/>
      <c r="C440" s="65"/>
      <c r="D440" s="32"/>
      <c r="E440" s="32"/>
      <c r="F440" s="32"/>
      <c r="G440" s="65"/>
      <c r="H440" s="67"/>
      <c r="I440" s="118"/>
      <c r="J440" s="32"/>
      <c r="K440" s="68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 ht="15.75" customHeight="1">
      <c r="A441" s="32"/>
      <c r="B441" s="65"/>
      <c r="C441" s="65"/>
      <c r="D441" s="32"/>
      <c r="E441" s="32"/>
      <c r="F441" s="32"/>
      <c r="G441" s="65"/>
      <c r="H441" s="67"/>
      <c r="I441" s="118"/>
      <c r="J441" s="32"/>
      <c r="K441" s="68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 ht="15.75" customHeight="1">
      <c r="A442" s="32"/>
      <c r="B442" s="65"/>
      <c r="C442" s="65"/>
      <c r="D442" s="32"/>
      <c r="E442" s="32"/>
      <c r="F442" s="32"/>
      <c r="G442" s="65"/>
      <c r="H442" s="67"/>
      <c r="I442" s="118"/>
      <c r="J442" s="32"/>
      <c r="K442" s="68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 ht="15.75" customHeight="1">
      <c r="A443" s="32"/>
      <c r="B443" s="65"/>
      <c r="C443" s="65"/>
      <c r="D443" s="32"/>
      <c r="E443" s="32"/>
      <c r="F443" s="32"/>
      <c r="G443" s="65"/>
      <c r="H443" s="67"/>
      <c r="I443" s="118"/>
      <c r="J443" s="32"/>
      <c r="K443" s="68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 ht="15.75" customHeight="1">
      <c r="A444" s="32"/>
      <c r="B444" s="65"/>
      <c r="C444" s="65"/>
      <c r="D444" s="32"/>
      <c r="E444" s="32"/>
      <c r="F444" s="32"/>
      <c r="G444" s="65"/>
      <c r="H444" s="67"/>
      <c r="I444" s="118"/>
      <c r="J444" s="32"/>
      <c r="K444" s="68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 ht="15.75" customHeight="1">
      <c r="A445" s="32"/>
      <c r="B445" s="65"/>
      <c r="C445" s="65"/>
      <c r="D445" s="32"/>
      <c r="E445" s="32"/>
      <c r="F445" s="32"/>
      <c r="G445" s="65"/>
      <c r="H445" s="67"/>
      <c r="I445" s="118"/>
      <c r="J445" s="32"/>
      <c r="K445" s="68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 ht="15.75" customHeight="1">
      <c r="A446" s="32"/>
      <c r="B446" s="65"/>
      <c r="C446" s="65"/>
      <c r="D446" s="32"/>
      <c r="E446" s="32"/>
      <c r="F446" s="32"/>
      <c r="G446" s="65"/>
      <c r="H446" s="67"/>
      <c r="I446" s="118"/>
      <c r="J446" s="32"/>
      <c r="K446" s="68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 ht="15.75" customHeight="1">
      <c r="A447" s="32"/>
      <c r="B447" s="65"/>
      <c r="C447" s="65"/>
      <c r="D447" s="32"/>
      <c r="E447" s="32"/>
      <c r="F447" s="32"/>
      <c r="G447" s="65"/>
      <c r="H447" s="67"/>
      <c r="I447" s="118"/>
      <c r="J447" s="32"/>
      <c r="K447" s="68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 ht="15.75" customHeight="1">
      <c r="A448" s="32"/>
      <c r="B448" s="65"/>
      <c r="C448" s="65"/>
      <c r="D448" s="32"/>
      <c r="E448" s="32"/>
      <c r="F448" s="32"/>
      <c r="G448" s="65"/>
      <c r="H448" s="67"/>
      <c r="I448" s="118"/>
      <c r="J448" s="32"/>
      <c r="K448" s="68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 ht="15.75" customHeight="1">
      <c r="A449" s="32"/>
      <c r="B449" s="65"/>
      <c r="C449" s="65"/>
      <c r="D449" s="32"/>
      <c r="E449" s="32"/>
      <c r="F449" s="32"/>
      <c r="G449" s="65"/>
      <c r="H449" s="67"/>
      <c r="I449" s="118"/>
      <c r="J449" s="32"/>
      <c r="K449" s="68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 ht="15.75" customHeight="1">
      <c r="A450" s="32"/>
      <c r="B450" s="65"/>
      <c r="C450" s="65"/>
      <c r="D450" s="32"/>
      <c r="E450" s="32"/>
      <c r="F450" s="32"/>
      <c r="G450" s="65"/>
      <c r="H450" s="67"/>
      <c r="I450" s="118"/>
      <c r="J450" s="32"/>
      <c r="K450" s="68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 ht="15.75" customHeight="1">
      <c r="A451" s="32"/>
      <c r="B451" s="65"/>
      <c r="C451" s="65"/>
      <c r="D451" s="32"/>
      <c r="E451" s="32"/>
      <c r="F451" s="32"/>
      <c r="G451" s="65"/>
      <c r="H451" s="67"/>
      <c r="I451" s="118"/>
      <c r="J451" s="32"/>
      <c r="K451" s="68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 ht="15.75" customHeight="1">
      <c r="A452" s="32"/>
      <c r="B452" s="65"/>
      <c r="C452" s="65"/>
      <c r="D452" s="32"/>
      <c r="E452" s="32"/>
      <c r="F452" s="32"/>
      <c r="G452" s="65"/>
      <c r="H452" s="67"/>
      <c r="I452" s="118"/>
      <c r="J452" s="32"/>
      <c r="K452" s="68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 ht="15.75" customHeight="1">
      <c r="A453" s="32"/>
      <c r="B453" s="65"/>
      <c r="C453" s="65"/>
      <c r="D453" s="32"/>
      <c r="E453" s="32"/>
      <c r="F453" s="32"/>
      <c r="G453" s="65"/>
      <c r="H453" s="67"/>
      <c r="I453" s="118"/>
      <c r="J453" s="32"/>
      <c r="K453" s="68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 ht="15.75" customHeight="1">
      <c r="A454" s="32"/>
      <c r="B454" s="65"/>
      <c r="C454" s="65"/>
      <c r="D454" s="32"/>
      <c r="E454" s="32"/>
      <c r="F454" s="32"/>
      <c r="G454" s="65"/>
      <c r="H454" s="67"/>
      <c r="I454" s="118"/>
      <c r="J454" s="32"/>
      <c r="K454" s="68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 ht="15.75" customHeight="1">
      <c r="A455" s="32"/>
      <c r="B455" s="65"/>
      <c r="C455" s="65"/>
      <c r="D455" s="32"/>
      <c r="E455" s="32"/>
      <c r="F455" s="32"/>
      <c r="G455" s="65"/>
      <c r="H455" s="67"/>
      <c r="I455" s="118"/>
      <c r="J455" s="32"/>
      <c r="K455" s="68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 ht="15.75" customHeight="1">
      <c r="A456" s="32"/>
      <c r="B456" s="65"/>
      <c r="C456" s="65"/>
      <c r="D456" s="32"/>
      <c r="E456" s="32"/>
      <c r="F456" s="32"/>
      <c r="G456" s="65"/>
      <c r="H456" s="67"/>
      <c r="I456" s="118"/>
      <c r="J456" s="32"/>
      <c r="K456" s="68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 ht="15.75" customHeight="1">
      <c r="A457" s="32"/>
      <c r="B457" s="65"/>
      <c r="C457" s="65"/>
      <c r="D457" s="32"/>
      <c r="E457" s="32"/>
      <c r="F457" s="32"/>
      <c r="G457" s="65"/>
      <c r="H457" s="67"/>
      <c r="I457" s="118"/>
      <c r="J457" s="32"/>
      <c r="K457" s="68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 ht="15.75" customHeight="1">
      <c r="A458" s="32"/>
      <c r="B458" s="65"/>
      <c r="C458" s="65"/>
      <c r="D458" s="32"/>
      <c r="E458" s="32"/>
      <c r="F458" s="32"/>
      <c r="G458" s="65"/>
      <c r="H458" s="67"/>
      <c r="I458" s="118"/>
      <c r="J458" s="32"/>
      <c r="K458" s="68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 ht="15.75" customHeight="1">
      <c r="A459" s="32"/>
      <c r="B459" s="65"/>
      <c r="C459" s="65"/>
      <c r="D459" s="32"/>
      <c r="E459" s="32"/>
      <c r="F459" s="32"/>
      <c r="G459" s="65"/>
      <c r="H459" s="67"/>
      <c r="I459" s="118"/>
      <c r="J459" s="32"/>
      <c r="K459" s="68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 ht="15.75" customHeight="1">
      <c r="A460" s="32"/>
      <c r="B460" s="65"/>
      <c r="C460" s="65"/>
      <c r="D460" s="32"/>
      <c r="E460" s="32"/>
      <c r="F460" s="32"/>
      <c r="G460" s="65"/>
      <c r="H460" s="67"/>
      <c r="I460" s="118"/>
      <c r="J460" s="32"/>
      <c r="K460" s="68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 ht="15.75" customHeight="1">
      <c r="A461" s="32"/>
      <c r="B461" s="65"/>
      <c r="C461" s="65"/>
      <c r="D461" s="32"/>
      <c r="E461" s="32"/>
      <c r="F461" s="32"/>
      <c r="G461" s="65"/>
      <c r="H461" s="67"/>
      <c r="I461" s="118"/>
      <c r="J461" s="32"/>
      <c r="K461" s="68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ht="15.75" customHeight="1">
      <c r="A462" s="32"/>
      <c r="B462" s="65"/>
      <c r="C462" s="65"/>
      <c r="D462" s="32"/>
      <c r="E462" s="32"/>
      <c r="F462" s="32"/>
      <c r="G462" s="65"/>
      <c r="H462" s="67"/>
      <c r="I462" s="118"/>
      <c r="J462" s="32"/>
      <c r="K462" s="68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 ht="15.75" customHeight="1">
      <c r="A463" s="32"/>
      <c r="B463" s="65"/>
      <c r="C463" s="65"/>
      <c r="D463" s="32"/>
      <c r="E463" s="32"/>
      <c r="F463" s="32"/>
      <c r="G463" s="65"/>
      <c r="H463" s="67"/>
      <c r="I463" s="118"/>
      <c r="J463" s="32"/>
      <c r="K463" s="68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 ht="15.75" customHeight="1">
      <c r="A464" s="32"/>
      <c r="B464" s="65"/>
      <c r="C464" s="65"/>
      <c r="D464" s="32"/>
      <c r="E464" s="32"/>
      <c r="F464" s="32"/>
      <c r="G464" s="65"/>
      <c r="H464" s="67"/>
      <c r="I464" s="118"/>
      <c r="J464" s="32"/>
      <c r="K464" s="68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 ht="15.75" customHeight="1">
      <c r="A465" s="32"/>
      <c r="B465" s="65"/>
      <c r="C465" s="65"/>
      <c r="D465" s="32"/>
      <c r="E465" s="32"/>
      <c r="F465" s="32"/>
      <c r="G465" s="65"/>
      <c r="H465" s="67"/>
      <c r="I465" s="118"/>
      <c r="J465" s="32"/>
      <c r="K465" s="68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 ht="15.75" customHeight="1">
      <c r="A466" s="32"/>
      <c r="B466" s="65"/>
      <c r="C466" s="65"/>
      <c r="D466" s="32"/>
      <c r="E466" s="32"/>
      <c r="F466" s="32"/>
      <c r="G466" s="65"/>
      <c r="H466" s="67"/>
      <c r="I466" s="118"/>
      <c r="J466" s="32"/>
      <c r="K466" s="68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 ht="15.75" customHeight="1">
      <c r="A467" s="32"/>
      <c r="B467" s="65"/>
      <c r="C467" s="65"/>
      <c r="D467" s="32"/>
      <c r="E467" s="32"/>
      <c r="F467" s="32"/>
      <c r="G467" s="65"/>
      <c r="H467" s="67"/>
      <c r="I467" s="118"/>
      <c r="J467" s="32"/>
      <c r="K467" s="68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 ht="15.75" customHeight="1">
      <c r="A468" s="32"/>
      <c r="B468" s="65"/>
      <c r="C468" s="65"/>
      <c r="D468" s="32"/>
      <c r="E468" s="32"/>
      <c r="F468" s="32"/>
      <c r="G468" s="65"/>
      <c r="H468" s="67"/>
      <c r="I468" s="118"/>
      <c r="J468" s="32"/>
      <c r="K468" s="68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 ht="15.75" customHeight="1">
      <c r="A469" s="32"/>
      <c r="B469" s="65"/>
      <c r="C469" s="65"/>
      <c r="D469" s="32"/>
      <c r="E469" s="32"/>
      <c r="F469" s="32"/>
      <c r="G469" s="65"/>
      <c r="H469" s="67"/>
      <c r="I469" s="118"/>
      <c r="J469" s="32"/>
      <c r="K469" s="68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 ht="15.75" customHeight="1">
      <c r="A470" s="32"/>
      <c r="B470" s="65"/>
      <c r="C470" s="65"/>
      <c r="D470" s="32"/>
      <c r="E470" s="32"/>
      <c r="F470" s="32"/>
      <c r="G470" s="65"/>
      <c r="H470" s="67"/>
      <c r="I470" s="118"/>
      <c r="J470" s="32"/>
      <c r="K470" s="68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 ht="15.75" customHeight="1">
      <c r="A471" s="32"/>
      <c r="B471" s="65"/>
      <c r="C471" s="65"/>
      <c r="D471" s="32"/>
      <c r="E471" s="32"/>
      <c r="F471" s="32"/>
      <c r="G471" s="65"/>
      <c r="H471" s="67"/>
      <c r="I471" s="118"/>
      <c r="J471" s="32"/>
      <c r="K471" s="68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 ht="15.75" customHeight="1">
      <c r="A472" s="32"/>
      <c r="B472" s="65"/>
      <c r="C472" s="65"/>
      <c r="D472" s="32"/>
      <c r="E472" s="32"/>
      <c r="F472" s="32"/>
      <c r="G472" s="65"/>
      <c r="H472" s="67"/>
      <c r="I472" s="118"/>
      <c r="J472" s="32"/>
      <c r="K472" s="68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 ht="15.75" customHeight="1">
      <c r="A473" s="32"/>
      <c r="B473" s="65"/>
      <c r="C473" s="65"/>
      <c r="D473" s="32"/>
      <c r="E473" s="32"/>
      <c r="F473" s="32"/>
      <c r="G473" s="65"/>
      <c r="H473" s="67"/>
      <c r="I473" s="118"/>
      <c r="J473" s="32"/>
      <c r="K473" s="68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 ht="15.75" customHeight="1">
      <c r="A474" s="32"/>
      <c r="B474" s="65"/>
      <c r="C474" s="65"/>
      <c r="D474" s="32"/>
      <c r="E474" s="32"/>
      <c r="F474" s="32"/>
      <c r="G474" s="65"/>
      <c r="H474" s="67"/>
      <c r="I474" s="118"/>
      <c r="J474" s="32"/>
      <c r="K474" s="68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 ht="15.75" customHeight="1">
      <c r="A475" s="32"/>
      <c r="B475" s="65"/>
      <c r="C475" s="65"/>
      <c r="D475" s="32"/>
      <c r="E475" s="32"/>
      <c r="F475" s="32"/>
      <c r="G475" s="65"/>
      <c r="H475" s="67"/>
      <c r="I475" s="118"/>
      <c r="J475" s="32"/>
      <c r="K475" s="68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 ht="15.75" customHeight="1">
      <c r="A476" s="32"/>
      <c r="B476" s="65"/>
      <c r="C476" s="65"/>
      <c r="D476" s="32"/>
      <c r="E476" s="32"/>
      <c r="F476" s="32"/>
      <c r="G476" s="65"/>
      <c r="H476" s="67"/>
      <c r="I476" s="118"/>
      <c r="J476" s="32"/>
      <c r="K476" s="68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 ht="15.75" customHeight="1">
      <c r="A477" s="32"/>
      <c r="B477" s="65"/>
      <c r="C477" s="65"/>
      <c r="D477" s="32"/>
      <c r="E477" s="32"/>
      <c r="F477" s="32"/>
      <c r="G477" s="65"/>
      <c r="H477" s="67"/>
      <c r="I477" s="118"/>
      <c r="J477" s="32"/>
      <c r="K477" s="68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 ht="15.75" customHeight="1">
      <c r="A478" s="32"/>
      <c r="B478" s="65"/>
      <c r="C478" s="65"/>
      <c r="D478" s="32"/>
      <c r="E478" s="32"/>
      <c r="F478" s="32"/>
      <c r="G478" s="65"/>
      <c r="H478" s="67"/>
      <c r="I478" s="118"/>
      <c r="J478" s="32"/>
      <c r="K478" s="68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 ht="15.75" customHeight="1">
      <c r="A479" s="32"/>
      <c r="B479" s="65"/>
      <c r="C479" s="65"/>
      <c r="D479" s="32"/>
      <c r="E479" s="32"/>
      <c r="F479" s="32"/>
      <c r="G479" s="65"/>
      <c r="H479" s="67"/>
      <c r="I479" s="118"/>
      <c r="J479" s="32"/>
      <c r="K479" s="68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 ht="15.75" customHeight="1">
      <c r="A480" s="32"/>
      <c r="B480" s="65"/>
      <c r="C480" s="65"/>
      <c r="D480" s="32"/>
      <c r="E480" s="32"/>
      <c r="F480" s="32"/>
      <c r="G480" s="65"/>
      <c r="H480" s="67"/>
      <c r="I480" s="118"/>
      <c r="J480" s="32"/>
      <c r="K480" s="68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 ht="15.75" customHeight="1">
      <c r="A481" s="32"/>
      <c r="B481" s="65"/>
      <c r="C481" s="65"/>
      <c r="D481" s="32"/>
      <c r="E481" s="32"/>
      <c r="F481" s="32"/>
      <c r="G481" s="65"/>
      <c r="H481" s="67"/>
      <c r="I481" s="118"/>
      <c r="J481" s="32"/>
      <c r="K481" s="68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 ht="15.75" customHeight="1">
      <c r="A482" s="32"/>
      <c r="B482" s="65"/>
      <c r="C482" s="65"/>
      <c r="D482" s="32"/>
      <c r="E482" s="32"/>
      <c r="F482" s="32"/>
      <c r="G482" s="65"/>
      <c r="H482" s="67"/>
      <c r="I482" s="118"/>
      <c r="J482" s="32"/>
      <c r="K482" s="68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 ht="15.75" customHeight="1">
      <c r="A483" s="32"/>
      <c r="B483" s="65"/>
      <c r="C483" s="65"/>
      <c r="D483" s="32"/>
      <c r="E483" s="32"/>
      <c r="F483" s="32"/>
      <c r="G483" s="65"/>
      <c r="H483" s="67"/>
      <c r="I483" s="118"/>
      <c r="J483" s="32"/>
      <c r="K483" s="68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 ht="15.75" customHeight="1">
      <c r="A484" s="32"/>
      <c r="B484" s="65"/>
      <c r="C484" s="65"/>
      <c r="D484" s="32"/>
      <c r="E484" s="32"/>
      <c r="F484" s="32"/>
      <c r="G484" s="65"/>
      <c r="H484" s="67"/>
      <c r="I484" s="118"/>
      <c r="J484" s="32"/>
      <c r="K484" s="68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 ht="15.75" customHeight="1">
      <c r="A485" s="32"/>
      <c r="B485" s="65"/>
      <c r="C485" s="65"/>
      <c r="D485" s="32"/>
      <c r="E485" s="32"/>
      <c r="F485" s="32"/>
      <c r="G485" s="65"/>
      <c r="H485" s="67"/>
      <c r="I485" s="118"/>
      <c r="J485" s="32"/>
      <c r="K485" s="68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 ht="15.75" customHeight="1">
      <c r="A486" s="32"/>
      <c r="B486" s="65"/>
      <c r="C486" s="65"/>
      <c r="D486" s="32"/>
      <c r="E486" s="32"/>
      <c r="F486" s="32"/>
      <c r="G486" s="65"/>
      <c r="H486" s="67"/>
      <c r="I486" s="118"/>
      <c r="J486" s="32"/>
      <c r="K486" s="68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 ht="15.75" customHeight="1">
      <c r="A487" s="32"/>
      <c r="B487" s="65"/>
      <c r="C487" s="65"/>
      <c r="D487" s="32"/>
      <c r="E487" s="32"/>
      <c r="F487" s="32"/>
      <c r="G487" s="65"/>
      <c r="H487" s="67"/>
      <c r="I487" s="118"/>
      <c r="J487" s="32"/>
      <c r="K487" s="68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 ht="15.75" customHeight="1">
      <c r="A488" s="32"/>
      <c r="B488" s="65"/>
      <c r="C488" s="65"/>
      <c r="D488" s="32"/>
      <c r="E488" s="32"/>
      <c r="F488" s="32"/>
      <c r="G488" s="65"/>
      <c r="H488" s="67"/>
      <c r="I488" s="118"/>
      <c r="J488" s="32"/>
      <c r="K488" s="68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 ht="15.75" customHeight="1">
      <c r="A489" s="32"/>
      <c r="B489" s="65"/>
      <c r="C489" s="65"/>
      <c r="D489" s="32"/>
      <c r="E489" s="32"/>
      <c r="F489" s="32"/>
      <c r="G489" s="65"/>
      <c r="H489" s="67"/>
      <c r="I489" s="118"/>
      <c r="J489" s="32"/>
      <c r="K489" s="68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 ht="15.75" customHeight="1">
      <c r="A490" s="32"/>
      <c r="B490" s="65"/>
      <c r="C490" s="65"/>
      <c r="D490" s="32"/>
      <c r="E490" s="32"/>
      <c r="F490" s="32"/>
      <c r="G490" s="65"/>
      <c r="H490" s="67"/>
      <c r="I490" s="118"/>
      <c r="J490" s="32"/>
      <c r="K490" s="68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 ht="15.75" customHeight="1">
      <c r="A491" s="32"/>
      <c r="B491" s="65"/>
      <c r="C491" s="65"/>
      <c r="D491" s="32"/>
      <c r="E491" s="32"/>
      <c r="F491" s="32"/>
      <c r="G491" s="65"/>
      <c r="H491" s="67"/>
      <c r="I491" s="118"/>
      <c r="J491" s="32"/>
      <c r="K491" s="68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 ht="15.75" customHeight="1">
      <c r="A492" s="32"/>
      <c r="B492" s="65"/>
      <c r="C492" s="65"/>
      <c r="D492" s="32"/>
      <c r="E492" s="32"/>
      <c r="F492" s="32"/>
      <c r="G492" s="65"/>
      <c r="H492" s="67"/>
      <c r="I492" s="118"/>
      <c r="J492" s="32"/>
      <c r="K492" s="68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 ht="15.75" customHeight="1">
      <c r="A493" s="32"/>
      <c r="B493" s="65"/>
      <c r="C493" s="65"/>
      <c r="D493" s="32"/>
      <c r="E493" s="32"/>
      <c r="F493" s="32"/>
      <c r="G493" s="65"/>
      <c r="H493" s="67"/>
      <c r="I493" s="118"/>
      <c r="J493" s="32"/>
      <c r="K493" s="68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 ht="15.75" customHeight="1">
      <c r="A494" s="32"/>
      <c r="B494" s="65"/>
      <c r="C494" s="65"/>
      <c r="D494" s="32"/>
      <c r="E494" s="32"/>
      <c r="F494" s="32"/>
      <c r="G494" s="65"/>
      <c r="H494" s="67"/>
      <c r="I494" s="118"/>
      <c r="J494" s="32"/>
      <c r="K494" s="68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 ht="15.75" customHeight="1">
      <c r="A495" s="32"/>
      <c r="B495" s="65"/>
      <c r="C495" s="65"/>
      <c r="D495" s="32"/>
      <c r="E495" s="32"/>
      <c r="F495" s="32"/>
      <c r="G495" s="65"/>
      <c r="H495" s="67"/>
      <c r="I495" s="118"/>
      <c r="J495" s="32"/>
      <c r="K495" s="68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 ht="15.75" customHeight="1">
      <c r="A496" s="32"/>
      <c r="B496" s="65"/>
      <c r="C496" s="65"/>
      <c r="D496" s="32"/>
      <c r="E496" s="32"/>
      <c r="F496" s="32"/>
      <c r="G496" s="65"/>
      <c r="H496" s="67"/>
      <c r="I496" s="118"/>
      <c r="J496" s="32"/>
      <c r="K496" s="68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 ht="15.75" customHeight="1">
      <c r="A497" s="32"/>
      <c r="B497" s="65"/>
      <c r="C497" s="65"/>
      <c r="D497" s="32"/>
      <c r="E497" s="32"/>
      <c r="F497" s="32"/>
      <c r="G497" s="65"/>
      <c r="H497" s="67"/>
      <c r="I497" s="118"/>
      <c r="J497" s="32"/>
      <c r="K497" s="68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 ht="15.75" customHeight="1">
      <c r="A498" s="32"/>
      <c r="B498" s="65"/>
      <c r="C498" s="65"/>
      <c r="D498" s="32"/>
      <c r="E498" s="32"/>
      <c r="F498" s="32"/>
      <c r="G498" s="65"/>
      <c r="H498" s="67"/>
      <c r="I498" s="118"/>
      <c r="J498" s="32"/>
      <c r="K498" s="68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 ht="15.75" customHeight="1">
      <c r="A499" s="32"/>
      <c r="B499" s="65"/>
      <c r="C499" s="65"/>
      <c r="D499" s="32"/>
      <c r="E499" s="32"/>
      <c r="F499" s="32"/>
      <c r="G499" s="65"/>
      <c r="H499" s="67"/>
      <c r="I499" s="118"/>
      <c r="J499" s="32"/>
      <c r="K499" s="68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 ht="15.75" customHeight="1">
      <c r="A500" s="32"/>
      <c r="B500" s="65"/>
      <c r="C500" s="65"/>
      <c r="D500" s="32"/>
      <c r="E500" s="32"/>
      <c r="F500" s="32"/>
      <c r="G500" s="65"/>
      <c r="H500" s="67"/>
      <c r="I500" s="118"/>
      <c r="J500" s="32"/>
      <c r="K500" s="68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 ht="15.75" customHeight="1">
      <c r="A501" s="32"/>
      <c r="B501" s="65"/>
      <c r="C501" s="65"/>
      <c r="D501" s="32"/>
      <c r="E501" s="32"/>
      <c r="F501" s="32"/>
      <c r="G501" s="65"/>
      <c r="H501" s="67"/>
      <c r="I501" s="118"/>
      <c r="J501" s="32"/>
      <c r="K501" s="68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 ht="15.75" customHeight="1">
      <c r="A502" s="32"/>
      <c r="B502" s="65"/>
      <c r="C502" s="65"/>
      <c r="D502" s="32"/>
      <c r="E502" s="32"/>
      <c r="F502" s="32"/>
      <c r="G502" s="65"/>
      <c r="H502" s="67"/>
      <c r="I502" s="118"/>
      <c r="J502" s="32"/>
      <c r="K502" s="68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 ht="15.75" customHeight="1">
      <c r="A503" s="32"/>
      <c r="B503" s="65"/>
      <c r="C503" s="65"/>
      <c r="D503" s="32"/>
      <c r="E503" s="32"/>
      <c r="F503" s="32"/>
      <c r="G503" s="65"/>
      <c r="H503" s="67"/>
      <c r="I503" s="118"/>
      <c r="J503" s="32"/>
      <c r="K503" s="68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 ht="15.75" customHeight="1">
      <c r="A504" s="32"/>
      <c r="B504" s="65"/>
      <c r="C504" s="65"/>
      <c r="D504" s="32"/>
      <c r="E504" s="32"/>
      <c r="F504" s="32"/>
      <c r="G504" s="65"/>
      <c r="H504" s="67"/>
      <c r="I504" s="118"/>
      <c r="J504" s="32"/>
      <c r="K504" s="68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 ht="15.75" customHeight="1">
      <c r="A505" s="32"/>
      <c r="B505" s="65"/>
      <c r="C505" s="65"/>
      <c r="D505" s="32"/>
      <c r="E505" s="32"/>
      <c r="F505" s="32"/>
      <c r="G505" s="65"/>
      <c r="H505" s="67"/>
      <c r="I505" s="118"/>
      <c r="J505" s="32"/>
      <c r="K505" s="68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 ht="15.75" customHeight="1">
      <c r="A506" s="32"/>
      <c r="B506" s="65"/>
      <c r="C506" s="65"/>
      <c r="D506" s="32"/>
      <c r="E506" s="32"/>
      <c r="F506" s="32"/>
      <c r="G506" s="65"/>
      <c r="H506" s="67"/>
      <c r="I506" s="118"/>
      <c r="J506" s="32"/>
      <c r="K506" s="68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 ht="15.75" customHeight="1">
      <c r="A507" s="32"/>
      <c r="B507" s="65"/>
      <c r="C507" s="65"/>
      <c r="D507" s="32"/>
      <c r="E507" s="32"/>
      <c r="F507" s="32"/>
      <c r="G507" s="65"/>
      <c r="H507" s="67"/>
      <c r="I507" s="118"/>
      <c r="J507" s="32"/>
      <c r="K507" s="68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 ht="15.75" customHeight="1">
      <c r="A508" s="32"/>
      <c r="B508" s="65"/>
      <c r="C508" s="65"/>
      <c r="D508" s="32"/>
      <c r="E508" s="32"/>
      <c r="F508" s="32"/>
      <c r="G508" s="65"/>
      <c r="H508" s="67"/>
      <c r="I508" s="118"/>
      <c r="J508" s="32"/>
      <c r="K508" s="68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 ht="15.75" customHeight="1">
      <c r="A509" s="32"/>
      <c r="B509" s="65"/>
      <c r="C509" s="65"/>
      <c r="D509" s="32"/>
      <c r="E509" s="32"/>
      <c r="F509" s="32"/>
      <c r="G509" s="65"/>
      <c r="H509" s="67"/>
      <c r="I509" s="118"/>
      <c r="J509" s="32"/>
      <c r="K509" s="68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 ht="15.75" customHeight="1">
      <c r="A510" s="32"/>
      <c r="B510" s="65"/>
      <c r="C510" s="65"/>
      <c r="D510" s="32"/>
      <c r="E510" s="32"/>
      <c r="F510" s="32"/>
      <c r="G510" s="65"/>
      <c r="H510" s="67"/>
      <c r="I510" s="118"/>
      <c r="J510" s="32"/>
      <c r="K510" s="68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ht="15.75" customHeight="1">
      <c r="A511" s="32"/>
      <c r="B511" s="65"/>
      <c r="C511" s="65"/>
      <c r="D511" s="32"/>
      <c r="E511" s="32"/>
      <c r="F511" s="32"/>
      <c r="G511" s="65"/>
      <c r="H511" s="67"/>
      <c r="I511" s="118"/>
      <c r="J511" s="32"/>
      <c r="K511" s="68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 ht="15.75" customHeight="1">
      <c r="A512" s="32"/>
      <c r="B512" s="65"/>
      <c r="C512" s="65"/>
      <c r="D512" s="32"/>
      <c r="E512" s="32"/>
      <c r="F512" s="32"/>
      <c r="G512" s="65"/>
      <c r="H512" s="67"/>
      <c r="I512" s="118"/>
      <c r="J512" s="32"/>
      <c r="K512" s="68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 ht="15.75" customHeight="1">
      <c r="A513" s="32"/>
      <c r="B513" s="65"/>
      <c r="C513" s="65"/>
      <c r="D513" s="32"/>
      <c r="E513" s="32"/>
      <c r="F513" s="32"/>
      <c r="G513" s="65"/>
      <c r="H513" s="67"/>
      <c r="I513" s="118"/>
      <c r="J513" s="32"/>
      <c r="K513" s="68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 ht="15.75" customHeight="1">
      <c r="A514" s="32"/>
      <c r="B514" s="65"/>
      <c r="C514" s="65"/>
      <c r="D514" s="32"/>
      <c r="E514" s="32"/>
      <c r="F514" s="32"/>
      <c r="G514" s="65"/>
      <c r="H514" s="67"/>
      <c r="I514" s="118"/>
      <c r="J514" s="32"/>
      <c r="K514" s="68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 ht="15.75" customHeight="1">
      <c r="A515" s="32"/>
      <c r="B515" s="65"/>
      <c r="C515" s="65"/>
      <c r="D515" s="32"/>
      <c r="E515" s="32"/>
      <c r="F515" s="32"/>
      <c r="G515" s="65"/>
      <c r="H515" s="67"/>
      <c r="I515" s="118"/>
      <c r="J515" s="32"/>
      <c r="K515" s="68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 ht="15.75" customHeight="1">
      <c r="A516" s="32"/>
      <c r="B516" s="65"/>
      <c r="C516" s="65"/>
      <c r="D516" s="32"/>
      <c r="E516" s="32"/>
      <c r="F516" s="32"/>
      <c r="G516" s="65"/>
      <c r="H516" s="67"/>
      <c r="I516" s="118"/>
      <c r="J516" s="32"/>
      <c r="K516" s="68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 ht="15.75" customHeight="1">
      <c r="A517" s="32"/>
      <c r="B517" s="65"/>
      <c r="C517" s="65"/>
      <c r="D517" s="32"/>
      <c r="E517" s="32"/>
      <c r="F517" s="32"/>
      <c r="G517" s="65"/>
      <c r="H517" s="67"/>
      <c r="I517" s="118"/>
      <c r="J517" s="32"/>
      <c r="K517" s="68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 ht="15.75" customHeight="1">
      <c r="A518" s="32"/>
      <c r="B518" s="65"/>
      <c r="C518" s="65"/>
      <c r="D518" s="32"/>
      <c r="E518" s="32"/>
      <c r="F518" s="32"/>
      <c r="G518" s="65"/>
      <c r="H518" s="67"/>
      <c r="I518" s="118"/>
      <c r="J518" s="32"/>
      <c r="K518" s="68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 ht="15.75" customHeight="1">
      <c r="A519" s="32"/>
      <c r="B519" s="65"/>
      <c r="C519" s="65"/>
      <c r="D519" s="32"/>
      <c r="E519" s="32"/>
      <c r="F519" s="32"/>
      <c r="G519" s="65"/>
      <c r="H519" s="67"/>
      <c r="I519" s="118"/>
      <c r="J519" s="32"/>
      <c r="K519" s="68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 ht="15.75" customHeight="1">
      <c r="A520" s="32"/>
      <c r="B520" s="65"/>
      <c r="C520" s="65"/>
      <c r="D520" s="32"/>
      <c r="E520" s="32"/>
      <c r="F520" s="32"/>
      <c r="G520" s="65"/>
      <c r="H520" s="67"/>
      <c r="I520" s="118"/>
      <c r="J520" s="32"/>
      <c r="K520" s="68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 ht="15.75" customHeight="1">
      <c r="A521" s="32"/>
      <c r="B521" s="65"/>
      <c r="C521" s="65"/>
      <c r="D521" s="32"/>
      <c r="E521" s="32"/>
      <c r="F521" s="32"/>
      <c r="G521" s="65"/>
      <c r="H521" s="67"/>
      <c r="I521" s="118"/>
      <c r="J521" s="32"/>
      <c r="K521" s="68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 ht="15.75" customHeight="1">
      <c r="A522" s="32"/>
      <c r="B522" s="65"/>
      <c r="C522" s="65"/>
      <c r="D522" s="32"/>
      <c r="E522" s="32"/>
      <c r="F522" s="32"/>
      <c r="G522" s="65"/>
      <c r="H522" s="67"/>
      <c r="I522" s="118"/>
      <c r="J522" s="32"/>
      <c r="K522" s="68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 ht="15.75" customHeight="1">
      <c r="A523" s="32"/>
      <c r="B523" s="65"/>
      <c r="C523" s="65"/>
      <c r="D523" s="32"/>
      <c r="E523" s="32"/>
      <c r="F523" s="32"/>
      <c r="G523" s="65"/>
      <c r="H523" s="67"/>
      <c r="I523" s="118"/>
      <c r="J523" s="32"/>
      <c r="K523" s="68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ht="15.75" customHeight="1">
      <c r="A524" s="32"/>
      <c r="B524" s="65"/>
      <c r="C524" s="65"/>
      <c r="D524" s="32"/>
      <c r="E524" s="32"/>
      <c r="F524" s="32"/>
      <c r="G524" s="65"/>
      <c r="H524" s="67"/>
      <c r="I524" s="118"/>
      <c r="J524" s="32"/>
      <c r="K524" s="68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 ht="15.75" customHeight="1">
      <c r="A525" s="32"/>
      <c r="B525" s="65"/>
      <c r="C525" s="65"/>
      <c r="D525" s="32"/>
      <c r="E525" s="32"/>
      <c r="F525" s="32"/>
      <c r="G525" s="65"/>
      <c r="H525" s="67"/>
      <c r="I525" s="118"/>
      <c r="J525" s="32"/>
      <c r="K525" s="68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 ht="15.75" customHeight="1">
      <c r="A526" s="32"/>
      <c r="B526" s="65"/>
      <c r="C526" s="65"/>
      <c r="D526" s="32"/>
      <c r="E526" s="32"/>
      <c r="F526" s="32"/>
      <c r="G526" s="65"/>
      <c r="H526" s="67"/>
      <c r="I526" s="118"/>
      <c r="J526" s="32"/>
      <c r="K526" s="68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 ht="15.75" customHeight="1">
      <c r="A527" s="32"/>
      <c r="B527" s="65"/>
      <c r="C527" s="65"/>
      <c r="D527" s="32"/>
      <c r="E527" s="32"/>
      <c r="F527" s="32"/>
      <c r="G527" s="65"/>
      <c r="H527" s="67"/>
      <c r="I527" s="118"/>
      <c r="J527" s="32"/>
      <c r="K527" s="68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 ht="15.75" customHeight="1">
      <c r="A528" s="32"/>
      <c r="B528" s="65"/>
      <c r="C528" s="65"/>
      <c r="D528" s="32"/>
      <c r="E528" s="32"/>
      <c r="F528" s="32"/>
      <c r="G528" s="65"/>
      <c r="H528" s="67"/>
      <c r="I528" s="118"/>
      <c r="J528" s="32"/>
      <c r="K528" s="68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 ht="15.75" customHeight="1">
      <c r="A529" s="32"/>
      <c r="B529" s="65"/>
      <c r="C529" s="65"/>
      <c r="D529" s="32"/>
      <c r="E529" s="32"/>
      <c r="F529" s="32"/>
      <c r="G529" s="65"/>
      <c r="H529" s="67"/>
      <c r="I529" s="118"/>
      <c r="J529" s="32"/>
      <c r="K529" s="68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 ht="15.75" customHeight="1">
      <c r="A530" s="32"/>
      <c r="B530" s="65"/>
      <c r="C530" s="65"/>
      <c r="D530" s="32"/>
      <c r="E530" s="32"/>
      <c r="F530" s="32"/>
      <c r="G530" s="65"/>
      <c r="H530" s="67"/>
      <c r="I530" s="118"/>
      <c r="J530" s="32"/>
      <c r="K530" s="68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 ht="15.75" customHeight="1">
      <c r="A531" s="32"/>
      <c r="B531" s="65"/>
      <c r="C531" s="65"/>
      <c r="D531" s="32"/>
      <c r="E531" s="32"/>
      <c r="F531" s="32"/>
      <c r="G531" s="65"/>
      <c r="H531" s="67"/>
      <c r="I531" s="118"/>
      <c r="J531" s="32"/>
      <c r="K531" s="68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 ht="15.75" customHeight="1">
      <c r="A532" s="32"/>
      <c r="B532" s="65"/>
      <c r="C532" s="65"/>
      <c r="D532" s="32"/>
      <c r="E532" s="32"/>
      <c r="F532" s="32"/>
      <c r="G532" s="65"/>
      <c r="H532" s="67"/>
      <c r="I532" s="118"/>
      <c r="J532" s="32"/>
      <c r="K532" s="68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 ht="15.75" customHeight="1">
      <c r="A533" s="32"/>
      <c r="B533" s="65"/>
      <c r="C533" s="65"/>
      <c r="D533" s="32"/>
      <c r="E533" s="32"/>
      <c r="F533" s="32"/>
      <c r="G533" s="65"/>
      <c r="H533" s="67"/>
      <c r="I533" s="118"/>
      <c r="J533" s="32"/>
      <c r="K533" s="68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 ht="15.75" customHeight="1">
      <c r="A534" s="32"/>
      <c r="B534" s="65"/>
      <c r="C534" s="65"/>
      <c r="D534" s="32"/>
      <c r="E534" s="32"/>
      <c r="F534" s="32"/>
      <c r="G534" s="65"/>
      <c r="H534" s="67"/>
      <c r="I534" s="118"/>
      <c r="J534" s="32"/>
      <c r="K534" s="68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 ht="15.75" customHeight="1">
      <c r="A535" s="32"/>
      <c r="B535" s="65"/>
      <c r="C535" s="65"/>
      <c r="D535" s="32"/>
      <c r="E535" s="32"/>
      <c r="F535" s="32"/>
      <c r="G535" s="65"/>
      <c r="H535" s="67"/>
      <c r="I535" s="118"/>
      <c r="J535" s="32"/>
      <c r="K535" s="68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 ht="15.75" customHeight="1">
      <c r="A536" s="32"/>
      <c r="B536" s="65"/>
      <c r="C536" s="65"/>
      <c r="D536" s="32"/>
      <c r="E536" s="32"/>
      <c r="F536" s="32"/>
      <c r="G536" s="65"/>
      <c r="H536" s="67"/>
      <c r="I536" s="118"/>
      <c r="J536" s="32"/>
      <c r="K536" s="68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 ht="15.75" customHeight="1">
      <c r="A537" s="32"/>
      <c r="B537" s="65"/>
      <c r="C537" s="65"/>
      <c r="D537" s="32"/>
      <c r="E537" s="32"/>
      <c r="F537" s="32"/>
      <c r="G537" s="65"/>
      <c r="H537" s="67"/>
      <c r="I537" s="118"/>
      <c r="J537" s="32"/>
      <c r="K537" s="68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ht="15.75" customHeight="1">
      <c r="A538" s="32"/>
      <c r="B538" s="65"/>
      <c r="C538" s="65"/>
      <c r="D538" s="32"/>
      <c r="E538" s="32"/>
      <c r="F538" s="32"/>
      <c r="G538" s="65"/>
      <c r="H538" s="67"/>
      <c r="I538" s="118"/>
      <c r="J538" s="32"/>
      <c r="K538" s="68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ht="15.75" customHeight="1">
      <c r="A539" s="32"/>
      <c r="B539" s="65"/>
      <c r="C539" s="65"/>
      <c r="D539" s="32"/>
      <c r="E539" s="32"/>
      <c r="F539" s="32"/>
      <c r="G539" s="65"/>
      <c r="H539" s="67"/>
      <c r="I539" s="118"/>
      <c r="J539" s="32"/>
      <c r="K539" s="68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 ht="15.75" customHeight="1">
      <c r="A540" s="32"/>
      <c r="B540" s="65"/>
      <c r="C540" s="65"/>
      <c r="D540" s="32"/>
      <c r="E540" s="32"/>
      <c r="F540" s="32"/>
      <c r="G540" s="65"/>
      <c r="H540" s="67"/>
      <c r="I540" s="118"/>
      <c r="J540" s="32"/>
      <c r="K540" s="68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 ht="15.75" customHeight="1">
      <c r="A541" s="32"/>
      <c r="B541" s="65"/>
      <c r="C541" s="65"/>
      <c r="D541" s="32"/>
      <c r="E541" s="32"/>
      <c r="F541" s="32"/>
      <c r="G541" s="65"/>
      <c r="H541" s="67"/>
      <c r="I541" s="118"/>
      <c r="J541" s="32"/>
      <c r="K541" s="68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 ht="15.75" customHeight="1">
      <c r="A542" s="32"/>
      <c r="B542" s="65"/>
      <c r="C542" s="65"/>
      <c r="D542" s="32"/>
      <c r="E542" s="32"/>
      <c r="F542" s="32"/>
      <c r="G542" s="65"/>
      <c r="H542" s="67"/>
      <c r="I542" s="118"/>
      <c r="J542" s="32"/>
      <c r="K542" s="68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 ht="15.75" customHeight="1">
      <c r="A543" s="32"/>
      <c r="B543" s="65"/>
      <c r="C543" s="65"/>
      <c r="D543" s="32"/>
      <c r="E543" s="32"/>
      <c r="F543" s="32"/>
      <c r="G543" s="65"/>
      <c r="H543" s="67"/>
      <c r="I543" s="118"/>
      <c r="J543" s="32"/>
      <c r="K543" s="68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 ht="15.75" customHeight="1">
      <c r="A544" s="32"/>
      <c r="B544" s="65"/>
      <c r="C544" s="65"/>
      <c r="D544" s="32"/>
      <c r="E544" s="32"/>
      <c r="F544" s="32"/>
      <c r="G544" s="65"/>
      <c r="H544" s="67"/>
      <c r="I544" s="118"/>
      <c r="J544" s="32"/>
      <c r="K544" s="68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 ht="15.75" customHeight="1">
      <c r="A545" s="32"/>
      <c r="B545" s="65"/>
      <c r="C545" s="65"/>
      <c r="D545" s="32"/>
      <c r="E545" s="32"/>
      <c r="F545" s="32"/>
      <c r="G545" s="65"/>
      <c r="H545" s="67"/>
      <c r="I545" s="118"/>
      <c r="J545" s="32"/>
      <c r="K545" s="68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 ht="15.75" customHeight="1">
      <c r="A546" s="32"/>
      <c r="B546" s="65"/>
      <c r="C546" s="65"/>
      <c r="D546" s="32"/>
      <c r="E546" s="32"/>
      <c r="F546" s="32"/>
      <c r="G546" s="65"/>
      <c r="H546" s="67"/>
      <c r="I546" s="118"/>
      <c r="J546" s="32"/>
      <c r="K546" s="68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 ht="15.75" customHeight="1">
      <c r="A547" s="32"/>
      <c r="B547" s="65"/>
      <c r="C547" s="65"/>
      <c r="D547" s="32"/>
      <c r="E547" s="32"/>
      <c r="F547" s="32"/>
      <c r="G547" s="65"/>
      <c r="H547" s="67"/>
      <c r="I547" s="118"/>
      <c r="J547" s="32"/>
      <c r="K547" s="68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 ht="15.75" customHeight="1">
      <c r="A548" s="32"/>
      <c r="B548" s="65"/>
      <c r="C548" s="65"/>
      <c r="D548" s="32"/>
      <c r="E548" s="32"/>
      <c r="F548" s="32"/>
      <c r="G548" s="65"/>
      <c r="H548" s="67"/>
      <c r="I548" s="118"/>
      <c r="J548" s="32"/>
      <c r="K548" s="68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 ht="15.75" customHeight="1">
      <c r="A549" s="32"/>
      <c r="B549" s="65"/>
      <c r="C549" s="65"/>
      <c r="D549" s="32"/>
      <c r="E549" s="32"/>
      <c r="F549" s="32"/>
      <c r="G549" s="65"/>
      <c r="H549" s="67"/>
      <c r="I549" s="118"/>
      <c r="J549" s="32"/>
      <c r="K549" s="68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 ht="15.75" customHeight="1">
      <c r="A550" s="32"/>
      <c r="B550" s="65"/>
      <c r="C550" s="65"/>
      <c r="D550" s="32"/>
      <c r="E550" s="32"/>
      <c r="F550" s="32"/>
      <c r="G550" s="65"/>
      <c r="H550" s="67"/>
      <c r="I550" s="118"/>
      <c r="J550" s="32"/>
      <c r="K550" s="68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 ht="15.75" customHeight="1">
      <c r="A551" s="32"/>
      <c r="B551" s="65"/>
      <c r="C551" s="65"/>
      <c r="D551" s="32"/>
      <c r="E551" s="32"/>
      <c r="F551" s="32"/>
      <c r="G551" s="65"/>
      <c r="H551" s="67"/>
      <c r="I551" s="118"/>
      <c r="J551" s="32"/>
      <c r="K551" s="68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 ht="15.75" customHeight="1">
      <c r="A552" s="32"/>
      <c r="B552" s="65"/>
      <c r="C552" s="65"/>
      <c r="D552" s="32"/>
      <c r="E552" s="32"/>
      <c r="F552" s="32"/>
      <c r="G552" s="65"/>
      <c r="H552" s="67"/>
      <c r="I552" s="118"/>
      <c r="J552" s="32"/>
      <c r="K552" s="68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 ht="15.75" customHeight="1">
      <c r="A553" s="32"/>
      <c r="B553" s="65"/>
      <c r="C553" s="65"/>
      <c r="D553" s="32"/>
      <c r="E553" s="32"/>
      <c r="F553" s="32"/>
      <c r="G553" s="65"/>
      <c r="H553" s="67"/>
      <c r="I553" s="118"/>
      <c r="J553" s="32"/>
      <c r="K553" s="68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 ht="15.75" customHeight="1">
      <c r="A554" s="32"/>
      <c r="B554" s="65"/>
      <c r="C554" s="65"/>
      <c r="D554" s="32"/>
      <c r="E554" s="32"/>
      <c r="F554" s="32"/>
      <c r="G554" s="65"/>
      <c r="H554" s="67"/>
      <c r="I554" s="118"/>
      <c r="J554" s="32"/>
      <c r="K554" s="68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 ht="15.75" customHeight="1">
      <c r="A555" s="32"/>
      <c r="B555" s="65"/>
      <c r="C555" s="65"/>
      <c r="D555" s="32"/>
      <c r="E555" s="32"/>
      <c r="F555" s="32"/>
      <c r="G555" s="65"/>
      <c r="H555" s="67"/>
      <c r="I555" s="118"/>
      <c r="J555" s="32"/>
      <c r="K555" s="68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 ht="15.75" customHeight="1">
      <c r="A556" s="32"/>
      <c r="B556" s="65"/>
      <c r="C556" s="65"/>
      <c r="D556" s="32"/>
      <c r="E556" s="32"/>
      <c r="F556" s="32"/>
      <c r="G556" s="65"/>
      <c r="H556" s="67"/>
      <c r="I556" s="118"/>
      <c r="J556" s="32"/>
      <c r="K556" s="68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 ht="15.75" customHeight="1">
      <c r="A557" s="32"/>
      <c r="B557" s="65"/>
      <c r="C557" s="65"/>
      <c r="D557" s="32"/>
      <c r="E557" s="32"/>
      <c r="F557" s="32"/>
      <c r="G557" s="65"/>
      <c r="H557" s="67"/>
      <c r="I557" s="118"/>
      <c r="J557" s="32"/>
      <c r="K557" s="68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 ht="15.75" customHeight="1">
      <c r="A558" s="32"/>
      <c r="B558" s="65"/>
      <c r="C558" s="65"/>
      <c r="D558" s="32"/>
      <c r="E558" s="32"/>
      <c r="F558" s="32"/>
      <c r="G558" s="65"/>
      <c r="H558" s="67"/>
      <c r="I558" s="118"/>
      <c r="J558" s="32"/>
      <c r="K558" s="68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 ht="15.75" customHeight="1">
      <c r="A559" s="32"/>
      <c r="B559" s="65"/>
      <c r="C559" s="65"/>
      <c r="D559" s="32"/>
      <c r="E559" s="32"/>
      <c r="F559" s="32"/>
      <c r="G559" s="65"/>
      <c r="H559" s="67"/>
      <c r="I559" s="118"/>
      <c r="J559" s="32"/>
      <c r="K559" s="68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 ht="15.75" customHeight="1">
      <c r="A560" s="32"/>
      <c r="B560" s="65"/>
      <c r="C560" s="65"/>
      <c r="D560" s="32"/>
      <c r="E560" s="32"/>
      <c r="F560" s="32"/>
      <c r="G560" s="65"/>
      <c r="H560" s="67"/>
      <c r="I560" s="118"/>
      <c r="J560" s="32"/>
      <c r="K560" s="68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 ht="15.75" customHeight="1">
      <c r="A561" s="32"/>
      <c r="B561" s="65"/>
      <c r="C561" s="65"/>
      <c r="D561" s="32"/>
      <c r="E561" s="32"/>
      <c r="F561" s="32"/>
      <c r="G561" s="65"/>
      <c r="H561" s="67"/>
      <c r="I561" s="118"/>
      <c r="J561" s="32"/>
      <c r="K561" s="68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 ht="15.75" customHeight="1">
      <c r="A562" s="32"/>
      <c r="B562" s="65"/>
      <c r="C562" s="65"/>
      <c r="D562" s="32"/>
      <c r="E562" s="32"/>
      <c r="F562" s="32"/>
      <c r="G562" s="65"/>
      <c r="H562" s="67"/>
      <c r="I562" s="118"/>
      <c r="J562" s="32"/>
      <c r="K562" s="68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 ht="15.75" customHeight="1">
      <c r="A563" s="32"/>
      <c r="B563" s="65"/>
      <c r="C563" s="65"/>
      <c r="D563" s="32"/>
      <c r="E563" s="32"/>
      <c r="F563" s="32"/>
      <c r="G563" s="65"/>
      <c r="H563" s="67"/>
      <c r="I563" s="118"/>
      <c r="J563" s="32"/>
      <c r="K563" s="68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 ht="15.75" customHeight="1">
      <c r="A564" s="32"/>
      <c r="B564" s="65"/>
      <c r="C564" s="65"/>
      <c r="D564" s="32"/>
      <c r="E564" s="32"/>
      <c r="F564" s="32"/>
      <c r="G564" s="65"/>
      <c r="H564" s="67"/>
      <c r="I564" s="118"/>
      <c r="J564" s="32"/>
      <c r="K564" s="68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 ht="15.75" customHeight="1">
      <c r="A565" s="32"/>
      <c r="B565" s="65"/>
      <c r="C565" s="65"/>
      <c r="D565" s="32"/>
      <c r="E565" s="32"/>
      <c r="F565" s="32"/>
      <c r="G565" s="65"/>
      <c r="H565" s="67"/>
      <c r="I565" s="118"/>
      <c r="J565" s="32"/>
      <c r="K565" s="68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 ht="15.75" customHeight="1">
      <c r="A566" s="32"/>
      <c r="B566" s="65"/>
      <c r="C566" s="65"/>
      <c r="D566" s="32"/>
      <c r="E566" s="32"/>
      <c r="F566" s="32"/>
      <c r="G566" s="65"/>
      <c r="H566" s="67"/>
      <c r="I566" s="118"/>
      <c r="J566" s="32"/>
      <c r="K566" s="68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 ht="15.75" customHeight="1">
      <c r="A567" s="32"/>
      <c r="B567" s="65"/>
      <c r="C567" s="65"/>
      <c r="D567" s="32"/>
      <c r="E567" s="32"/>
      <c r="F567" s="32"/>
      <c r="G567" s="65"/>
      <c r="H567" s="67"/>
      <c r="I567" s="118"/>
      <c r="J567" s="32"/>
      <c r="K567" s="68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 ht="15.75" customHeight="1">
      <c r="A568" s="32"/>
      <c r="B568" s="65"/>
      <c r="C568" s="65"/>
      <c r="D568" s="32"/>
      <c r="E568" s="32"/>
      <c r="F568" s="32"/>
      <c r="G568" s="65"/>
      <c r="H568" s="67"/>
      <c r="I568" s="118"/>
      <c r="J568" s="32"/>
      <c r="K568" s="68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 ht="15.75" customHeight="1">
      <c r="A569" s="32"/>
      <c r="B569" s="65"/>
      <c r="C569" s="65"/>
      <c r="D569" s="32"/>
      <c r="E569" s="32"/>
      <c r="F569" s="32"/>
      <c r="G569" s="65"/>
      <c r="H569" s="67"/>
      <c r="I569" s="118"/>
      <c r="J569" s="32"/>
      <c r="K569" s="68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 ht="15.75" customHeight="1">
      <c r="A570" s="32"/>
      <c r="B570" s="65"/>
      <c r="C570" s="65"/>
      <c r="D570" s="32"/>
      <c r="E570" s="32"/>
      <c r="F570" s="32"/>
      <c r="G570" s="65"/>
      <c r="H570" s="67"/>
      <c r="I570" s="118"/>
      <c r="J570" s="32"/>
      <c r="K570" s="68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 ht="15.75" customHeight="1">
      <c r="A571" s="32"/>
      <c r="B571" s="65"/>
      <c r="C571" s="65"/>
      <c r="D571" s="32"/>
      <c r="E571" s="32"/>
      <c r="F571" s="32"/>
      <c r="G571" s="65"/>
      <c r="H571" s="67"/>
      <c r="I571" s="118"/>
      <c r="J571" s="32"/>
      <c r="K571" s="68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 ht="15.75" customHeight="1">
      <c r="A572" s="32"/>
      <c r="B572" s="65"/>
      <c r="C572" s="65"/>
      <c r="D572" s="32"/>
      <c r="E572" s="32"/>
      <c r="F572" s="32"/>
      <c r="G572" s="65"/>
      <c r="H572" s="67"/>
      <c r="I572" s="118"/>
      <c r="J572" s="32"/>
      <c r="K572" s="68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 ht="15.75" customHeight="1">
      <c r="A573" s="32"/>
      <c r="B573" s="65"/>
      <c r="C573" s="65"/>
      <c r="D573" s="32"/>
      <c r="E573" s="32"/>
      <c r="F573" s="32"/>
      <c r="G573" s="65"/>
      <c r="H573" s="67"/>
      <c r="I573" s="118"/>
      <c r="J573" s="32"/>
      <c r="K573" s="68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 ht="15.75" customHeight="1">
      <c r="A574" s="32"/>
      <c r="B574" s="65"/>
      <c r="C574" s="65"/>
      <c r="D574" s="32"/>
      <c r="E574" s="32"/>
      <c r="F574" s="32"/>
      <c r="G574" s="65"/>
      <c r="H574" s="67"/>
      <c r="I574" s="118"/>
      <c r="J574" s="32"/>
      <c r="K574" s="68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 ht="15.75" customHeight="1">
      <c r="A575" s="32"/>
      <c r="B575" s="65"/>
      <c r="C575" s="65"/>
      <c r="D575" s="32"/>
      <c r="E575" s="32"/>
      <c r="F575" s="32"/>
      <c r="G575" s="65"/>
      <c r="H575" s="67"/>
      <c r="I575" s="118"/>
      <c r="J575" s="32"/>
      <c r="K575" s="68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 ht="15.75" customHeight="1">
      <c r="A576" s="32"/>
      <c r="B576" s="65"/>
      <c r="C576" s="65"/>
      <c r="D576" s="32"/>
      <c r="E576" s="32"/>
      <c r="F576" s="32"/>
      <c r="G576" s="65"/>
      <c r="H576" s="67"/>
      <c r="I576" s="118"/>
      <c r="J576" s="32"/>
      <c r="K576" s="68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 ht="15.75" customHeight="1">
      <c r="A577" s="32"/>
      <c r="B577" s="65"/>
      <c r="C577" s="65"/>
      <c r="D577" s="32"/>
      <c r="E577" s="32"/>
      <c r="F577" s="32"/>
      <c r="G577" s="65"/>
      <c r="H577" s="67"/>
      <c r="I577" s="118"/>
      <c r="J577" s="32"/>
      <c r="K577" s="68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 ht="15.75" customHeight="1">
      <c r="A578" s="32"/>
      <c r="B578" s="65"/>
      <c r="C578" s="65"/>
      <c r="D578" s="32"/>
      <c r="E578" s="32"/>
      <c r="F578" s="32"/>
      <c r="G578" s="65"/>
      <c r="H578" s="67"/>
      <c r="I578" s="118"/>
      <c r="J578" s="32"/>
      <c r="K578" s="68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 ht="15.75" customHeight="1">
      <c r="A579" s="32"/>
      <c r="B579" s="65"/>
      <c r="C579" s="65"/>
      <c r="D579" s="32"/>
      <c r="E579" s="32"/>
      <c r="F579" s="32"/>
      <c r="G579" s="65"/>
      <c r="H579" s="67"/>
      <c r="I579" s="118"/>
      <c r="J579" s="32"/>
      <c r="K579" s="68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 ht="15.75" customHeight="1">
      <c r="A580" s="32"/>
      <c r="B580" s="65"/>
      <c r="C580" s="65"/>
      <c r="D580" s="32"/>
      <c r="E580" s="32"/>
      <c r="F580" s="32"/>
      <c r="G580" s="65"/>
      <c r="H580" s="67"/>
      <c r="I580" s="118"/>
      <c r="J580" s="32"/>
      <c r="K580" s="68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ht="15.75" customHeight="1">
      <c r="A581" s="32"/>
      <c r="B581" s="65"/>
      <c r="C581" s="65"/>
      <c r="D581" s="32"/>
      <c r="E581" s="32"/>
      <c r="F581" s="32"/>
      <c r="G581" s="65"/>
      <c r="H581" s="67"/>
      <c r="I581" s="118"/>
      <c r="J581" s="32"/>
      <c r="K581" s="68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 ht="15.75" customHeight="1">
      <c r="A582" s="32"/>
      <c r="B582" s="65"/>
      <c r="C582" s="65"/>
      <c r="D582" s="32"/>
      <c r="E582" s="32"/>
      <c r="F582" s="32"/>
      <c r="G582" s="65"/>
      <c r="H582" s="67"/>
      <c r="I582" s="118"/>
      <c r="J582" s="32"/>
      <c r="K582" s="68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ht="15.75" customHeight="1">
      <c r="A583" s="32"/>
      <c r="B583" s="65"/>
      <c r="C583" s="65"/>
      <c r="D583" s="32"/>
      <c r="E583" s="32"/>
      <c r="F583" s="32"/>
      <c r="G583" s="65"/>
      <c r="H583" s="67"/>
      <c r="I583" s="118"/>
      <c r="J583" s="32"/>
      <c r="K583" s="68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 ht="15.75" customHeight="1">
      <c r="A584" s="32"/>
      <c r="B584" s="65"/>
      <c r="C584" s="65"/>
      <c r="D584" s="32"/>
      <c r="E584" s="32"/>
      <c r="F584" s="32"/>
      <c r="G584" s="65"/>
      <c r="H584" s="67"/>
      <c r="I584" s="118"/>
      <c r="J584" s="32"/>
      <c r="K584" s="68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 ht="15.75" customHeight="1">
      <c r="A585" s="32"/>
      <c r="B585" s="65"/>
      <c r="C585" s="65"/>
      <c r="D585" s="32"/>
      <c r="E585" s="32"/>
      <c r="F585" s="32"/>
      <c r="G585" s="65"/>
      <c r="H585" s="67"/>
      <c r="I585" s="118"/>
      <c r="J585" s="32"/>
      <c r="K585" s="68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 ht="15.75" customHeight="1">
      <c r="A586" s="32"/>
      <c r="B586" s="65"/>
      <c r="C586" s="65"/>
      <c r="D586" s="32"/>
      <c r="E586" s="32"/>
      <c r="F586" s="32"/>
      <c r="G586" s="65"/>
      <c r="H586" s="67"/>
      <c r="I586" s="118"/>
      <c r="J586" s="32"/>
      <c r="K586" s="68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 ht="15.75" customHeight="1">
      <c r="A587" s="32"/>
      <c r="B587" s="65"/>
      <c r="C587" s="65"/>
      <c r="D587" s="32"/>
      <c r="E587" s="32"/>
      <c r="F587" s="32"/>
      <c r="G587" s="65"/>
      <c r="H587" s="67"/>
      <c r="I587" s="118"/>
      <c r="J587" s="32"/>
      <c r="K587" s="68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ht="15.75" customHeight="1">
      <c r="A588" s="32"/>
      <c r="B588" s="65"/>
      <c r="C588" s="65"/>
      <c r="D588" s="32"/>
      <c r="E588" s="32"/>
      <c r="F588" s="32"/>
      <c r="G588" s="65"/>
      <c r="H588" s="67"/>
      <c r="I588" s="118"/>
      <c r="J588" s="32"/>
      <c r="K588" s="68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 ht="15.75" customHeight="1">
      <c r="A589" s="32"/>
      <c r="B589" s="65"/>
      <c r="C589" s="65"/>
      <c r="D589" s="32"/>
      <c r="E589" s="32"/>
      <c r="F589" s="32"/>
      <c r="G589" s="65"/>
      <c r="H589" s="67"/>
      <c r="I589" s="118"/>
      <c r="J589" s="32"/>
      <c r="K589" s="68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 ht="15.75" customHeight="1">
      <c r="A590" s="32"/>
      <c r="B590" s="65"/>
      <c r="C590" s="65"/>
      <c r="D590" s="32"/>
      <c r="E590" s="32"/>
      <c r="F590" s="32"/>
      <c r="G590" s="65"/>
      <c r="H590" s="67"/>
      <c r="I590" s="118"/>
      <c r="J590" s="32"/>
      <c r="K590" s="68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 ht="15.75" customHeight="1">
      <c r="A591" s="32"/>
      <c r="B591" s="65"/>
      <c r="C591" s="65"/>
      <c r="D591" s="32"/>
      <c r="E591" s="32"/>
      <c r="F591" s="32"/>
      <c r="G591" s="65"/>
      <c r="H591" s="67"/>
      <c r="I591" s="118"/>
      <c r="J591" s="32"/>
      <c r="K591" s="68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 ht="15.75" customHeight="1">
      <c r="A592" s="32"/>
      <c r="B592" s="65"/>
      <c r="C592" s="65"/>
      <c r="D592" s="32"/>
      <c r="E592" s="32"/>
      <c r="F592" s="32"/>
      <c r="G592" s="65"/>
      <c r="H592" s="67"/>
      <c r="I592" s="118"/>
      <c r="J592" s="32"/>
      <c r="K592" s="68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 ht="15.75" customHeight="1">
      <c r="A593" s="32"/>
      <c r="B593" s="65"/>
      <c r="C593" s="65"/>
      <c r="D593" s="32"/>
      <c r="E593" s="32"/>
      <c r="F593" s="32"/>
      <c r="G593" s="65"/>
      <c r="H593" s="67"/>
      <c r="I593" s="118"/>
      <c r="J593" s="32"/>
      <c r="K593" s="68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ht="15.75" customHeight="1">
      <c r="A594" s="32"/>
      <c r="B594" s="65"/>
      <c r="C594" s="65"/>
      <c r="D594" s="32"/>
      <c r="E594" s="32"/>
      <c r="F594" s="32"/>
      <c r="G594" s="65"/>
      <c r="H594" s="67"/>
      <c r="I594" s="118"/>
      <c r="J594" s="32"/>
      <c r="K594" s="68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 ht="15.75" customHeight="1">
      <c r="A595" s="32"/>
      <c r="B595" s="65"/>
      <c r="C595" s="65"/>
      <c r="D595" s="32"/>
      <c r="E595" s="32"/>
      <c r="F595" s="32"/>
      <c r="G595" s="65"/>
      <c r="H595" s="67"/>
      <c r="I595" s="118"/>
      <c r="J595" s="32"/>
      <c r="K595" s="68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 ht="15.75" customHeight="1">
      <c r="A596" s="32"/>
      <c r="B596" s="65"/>
      <c r="C596" s="65"/>
      <c r="D596" s="32"/>
      <c r="E596" s="32"/>
      <c r="F596" s="32"/>
      <c r="G596" s="65"/>
      <c r="H596" s="67"/>
      <c r="I596" s="118"/>
      <c r="J596" s="32"/>
      <c r="K596" s="68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 ht="15.75" customHeight="1">
      <c r="A597" s="32"/>
      <c r="B597" s="65"/>
      <c r="C597" s="65"/>
      <c r="D597" s="32"/>
      <c r="E597" s="32"/>
      <c r="F597" s="32"/>
      <c r="G597" s="65"/>
      <c r="H597" s="67"/>
      <c r="I597" s="118"/>
      <c r="J597" s="32"/>
      <c r="K597" s="68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 ht="15.75" customHeight="1">
      <c r="A598" s="32"/>
      <c r="B598" s="65"/>
      <c r="C598" s="65"/>
      <c r="D598" s="32"/>
      <c r="E598" s="32"/>
      <c r="F598" s="32"/>
      <c r="G598" s="65"/>
      <c r="H598" s="67"/>
      <c r="I598" s="118"/>
      <c r="J598" s="32"/>
      <c r="K598" s="68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 ht="15.75" customHeight="1">
      <c r="A599" s="32"/>
      <c r="B599" s="65"/>
      <c r="C599" s="65"/>
      <c r="D599" s="32"/>
      <c r="E599" s="32"/>
      <c r="F599" s="32"/>
      <c r="G599" s="65"/>
      <c r="H599" s="67"/>
      <c r="I599" s="118"/>
      <c r="J599" s="32"/>
      <c r="K599" s="68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 ht="15.75" customHeight="1">
      <c r="A600" s="32"/>
      <c r="B600" s="65"/>
      <c r="C600" s="65"/>
      <c r="D600" s="32"/>
      <c r="E600" s="32"/>
      <c r="F600" s="32"/>
      <c r="G600" s="65"/>
      <c r="H600" s="67"/>
      <c r="I600" s="118"/>
      <c r="J600" s="32"/>
      <c r="K600" s="68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 ht="15.75" customHeight="1">
      <c r="A601" s="32"/>
      <c r="B601" s="65"/>
      <c r="C601" s="65"/>
      <c r="D601" s="32"/>
      <c r="E601" s="32"/>
      <c r="F601" s="32"/>
      <c r="G601" s="65"/>
      <c r="H601" s="67"/>
      <c r="I601" s="118"/>
      <c r="J601" s="32"/>
      <c r="K601" s="68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 ht="15.75" customHeight="1">
      <c r="A602" s="32"/>
      <c r="B602" s="65"/>
      <c r="C602" s="65"/>
      <c r="D602" s="32"/>
      <c r="E602" s="32"/>
      <c r="F602" s="32"/>
      <c r="G602" s="65"/>
      <c r="H602" s="67"/>
      <c r="I602" s="118"/>
      <c r="J602" s="32"/>
      <c r="K602" s="68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 ht="15.75" customHeight="1">
      <c r="A603" s="32"/>
      <c r="B603" s="65"/>
      <c r="C603" s="65"/>
      <c r="D603" s="32"/>
      <c r="E603" s="32"/>
      <c r="F603" s="32"/>
      <c r="G603" s="65"/>
      <c r="H603" s="67"/>
      <c r="I603" s="118"/>
      <c r="J603" s="32"/>
      <c r="K603" s="68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 ht="15.75" customHeight="1">
      <c r="A604" s="32"/>
      <c r="B604" s="65"/>
      <c r="C604" s="65"/>
      <c r="D604" s="32"/>
      <c r="E604" s="32"/>
      <c r="F604" s="32"/>
      <c r="G604" s="65"/>
      <c r="H604" s="67"/>
      <c r="I604" s="118"/>
      <c r="J604" s="32"/>
      <c r="K604" s="68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 ht="15.75" customHeight="1">
      <c r="A605" s="32"/>
      <c r="B605" s="65"/>
      <c r="C605" s="65"/>
      <c r="D605" s="32"/>
      <c r="E605" s="32"/>
      <c r="F605" s="32"/>
      <c r="G605" s="65"/>
      <c r="H605" s="67"/>
      <c r="I605" s="118"/>
      <c r="J605" s="32"/>
      <c r="K605" s="68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 ht="15.75" customHeight="1">
      <c r="A606" s="32"/>
      <c r="B606" s="65"/>
      <c r="C606" s="65"/>
      <c r="D606" s="32"/>
      <c r="E606" s="32"/>
      <c r="F606" s="32"/>
      <c r="G606" s="65"/>
      <c r="H606" s="67"/>
      <c r="I606" s="118"/>
      <c r="J606" s="32"/>
      <c r="K606" s="68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 ht="15.75" customHeight="1">
      <c r="A607" s="32"/>
      <c r="B607" s="65"/>
      <c r="C607" s="65"/>
      <c r="D607" s="32"/>
      <c r="E607" s="32"/>
      <c r="F607" s="32"/>
      <c r="G607" s="65"/>
      <c r="H607" s="67"/>
      <c r="I607" s="118"/>
      <c r="J607" s="32"/>
      <c r="K607" s="68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 ht="15.75" customHeight="1">
      <c r="A608" s="32"/>
      <c r="B608" s="65"/>
      <c r="C608" s="65"/>
      <c r="D608" s="32"/>
      <c r="E608" s="32"/>
      <c r="F608" s="32"/>
      <c r="G608" s="65"/>
      <c r="H608" s="67"/>
      <c r="I608" s="118"/>
      <c r="J608" s="32"/>
      <c r="K608" s="68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 ht="15.75" customHeight="1">
      <c r="A609" s="32"/>
      <c r="B609" s="65"/>
      <c r="C609" s="65"/>
      <c r="D609" s="32"/>
      <c r="E609" s="32"/>
      <c r="F609" s="32"/>
      <c r="G609" s="65"/>
      <c r="H609" s="67"/>
      <c r="I609" s="118"/>
      <c r="J609" s="32"/>
      <c r="K609" s="68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 ht="15.75" customHeight="1">
      <c r="A610" s="32"/>
      <c r="B610" s="65"/>
      <c r="C610" s="65"/>
      <c r="D610" s="32"/>
      <c r="E610" s="32"/>
      <c r="F610" s="32"/>
      <c r="G610" s="65"/>
      <c r="H610" s="67"/>
      <c r="I610" s="118"/>
      <c r="J610" s="32"/>
      <c r="K610" s="68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 ht="15.75" customHeight="1">
      <c r="A611" s="32"/>
      <c r="B611" s="65"/>
      <c r="C611" s="65"/>
      <c r="D611" s="32"/>
      <c r="E611" s="32"/>
      <c r="F611" s="32"/>
      <c r="G611" s="65"/>
      <c r="H611" s="67"/>
      <c r="I611" s="118"/>
      <c r="J611" s="32"/>
      <c r="K611" s="68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 ht="15.75" customHeight="1">
      <c r="A612" s="32"/>
      <c r="B612" s="65"/>
      <c r="C612" s="65"/>
      <c r="D612" s="32"/>
      <c r="E612" s="32"/>
      <c r="F612" s="32"/>
      <c r="G612" s="65"/>
      <c r="H612" s="67"/>
      <c r="I612" s="118"/>
      <c r="J612" s="32"/>
      <c r="K612" s="68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 ht="15.75" customHeight="1">
      <c r="A613" s="32"/>
      <c r="B613" s="65"/>
      <c r="C613" s="65"/>
      <c r="D613" s="32"/>
      <c r="E613" s="32"/>
      <c r="F613" s="32"/>
      <c r="G613" s="65"/>
      <c r="H613" s="67"/>
      <c r="I613" s="118"/>
      <c r="J613" s="32"/>
      <c r="K613" s="68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 ht="15.75" customHeight="1">
      <c r="A614" s="32"/>
      <c r="B614" s="65"/>
      <c r="C614" s="65"/>
      <c r="D614" s="32"/>
      <c r="E614" s="32"/>
      <c r="F614" s="32"/>
      <c r="G614" s="65"/>
      <c r="H614" s="67"/>
      <c r="I614" s="118"/>
      <c r="J614" s="32"/>
      <c r="K614" s="68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 ht="15.75" customHeight="1">
      <c r="A615" s="32"/>
      <c r="B615" s="65"/>
      <c r="C615" s="65"/>
      <c r="D615" s="32"/>
      <c r="E615" s="32"/>
      <c r="F615" s="32"/>
      <c r="G615" s="65"/>
      <c r="H615" s="67"/>
      <c r="I615" s="118"/>
      <c r="J615" s="32"/>
      <c r="K615" s="68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 ht="15.75" customHeight="1">
      <c r="A616" s="32"/>
      <c r="B616" s="65"/>
      <c r="C616" s="65"/>
      <c r="D616" s="32"/>
      <c r="E616" s="32"/>
      <c r="F616" s="32"/>
      <c r="G616" s="65"/>
      <c r="H616" s="67"/>
      <c r="I616" s="118"/>
      <c r="J616" s="32"/>
      <c r="K616" s="68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 ht="15.75" customHeight="1">
      <c r="A617" s="32"/>
      <c r="B617" s="65"/>
      <c r="C617" s="65"/>
      <c r="D617" s="32"/>
      <c r="E617" s="32"/>
      <c r="F617" s="32"/>
      <c r="G617" s="65"/>
      <c r="H617" s="67"/>
      <c r="I617" s="118"/>
      <c r="J617" s="32"/>
      <c r="K617" s="68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 ht="15.75" customHeight="1">
      <c r="A618" s="32"/>
      <c r="B618" s="65"/>
      <c r="C618" s="65"/>
      <c r="D618" s="32"/>
      <c r="E618" s="32"/>
      <c r="F618" s="32"/>
      <c r="G618" s="65"/>
      <c r="H618" s="67"/>
      <c r="I618" s="118"/>
      <c r="J618" s="32"/>
      <c r="K618" s="68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 ht="15.75" customHeight="1">
      <c r="A619" s="32"/>
      <c r="B619" s="65"/>
      <c r="C619" s="65"/>
      <c r="D619" s="32"/>
      <c r="E619" s="32"/>
      <c r="F619" s="32"/>
      <c r="G619" s="65"/>
      <c r="H619" s="67"/>
      <c r="I619" s="118"/>
      <c r="J619" s="32"/>
      <c r="K619" s="68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 ht="15.75" customHeight="1">
      <c r="A620" s="32"/>
      <c r="B620" s="65"/>
      <c r="C620" s="65"/>
      <c r="D620" s="32"/>
      <c r="E620" s="32"/>
      <c r="F620" s="32"/>
      <c r="G620" s="65"/>
      <c r="H620" s="67"/>
      <c r="I620" s="118"/>
      <c r="J620" s="32"/>
      <c r="K620" s="68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 ht="15.75" customHeight="1">
      <c r="A621" s="32"/>
      <c r="B621" s="65"/>
      <c r="C621" s="65"/>
      <c r="D621" s="32"/>
      <c r="E621" s="32"/>
      <c r="F621" s="32"/>
      <c r="G621" s="65"/>
      <c r="H621" s="67"/>
      <c r="I621" s="118"/>
      <c r="J621" s="32"/>
      <c r="K621" s="68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 ht="15.75" customHeight="1">
      <c r="A622" s="32"/>
      <c r="B622" s="65"/>
      <c r="C622" s="65"/>
      <c r="D622" s="32"/>
      <c r="E622" s="32"/>
      <c r="F622" s="32"/>
      <c r="G622" s="65"/>
      <c r="H622" s="67"/>
      <c r="I622" s="118"/>
      <c r="J622" s="32"/>
      <c r="K622" s="68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 ht="15.75" customHeight="1">
      <c r="A623" s="32"/>
      <c r="B623" s="65"/>
      <c r="C623" s="65"/>
      <c r="D623" s="32"/>
      <c r="E623" s="32"/>
      <c r="F623" s="32"/>
      <c r="G623" s="65"/>
      <c r="H623" s="67"/>
      <c r="I623" s="118"/>
      <c r="J623" s="32"/>
      <c r="K623" s="68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 ht="15.75" customHeight="1">
      <c r="A624" s="32"/>
      <c r="B624" s="65"/>
      <c r="C624" s="65"/>
      <c r="D624" s="32"/>
      <c r="E624" s="32"/>
      <c r="F624" s="32"/>
      <c r="G624" s="65"/>
      <c r="H624" s="67"/>
      <c r="I624" s="118"/>
      <c r="J624" s="32"/>
      <c r="K624" s="68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 ht="15.75" customHeight="1">
      <c r="A625" s="32"/>
      <c r="B625" s="65"/>
      <c r="C625" s="65"/>
      <c r="D625" s="32"/>
      <c r="E625" s="32"/>
      <c r="F625" s="32"/>
      <c r="G625" s="65"/>
      <c r="H625" s="67"/>
      <c r="I625" s="118"/>
      <c r="J625" s="32"/>
      <c r="K625" s="68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 ht="15.75" customHeight="1">
      <c r="A626" s="32"/>
      <c r="B626" s="65"/>
      <c r="C626" s="65"/>
      <c r="D626" s="32"/>
      <c r="E626" s="32"/>
      <c r="F626" s="32"/>
      <c r="G626" s="65"/>
      <c r="H626" s="67"/>
      <c r="I626" s="118"/>
      <c r="J626" s="32"/>
      <c r="K626" s="68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 ht="15.75" customHeight="1">
      <c r="A627" s="32"/>
      <c r="B627" s="65"/>
      <c r="C627" s="65"/>
      <c r="D627" s="32"/>
      <c r="E627" s="32"/>
      <c r="F627" s="32"/>
      <c r="G627" s="65"/>
      <c r="H627" s="67"/>
      <c r="I627" s="118"/>
      <c r="J627" s="32"/>
      <c r="K627" s="68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 ht="15.75" customHeight="1">
      <c r="A628" s="32"/>
      <c r="B628" s="65"/>
      <c r="C628" s="65"/>
      <c r="D628" s="32"/>
      <c r="E628" s="32"/>
      <c r="F628" s="32"/>
      <c r="G628" s="65"/>
      <c r="H628" s="67"/>
      <c r="I628" s="118"/>
      <c r="J628" s="32"/>
      <c r="K628" s="68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 ht="15.75" customHeight="1">
      <c r="A629" s="32"/>
      <c r="B629" s="65"/>
      <c r="C629" s="65"/>
      <c r="D629" s="32"/>
      <c r="E629" s="32"/>
      <c r="F629" s="32"/>
      <c r="G629" s="65"/>
      <c r="H629" s="67"/>
      <c r="I629" s="118"/>
      <c r="J629" s="32"/>
      <c r="K629" s="68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 ht="15.75" customHeight="1">
      <c r="A630" s="32"/>
      <c r="B630" s="65"/>
      <c r="C630" s="65"/>
      <c r="D630" s="32"/>
      <c r="E630" s="32"/>
      <c r="F630" s="32"/>
      <c r="G630" s="65"/>
      <c r="H630" s="67"/>
      <c r="I630" s="118"/>
      <c r="J630" s="32"/>
      <c r="K630" s="68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 ht="15.75" customHeight="1">
      <c r="A631" s="32"/>
      <c r="B631" s="65"/>
      <c r="C631" s="65"/>
      <c r="D631" s="32"/>
      <c r="E631" s="32"/>
      <c r="F631" s="32"/>
      <c r="G631" s="65"/>
      <c r="H631" s="67"/>
      <c r="I631" s="118"/>
      <c r="J631" s="32"/>
      <c r="K631" s="68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 ht="15.75" customHeight="1">
      <c r="A632" s="32"/>
      <c r="B632" s="65"/>
      <c r="C632" s="65"/>
      <c r="D632" s="32"/>
      <c r="E632" s="32"/>
      <c r="F632" s="32"/>
      <c r="G632" s="65"/>
      <c r="H632" s="67"/>
      <c r="I632" s="118"/>
      <c r="J632" s="32"/>
      <c r="K632" s="68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 ht="15.75" customHeight="1">
      <c r="A633" s="32"/>
      <c r="B633" s="65"/>
      <c r="C633" s="65"/>
      <c r="D633" s="32"/>
      <c r="E633" s="32"/>
      <c r="F633" s="32"/>
      <c r="G633" s="65"/>
      <c r="H633" s="67"/>
      <c r="I633" s="118"/>
      <c r="J633" s="32"/>
      <c r="K633" s="68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 ht="15.75" customHeight="1">
      <c r="A634" s="32"/>
      <c r="B634" s="65"/>
      <c r="C634" s="65"/>
      <c r="D634" s="32"/>
      <c r="E634" s="32"/>
      <c r="F634" s="32"/>
      <c r="G634" s="65"/>
      <c r="H634" s="67"/>
      <c r="I634" s="118"/>
      <c r="J634" s="32"/>
      <c r="K634" s="68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 ht="15.75" customHeight="1">
      <c r="A635" s="32"/>
      <c r="B635" s="65"/>
      <c r="C635" s="65"/>
      <c r="D635" s="32"/>
      <c r="E635" s="32"/>
      <c r="F635" s="32"/>
      <c r="G635" s="65"/>
      <c r="H635" s="67"/>
      <c r="I635" s="118"/>
      <c r="J635" s="32"/>
      <c r="K635" s="68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 ht="15.75" customHeight="1">
      <c r="A636" s="32"/>
      <c r="B636" s="65"/>
      <c r="C636" s="65"/>
      <c r="D636" s="32"/>
      <c r="E636" s="32"/>
      <c r="F636" s="32"/>
      <c r="G636" s="65"/>
      <c r="H636" s="67"/>
      <c r="I636" s="118"/>
      <c r="J636" s="32"/>
      <c r="K636" s="68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 ht="15.75" customHeight="1">
      <c r="A637" s="32"/>
      <c r="B637" s="65"/>
      <c r="C637" s="65"/>
      <c r="D637" s="32"/>
      <c r="E637" s="32"/>
      <c r="F637" s="32"/>
      <c r="G637" s="65"/>
      <c r="H637" s="67"/>
      <c r="I637" s="118"/>
      <c r="J637" s="32"/>
      <c r="K637" s="68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 ht="15.75" customHeight="1">
      <c r="A638" s="32"/>
      <c r="B638" s="65"/>
      <c r="C638" s="65"/>
      <c r="D638" s="32"/>
      <c r="E638" s="32"/>
      <c r="F638" s="32"/>
      <c r="G638" s="65"/>
      <c r="H638" s="67"/>
      <c r="I638" s="118"/>
      <c r="J638" s="32"/>
      <c r="K638" s="68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 ht="15.75" customHeight="1">
      <c r="A639" s="32"/>
      <c r="B639" s="65"/>
      <c r="C639" s="65"/>
      <c r="D639" s="32"/>
      <c r="E639" s="32"/>
      <c r="F639" s="32"/>
      <c r="G639" s="65"/>
      <c r="H639" s="67"/>
      <c r="I639" s="118"/>
      <c r="J639" s="32"/>
      <c r="K639" s="68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 ht="15.75" customHeight="1">
      <c r="A640" s="32"/>
      <c r="B640" s="65"/>
      <c r="C640" s="65"/>
      <c r="D640" s="32"/>
      <c r="E640" s="32"/>
      <c r="F640" s="32"/>
      <c r="G640" s="65"/>
      <c r="H640" s="67"/>
      <c r="I640" s="118"/>
      <c r="J640" s="32"/>
      <c r="K640" s="68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 ht="15.75" customHeight="1">
      <c r="A641" s="32"/>
      <c r="B641" s="65"/>
      <c r="C641" s="65"/>
      <c r="D641" s="32"/>
      <c r="E641" s="32"/>
      <c r="F641" s="32"/>
      <c r="G641" s="65"/>
      <c r="H641" s="67"/>
      <c r="I641" s="118"/>
      <c r="J641" s="32"/>
      <c r="K641" s="68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 ht="15.75" customHeight="1">
      <c r="A642" s="32"/>
      <c r="B642" s="65"/>
      <c r="C642" s="65"/>
      <c r="D642" s="32"/>
      <c r="E642" s="32"/>
      <c r="F642" s="32"/>
      <c r="G642" s="65"/>
      <c r="H642" s="67"/>
      <c r="I642" s="118"/>
      <c r="J642" s="32"/>
      <c r="K642" s="68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 ht="15.75" customHeight="1">
      <c r="A643" s="32"/>
      <c r="B643" s="65"/>
      <c r="C643" s="65"/>
      <c r="D643" s="32"/>
      <c r="E643" s="32"/>
      <c r="F643" s="32"/>
      <c r="G643" s="65"/>
      <c r="H643" s="67"/>
      <c r="I643" s="118"/>
      <c r="J643" s="32"/>
      <c r="K643" s="68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 ht="15.75" customHeight="1">
      <c r="A644" s="32"/>
      <c r="B644" s="65"/>
      <c r="C644" s="65"/>
      <c r="D644" s="32"/>
      <c r="E644" s="32"/>
      <c r="F644" s="32"/>
      <c r="G644" s="65"/>
      <c r="H644" s="67"/>
      <c r="I644" s="118"/>
      <c r="J644" s="32"/>
      <c r="K644" s="68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 ht="15.75" customHeight="1">
      <c r="A645" s="32"/>
      <c r="B645" s="65"/>
      <c r="C645" s="65"/>
      <c r="D645" s="32"/>
      <c r="E645" s="32"/>
      <c r="F645" s="32"/>
      <c r="G645" s="65"/>
      <c r="H645" s="67"/>
      <c r="I645" s="118"/>
      <c r="J645" s="32"/>
      <c r="K645" s="68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 ht="15.75" customHeight="1">
      <c r="A646" s="32"/>
      <c r="B646" s="65"/>
      <c r="C646" s="65"/>
      <c r="D646" s="32"/>
      <c r="E646" s="32"/>
      <c r="F646" s="32"/>
      <c r="G646" s="65"/>
      <c r="H646" s="67"/>
      <c r="I646" s="118"/>
      <c r="J646" s="32"/>
      <c r="K646" s="68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 ht="15.75" customHeight="1">
      <c r="A647" s="32"/>
      <c r="B647" s="65"/>
      <c r="C647" s="65"/>
      <c r="D647" s="32"/>
      <c r="E647" s="32"/>
      <c r="F647" s="32"/>
      <c r="G647" s="65"/>
      <c r="H647" s="67"/>
      <c r="I647" s="118"/>
      <c r="J647" s="32"/>
      <c r="K647" s="68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 ht="15.75" customHeight="1">
      <c r="A648" s="32"/>
      <c r="B648" s="65"/>
      <c r="C648" s="65"/>
      <c r="D648" s="32"/>
      <c r="E648" s="32"/>
      <c r="F648" s="32"/>
      <c r="G648" s="65"/>
      <c r="H648" s="67"/>
      <c r="I648" s="118"/>
      <c r="J648" s="32"/>
      <c r="K648" s="68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 ht="15.75" customHeight="1">
      <c r="A649" s="32"/>
      <c r="B649" s="65"/>
      <c r="C649" s="65"/>
      <c r="D649" s="32"/>
      <c r="E649" s="32"/>
      <c r="F649" s="32"/>
      <c r="G649" s="65"/>
      <c r="H649" s="67"/>
      <c r="I649" s="118"/>
      <c r="J649" s="32"/>
      <c r="K649" s="68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 ht="15.75" customHeight="1">
      <c r="A650" s="32"/>
      <c r="B650" s="65"/>
      <c r="C650" s="65"/>
      <c r="D650" s="32"/>
      <c r="E650" s="32"/>
      <c r="F650" s="32"/>
      <c r="G650" s="65"/>
      <c r="H650" s="67"/>
      <c r="I650" s="118"/>
      <c r="J650" s="32"/>
      <c r="K650" s="68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 ht="15.75" customHeight="1">
      <c r="A651" s="32"/>
      <c r="B651" s="65"/>
      <c r="C651" s="65"/>
      <c r="D651" s="32"/>
      <c r="E651" s="32"/>
      <c r="F651" s="32"/>
      <c r="G651" s="65"/>
      <c r="H651" s="67"/>
      <c r="I651" s="118"/>
      <c r="J651" s="32"/>
      <c r="K651" s="68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 ht="15.75" customHeight="1">
      <c r="A652" s="32"/>
      <c r="B652" s="65"/>
      <c r="C652" s="65"/>
      <c r="D652" s="32"/>
      <c r="E652" s="32"/>
      <c r="F652" s="32"/>
      <c r="G652" s="65"/>
      <c r="H652" s="67"/>
      <c r="I652" s="118"/>
      <c r="J652" s="32"/>
      <c r="K652" s="68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 ht="15.75" customHeight="1">
      <c r="A653" s="32"/>
      <c r="B653" s="65"/>
      <c r="C653" s="65"/>
      <c r="D653" s="32"/>
      <c r="E653" s="32"/>
      <c r="F653" s="32"/>
      <c r="G653" s="65"/>
      <c r="H653" s="67"/>
      <c r="I653" s="118"/>
      <c r="J653" s="32"/>
      <c r="K653" s="68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 ht="15.75" customHeight="1">
      <c r="A654" s="32"/>
      <c r="B654" s="65"/>
      <c r="C654" s="65"/>
      <c r="D654" s="32"/>
      <c r="E654" s="32"/>
      <c r="F654" s="32"/>
      <c r="G654" s="65"/>
      <c r="H654" s="67"/>
      <c r="I654" s="118"/>
      <c r="J654" s="32"/>
      <c r="K654" s="68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 ht="15.75" customHeight="1">
      <c r="A655" s="32"/>
      <c r="B655" s="65"/>
      <c r="C655" s="65"/>
      <c r="D655" s="32"/>
      <c r="E655" s="32"/>
      <c r="F655" s="32"/>
      <c r="G655" s="65"/>
      <c r="H655" s="67"/>
      <c r="I655" s="118"/>
      <c r="J655" s="32"/>
      <c r="K655" s="68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 ht="15.75" customHeight="1">
      <c r="A656" s="32"/>
      <c r="B656" s="65"/>
      <c r="C656" s="65"/>
      <c r="D656" s="32"/>
      <c r="E656" s="32"/>
      <c r="F656" s="32"/>
      <c r="G656" s="65"/>
      <c r="H656" s="67"/>
      <c r="I656" s="118"/>
      <c r="J656" s="32"/>
      <c r="K656" s="68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 ht="15.75" customHeight="1">
      <c r="A657" s="32"/>
      <c r="B657" s="65"/>
      <c r="C657" s="65"/>
      <c r="D657" s="32"/>
      <c r="E657" s="32"/>
      <c r="F657" s="32"/>
      <c r="G657" s="65"/>
      <c r="H657" s="67"/>
      <c r="I657" s="118"/>
      <c r="J657" s="32"/>
      <c r="K657" s="68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 ht="15.75" customHeight="1">
      <c r="A658" s="32"/>
      <c r="B658" s="65"/>
      <c r="C658" s="65"/>
      <c r="D658" s="32"/>
      <c r="E658" s="32"/>
      <c r="F658" s="32"/>
      <c r="G658" s="65"/>
      <c r="H658" s="67"/>
      <c r="I658" s="118"/>
      <c r="J658" s="32"/>
      <c r="K658" s="68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 ht="15.75" customHeight="1">
      <c r="A659" s="32"/>
      <c r="B659" s="65"/>
      <c r="C659" s="65"/>
      <c r="D659" s="32"/>
      <c r="E659" s="32"/>
      <c r="F659" s="32"/>
      <c r="G659" s="65"/>
      <c r="H659" s="67"/>
      <c r="I659" s="118"/>
      <c r="J659" s="32"/>
      <c r="K659" s="68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 ht="15.75" customHeight="1">
      <c r="A660" s="32"/>
      <c r="B660" s="65"/>
      <c r="C660" s="65"/>
      <c r="D660" s="32"/>
      <c r="E660" s="32"/>
      <c r="F660" s="32"/>
      <c r="G660" s="65"/>
      <c r="H660" s="67"/>
      <c r="I660" s="118"/>
      <c r="J660" s="32"/>
      <c r="K660" s="68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 ht="15.75" customHeight="1">
      <c r="A661" s="32"/>
      <c r="B661" s="65"/>
      <c r="C661" s="65"/>
      <c r="D661" s="32"/>
      <c r="E661" s="32"/>
      <c r="F661" s="32"/>
      <c r="G661" s="65"/>
      <c r="H661" s="67"/>
      <c r="I661" s="118"/>
      <c r="J661" s="32"/>
      <c r="K661" s="68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 ht="15.75" customHeight="1">
      <c r="A662" s="32"/>
      <c r="B662" s="65"/>
      <c r="C662" s="65"/>
      <c r="D662" s="32"/>
      <c r="E662" s="32"/>
      <c r="F662" s="32"/>
      <c r="G662" s="65"/>
      <c r="H662" s="67"/>
      <c r="I662" s="118"/>
      <c r="J662" s="32"/>
      <c r="K662" s="68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 ht="15.75" customHeight="1">
      <c r="A663" s="32"/>
      <c r="B663" s="65"/>
      <c r="C663" s="65"/>
      <c r="D663" s="32"/>
      <c r="E663" s="32"/>
      <c r="F663" s="32"/>
      <c r="G663" s="65"/>
      <c r="H663" s="67"/>
      <c r="I663" s="118"/>
      <c r="J663" s="32"/>
      <c r="K663" s="68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 ht="15.75" customHeight="1">
      <c r="A664" s="32"/>
      <c r="B664" s="65"/>
      <c r="C664" s="65"/>
      <c r="D664" s="32"/>
      <c r="E664" s="32"/>
      <c r="F664" s="32"/>
      <c r="G664" s="65"/>
      <c r="H664" s="67"/>
      <c r="I664" s="118"/>
      <c r="J664" s="32"/>
      <c r="K664" s="68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 ht="15.75" customHeight="1">
      <c r="A665" s="32"/>
      <c r="B665" s="65"/>
      <c r="C665" s="65"/>
      <c r="D665" s="32"/>
      <c r="E665" s="32"/>
      <c r="F665" s="32"/>
      <c r="G665" s="65"/>
      <c r="H665" s="67"/>
      <c r="I665" s="118"/>
      <c r="J665" s="32"/>
      <c r="K665" s="68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ht="15.75" customHeight="1">
      <c r="A666" s="32"/>
      <c r="B666" s="65"/>
      <c r="C666" s="65"/>
      <c r="D666" s="32"/>
      <c r="E666" s="32"/>
      <c r="F666" s="32"/>
      <c r="G666" s="65"/>
      <c r="H666" s="67"/>
      <c r="I666" s="118"/>
      <c r="J666" s="32"/>
      <c r="K666" s="68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 ht="15.75" customHeight="1">
      <c r="A667" s="32"/>
      <c r="B667" s="65"/>
      <c r="C667" s="65"/>
      <c r="D667" s="32"/>
      <c r="E667" s="32"/>
      <c r="F667" s="32"/>
      <c r="G667" s="65"/>
      <c r="H667" s="67"/>
      <c r="I667" s="118"/>
      <c r="J667" s="32"/>
      <c r="K667" s="68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 ht="15.75" customHeight="1">
      <c r="A668" s="32"/>
      <c r="B668" s="65"/>
      <c r="C668" s="65"/>
      <c r="D668" s="32"/>
      <c r="E668" s="32"/>
      <c r="F668" s="32"/>
      <c r="G668" s="65"/>
      <c r="H668" s="67"/>
      <c r="I668" s="118"/>
      <c r="J668" s="32"/>
      <c r="K668" s="68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 ht="15.75" customHeight="1">
      <c r="A669" s="32"/>
      <c r="B669" s="65"/>
      <c r="C669" s="65"/>
      <c r="D669" s="32"/>
      <c r="E669" s="32"/>
      <c r="F669" s="32"/>
      <c r="G669" s="65"/>
      <c r="H669" s="67"/>
      <c r="I669" s="118"/>
      <c r="J669" s="32"/>
      <c r="K669" s="68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 ht="15.75" customHeight="1">
      <c r="A670" s="32"/>
      <c r="B670" s="65"/>
      <c r="C670" s="65"/>
      <c r="D670" s="32"/>
      <c r="E670" s="32"/>
      <c r="F670" s="32"/>
      <c r="G670" s="65"/>
      <c r="H670" s="67"/>
      <c r="I670" s="118"/>
      <c r="J670" s="32"/>
      <c r="K670" s="68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 ht="15.75" customHeight="1">
      <c r="A671" s="32"/>
      <c r="B671" s="65"/>
      <c r="C671" s="65"/>
      <c r="D671" s="32"/>
      <c r="E671" s="32"/>
      <c r="F671" s="32"/>
      <c r="G671" s="65"/>
      <c r="H671" s="67"/>
      <c r="I671" s="118"/>
      <c r="J671" s="32"/>
      <c r="K671" s="68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 ht="15.75" customHeight="1">
      <c r="A672" s="32"/>
      <c r="B672" s="65"/>
      <c r="C672" s="65"/>
      <c r="D672" s="32"/>
      <c r="E672" s="32"/>
      <c r="F672" s="32"/>
      <c r="G672" s="65"/>
      <c r="H672" s="67"/>
      <c r="I672" s="118"/>
      <c r="J672" s="32"/>
      <c r="K672" s="68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 ht="15.75" customHeight="1">
      <c r="A673" s="32"/>
      <c r="B673" s="65"/>
      <c r="C673" s="65"/>
      <c r="D673" s="32"/>
      <c r="E673" s="32"/>
      <c r="F673" s="32"/>
      <c r="G673" s="65"/>
      <c r="H673" s="67"/>
      <c r="I673" s="118"/>
      <c r="J673" s="32"/>
      <c r="K673" s="68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 ht="15.75" customHeight="1">
      <c r="A674" s="32"/>
      <c r="B674" s="65"/>
      <c r="C674" s="65"/>
      <c r="D674" s="32"/>
      <c r="E674" s="32"/>
      <c r="F674" s="32"/>
      <c r="G674" s="65"/>
      <c r="H674" s="67"/>
      <c r="I674" s="118"/>
      <c r="J674" s="32"/>
      <c r="K674" s="68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 ht="15.75" customHeight="1">
      <c r="A675" s="32"/>
      <c r="B675" s="65"/>
      <c r="C675" s="65"/>
      <c r="D675" s="32"/>
      <c r="E675" s="32"/>
      <c r="F675" s="32"/>
      <c r="G675" s="65"/>
      <c r="H675" s="67"/>
      <c r="I675" s="118"/>
      <c r="J675" s="32"/>
      <c r="K675" s="68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 ht="15.75" customHeight="1">
      <c r="A676" s="32"/>
      <c r="B676" s="65"/>
      <c r="C676" s="65"/>
      <c r="D676" s="32"/>
      <c r="E676" s="32"/>
      <c r="F676" s="32"/>
      <c r="G676" s="65"/>
      <c r="H676" s="67"/>
      <c r="I676" s="118"/>
      <c r="J676" s="32"/>
      <c r="K676" s="68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 ht="15.75" customHeight="1">
      <c r="A677" s="32"/>
      <c r="B677" s="65"/>
      <c r="C677" s="65"/>
      <c r="D677" s="32"/>
      <c r="E677" s="32"/>
      <c r="F677" s="32"/>
      <c r="G677" s="65"/>
      <c r="H677" s="67"/>
      <c r="I677" s="118"/>
      <c r="J677" s="32"/>
      <c r="K677" s="68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 ht="15.75" customHeight="1">
      <c r="A678" s="32"/>
      <c r="B678" s="65"/>
      <c r="C678" s="65"/>
      <c r="D678" s="32"/>
      <c r="E678" s="32"/>
      <c r="F678" s="32"/>
      <c r="G678" s="65"/>
      <c r="H678" s="67"/>
      <c r="I678" s="118"/>
      <c r="J678" s="32"/>
      <c r="K678" s="68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 ht="15.75" customHeight="1">
      <c r="A679" s="32"/>
      <c r="B679" s="65"/>
      <c r="C679" s="65"/>
      <c r="D679" s="32"/>
      <c r="E679" s="32"/>
      <c r="F679" s="32"/>
      <c r="G679" s="65"/>
      <c r="H679" s="67"/>
      <c r="I679" s="118"/>
      <c r="J679" s="32"/>
      <c r="K679" s="68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 ht="15.75" customHeight="1">
      <c r="A680" s="32"/>
      <c r="B680" s="65"/>
      <c r="C680" s="65"/>
      <c r="D680" s="32"/>
      <c r="E680" s="32"/>
      <c r="F680" s="32"/>
      <c r="G680" s="65"/>
      <c r="H680" s="67"/>
      <c r="I680" s="118"/>
      <c r="J680" s="32"/>
      <c r="K680" s="68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 ht="15.75" customHeight="1">
      <c r="A681" s="32"/>
      <c r="B681" s="65"/>
      <c r="C681" s="65"/>
      <c r="D681" s="32"/>
      <c r="E681" s="32"/>
      <c r="F681" s="32"/>
      <c r="G681" s="65"/>
      <c r="H681" s="67"/>
      <c r="I681" s="118"/>
      <c r="J681" s="32"/>
      <c r="K681" s="68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 ht="15.75" customHeight="1">
      <c r="A682" s="32"/>
      <c r="B682" s="65"/>
      <c r="C682" s="65"/>
      <c r="D682" s="32"/>
      <c r="E682" s="32"/>
      <c r="F682" s="32"/>
      <c r="G682" s="65"/>
      <c r="H682" s="67"/>
      <c r="I682" s="118"/>
      <c r="J682" s="32"/>
      <c r="K682" s="68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 ht="15.75" customHeight="1">
      <c r="A683" s="32"/>
      <c r="B683" s="65"/>
      <c r="C683" s="65"/>
      <c r="D683" s="32"/>
      <c r="E683" s="32"/>
      <c r="F683" s="32"/>
      <c r="G683" s="65"/>
      <c r="H683" s="67"/>
      <c r="I683" s="118"/>
      <c r="J683" s="32"/>
      <c r="K683" s="68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 ht="15.75" customHeight="1">
      <c r="A684" s="32"/>
      <c r="B684" s="65"/>
      <c r="C684" s="65"/>
      <c r="D684" s="32"/>
      <c r="E684" s="32"/>
      <c r="F684" s="32"/>
      <c r="G684" s="65"/>
      <c r="H684" s="67"/>
      <c r="I684" s="118"/>
      <c r="J684" s="32"/>
      <c r="K684" s="68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 ht="15.75" customHeight="1">
      <c r="A685" s="32"/>
      <c r="B685" s="65"/>
      <c r="C685" s="65"/>
      <c r="D685" s="32"/>
      <c r="E685" s="32"/>
      <c r="F685" s="32"/>
      <c r="G685" s="65"/>
      <c r="H685" s="67"/>
      <c r="I685" s="118"/>
      <c r="J685" s="32"/>
      <c r="K685" s="68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 ht="15.75" customHeight="1">
      <c r="A686" s="32"/>
      <c r="B686" s="65"/>
      <c r="C686" s="65"/>
      <c r="D686" s="32"/>
      <c r="E686" s="32"/>
      <c r="F686" s="32"/>
      <c r="G686" s="65"/>
      <c r="H686" s="67"/>
      <c r="I686" s="118"/>
      <c r="J686" s="32"/>
      <c r="K686" s="68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 ht="15.75" customHeight="1">
      <c r="A687" s="32"/>
      <c r="B687" s="65"/>
      <c r="C687" s="65"/>
      <c r="D687" s="32"/>
      <c r="E687" s="32"/>
      <c r="F687" s="32"/>
      <c r="G687" s="65"/>
      <c r="H687" s="67"/>
      <c r="I687" s="118"/>
      <c r="J687" s="32"/>
      <c r="K687" s="68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 ht="15.75" customHeight="1">
      <c r="A688" s="32"/>
      <c r="B688" s="65"/>
      <c r="C688" s="65"/>
      <c r="D688" s="32"/>
      <c r="E688" s="32"/>
      <c r="F688" s="32"/>
      <c r="G688" s="65"/>
      <c r="H688" s="67"/>
      <c r="I688" s="118"/>
      <c r="J688" s="32"/>
      <c r="K688" s="68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 ht="15.75" customHeight="1">
      <c r="A689" s="32"/>
      <c r="B689" s="65"/>
      <c r="C689" s="65"/>
      <c r="D689" s="32"/>
      <c r="E689" s="32"/>
      <c r="F689" s="32"/>
      <c r="G689" s="65"/>
      <c r="H689" s="67"/>
      <c r="I689" s="118"/>
      <c r="J689" s="32"/>
      <c r="K689" s="68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 ht="15.75" customHeight="1">
      <c r="A690" s="32"/>
      <c r="B690" s="65"/>
      <c r="C690" s="65"/>
      <c r="D690" s="32"/>
      <c r="E690" s="32"/>
      <c r="F690" s="32"/>
      <c r="G690" s="65"/>
      <c r="H690" s="67"/>
      <c r="I690" s="118"/>
      <c r="J690" s="32"/>
      <c r="K690" s="68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 ht="15.75" customHeight="1">
      <c r="A691" s="32"/>
      <c r="B691" s="65"/>
      <c r="C691" s="65"/>
      <c r="D691" s="32"/>
      <c r="E691" s="32"/>
      <c r="F691" s="32"/>
      <c r="G691" s="65"/>
      <c r="H691" s="67"/>
      <c r="I691" s="118"/>
      <c r="J691" s="32"/>
      <c r="K691" s="68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 ht="15.75" customHeight="1">
      <c r="A692" s="32"/>
      <c r="B692" s="65"/>
      <c r="C692" s="65"/>
      <c r="D692" s="32"/>
      <c r="E692" s="32"/>
      <c r="F692" s="32"/>
      <c r="G692" s="65"/>
      <c r="H692" s="67"/>
      <c r="I692" s="118"/>
      <c r="J692" s="32"/>
      <c r="K692" s="68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 ht="15.75" customHeight="1">
      <c r="A693" s="32"/>
      <c r="B693" s="65"/>
      <c r="C693" s="65"/>
      <c r="D693" s="32"/>
      <c r="E693" s="32"/>
      <c r="F693" s="32"/>
      <c r="G693" s="65"/>
      <c r="H693" s="67"/>
      <c r="I693" s="118"/>
      <c r="J693" s="32"/>
      <c r="K693" s="68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 ht="15.75" customHeight="1">
      <c r="A694" s="32"/>
      <c r="B694" s="65"/>
      <c r="C694" s="65"/>
      <c r="D694" s="32"/>
      <c r="E694" s="32"/>
      <c r="F694" s="32"/>
      <c r="G694" s="65"/>
      <c r="H694" s="67"/>
      <c r="I694" s="118"/>
      <c r="J694" s="32"/>
      <c r="K694" s="68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 ht="15.75" customHeight="1">
      <c r="A695" s="32"/>
      <c r="B695" s="65"/>
      <c r="C695" s="65"/>
      <c r="D695" s="32"/>
      <c r="E695" s="32"/>
      <c r="F695" s="32"/>
      <c r="G695" s="65"/>
      <c r="H695" s="67"/>
      <c r="I695" s="118"/>
      <c r="J695" s="32"/>
      <c r="K695" s="68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 ht="15.75" customHeight="1">
      <c r="A696" s="32"/>
      <c r="B696" s="65"/>
      <c r="C696" s="65"/>
      <c r="D696" s="32"/>
      <c r="E696" s="32"/>
      <c r="F696" s="32"/>
      <c r="G696" s="65"/>
      <c r="H696" s="67"/>
      <c r="I696" s="118"/>
      <c r="J696" s="32"/>
      <c r="K696" s="68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 ht="15.75" customHeight="1">
      <c r="A697" s="32"/>
      <c r="B697" s="65"/>
      <c r="C697" s="65"/>
      <c r="D697" s="32"/>
      <c r="E697" s="32"/>
      <c r="F697" s="32"/>
      <c r="G697" s="65"/>
      <c r="H697" s="67"/>
      <c r="I697" s="118"/>
      <c r="J697" s="32"/>
      <c r="K697" s="68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 ht="15.75" customHeight="1">
      <c r="A698" s="32"/>
      <c r="B698" s="65"/>
      <c r="C698" s="65"/>
      <c r="D698" s="32"/>
      <c r="E698" s="32"/>
      <c r="F698" s="32"/>
      <c r="G698" s="65"/>
      <c r="H698" s="67"/>
      <c r="I698" s="118"/>
      <c r="J698" s="32"/>
      <c r="K698" s="68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 ht="15.75" customHeight="1">
      <c r="A699" s="32"/>
      <c r="B699" s="65"/>
      <c r="C699" s="65"/>
      <c r="D699" s="32"/>
      <c r="E699" s="32"/>
      <c r="F699" s="32"/>
      <c r="G699" s="65"/>
      <c r="H699" s="67"/>
      <c r="I699" s="118"/>
      <c r="J699" s="32"/>
      <c r="K699" s="68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 ht="15.75" customHeight="1">
      <c r="A700" s="32"/>
      <c r="B700" s="65"/>
      <c r="C700" s="65"/>
      <c r="D700" s="32"/>
      <c r="E700" s="32"/>
      <c r="F700" s="32"/>
      <c r="G700" s="65"/>
      <c r="H700" s="67"/>
      <c r="I700" s="118"/>
      <c r="J700" s="32"/>
      <c r="K700" s="68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 ht="15.75" customHeight="1">
      <c r="A701" s="32"/>
      <c r="B701" s="65"/>
      <c r="C701" s="65"/>
      <c r="D701" s="32"/>
      <c r="E701" s="32"/>
      <c r="F701" s="32"/>
      <c r="G701" s="65"/>
      <c r="H701" s="67"/>
      <c r="I701" s="118"/>
      <c r="J701" s="32"/>
      <c r="K701" s="68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 ht="15.75" customHeight="1">
      <c r="A702" s="32"/>
      <c r="B702" s="65"/>
      <c r="C702" s="65"/>
      <c r="D702" s="32"/>
      <c r="E702" s="32"/>
      <c r="F702" s="32"/>
      <c r="G702" s="65"/>
      <c r="H702" s="67"/>
      <c r="I702" s="118"/>
      <c r="J702" s="32"/>
      <c r="K702" s="68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 ht="15.75" customHeight="1">
      <c r="A703" s="32"/>
      <c r="B703" s="65"/>
      <c r="C703" s="65"/>
      <c r="D703" s="32"/>
      <c r="E703" s="32"/>
      <c r="F703" s="32"/>
      <c r="G703" s="65"/>
      <c r="H703" s="67"/>
      <c r="I703" s="118"/>
      <c r="J703" s="32"/>
      <c r="K703" s="68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 ht="15.75" customHeight="1">
      <c r="A704" s="32"/>
      <c r="B704" s="65"/>
      <c r="C704" s="65"/>
      <c r="D704" s="32"/>
      <c r="E704" s="32"/>
      <c r="F704" s="32"/>
      <c r="G704" s="65"/>
      <c r="H704" s="67"/>
      <c r="I704" s="118"/>
      <c r="J704" s="32"/>
      <c r="K704" s="68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 ht="15.75" customHeight="1">
      <c r="A705" s="32"/>
      <c r="B705" s="65"/>
      <c r="C705" s="65"/>
      <c r="D705" s="32"/>
      <c r="E705" s="32"/>
      <c r="F705" s="32"/>
      <c r="G705" s="65"/>
      <c r="H705" s="67"/>
      <c r="I705" s="118"/>
      <c r="J705" s="32"/>
      <c r="K705" s="68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 ht="15.75" customHeight="1">
      <c r="A706" s="32"/>
      <c r="B706" s="65"/>
      <c r="C706" s="65"/>
      <c r="D706" s="32"/>
      <c r="E706" s="32"/>
      <c r="F706" s="32"/>
      <c r="G706" s="65"/>
      <c r="H706" s="67"/>
      <c r="I706" s="118"/>
      <c r="J706" s="32"/>
      <c r="K706" s="68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 ht="15.75" customHeight="1">
      <c r="A707" s="32"/>
      <c r="B707" s="65"/>
      <c r="C707" s="65"/>
      <c r="D707" s="32"/>
      <c r="E707" s="32"/>
      <c r="F707" s="32"/>
      <c r="G707" s="65"/>
      <c r="H707" s="67"/>
      <c r="I707" s="118"/>
      <c r="J707" s="32"/>
      <c r="K707" s="68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 ht="15.75" customHeight="1">
      <c r="A708" s="32"/>
      <c r="B708" s="65"/>
      <c r="C708" s="65"/>
      <c r="D708" s="32"/>
      <c r="E708" s="32"/>
      <c r="F708" s="32"/>
      <c r="G708" s="65"/>
      <c r="H708" s="67"/>
      <c r="I708" s="118"/>
      <c r="J708" s="32"/>
      <c r="K708" s="68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 ht="15.75" customHeight="1">
      <c r="A709" s="32"/>
      <c r="B709" s="65"/>
      <c r="C709" s="65"/>
      <c r="D709" s="32"/>
      <c r="E709" s="32"/>
      <c r="F709" s="32"/>
      <c r="G709" s="65"/>
      <c r="H709" s="67"/>
      <c r="I709" s="118"/>
      <c r="J709" s="32"/>
      <c r="K709" s="68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 ht="15.75" customHeight="1">
      <c r="A710" s="32"/>
      <c r="B710" s="65"/>
      <c r="C710" s="65"/>
      <c r="D710" s="32"/>
      <c r="E710" s="32"/>
      <c r="F710" s="32"/>
      <c r="G710" s="65"/>
      <c r="H710" s="67"/>
      <c r="I710" s="118"/>
      <c r="J710" s="32"/>
      <c r="K710" s="68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 ht="15.75" customHeight="1">
      <c r="A711" s="32"/>
      <c r="B711" s="65"/>
      <c r="C711" s="65"/>
      <c r="D711" s="32"/>
      <c r="E711" s="32"/>
      <c r="F711" s="32"/>
      <c r="G711" s="65"/>
      <c r="H711" s="67"/>
      <c r="I711" s="118"/>
      <c r="J711" s="32"/>
      <c r="K711" s="68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 ht="15.75" customHeight="1">
      <c r="A712" s="32"/>
      <c r="B712" s="65"/>
      <c r="C712" s="65"/>
      <c r="D712" s="32"/>
      <c r="E712" s="32"/>
      <c r="F712" s="32"/>
      <c r="G712" s="65"/>
      <c r="H712" s="67"/>
      <c r="I712" s="118"/>
      <c r="J712" s="32"/>
      <c r="K712" s="68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 ht="15.75" customHeight="1">
      <c r="A713" s="32"/>
      <c r="B713" s="65"/>
      <c r="C713" s="65"/>
      <c r="D713" s="32"/>
      <c r="E713" s="32"/>
      <c r="F713" s="32"/>
      <c r="G713" s="65"/>
      <c r="H713" s="67"/>
      <c r="I713" s="118"/>
      <c r="J713" s="32"/>
      <c r="K713" s="68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 ht="15.75" customHeight="1">
      <c r="A714" s="32"/>
      <c r="B714" s="65"/>
      <c r="C714" s="65"/>
      <c r="D714" s="32"/>
      <c r="E714" s="32"/>
      <c r="F714" s="32"/>
      <c r="G714" s="65"/>
      <c r="H714" s="67"/>
      <c r="I714" s="118"/>
      <c r="J714" s="32"/>
      <c r="K714" s="68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 ht="15.75" customHeight="1">
      <c r="A715" s="32"/>
      <c r="B715" s="65"/>
      <c r="C715" s="65"/>
      <c r="D715" s="32"/>
      <c r="E715" s="32"/>
      <c r="F715" s="32"/>
      <c r="G715" s="65"/>
      <c r="H715" s="67"/>
      <c r="I715" s="118"/>
      <c r="J715" s="32"/>
      <c r="K715" s="68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 ht="15.75" customHeight="1">
      <c r="A716" s="32"/>
      <c r="B716" s="65"/>
      <c r="C716" s="65"/>
      <c r="D716" s="32"/>
      <c r="E716" s="32"/>
      <c r="F716" s="32"/>
      <c r="G716" s="65"/>
      <c r="H716" s="67"/>
      <c r="I716" s="118"/>
      <c r="J716" s="32"/>
      <c r="K716" s="68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 ht="15.75" customHeight="1">
      <c r="A717" s="32"/>
      <c r="B717" s="65"/>
      <c r="C717" s="65"/>
      <c r="D717" s="32"/>
      <c r="E717" s="32"/>
      <c r="F717" s="32"/>
      <c r="G717" s="65"/>
      <c r="H717" s="67"/>
      <c r="I717" s="118"/>
      <c r="J717" s="32"/>
      <c r="K717" s="68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 ht="15.75" customHeight="1">
      <c r="A718" s="32"/>
      <c r="B718" s="65"/>
      <c r="C718" s="65"/>
      <c r="D718" s="32"/>
      <c r="E718" s="32"/>
      <c r="F718" s="32"/>
      <c r="G718" s="65"/>
      <c r="H718" s="67"/>
      <c r="I718" s="118"/>
      <c r="J718" s="32"/>
      <c r="K718" s="68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 ht="15.75" customHeight="1">
      <c r="A719" s="32"/>
      <c r="B719" s="65"/>
      <c r="C719" s="65"/>
      <c r="D719" s="32"/>
      <c r="E719" s="32"/>
      <c r="F719" s="32"/>
      <c r="G719" s="65"/>
      <c r="H719" s="67"/>
      <c r="I719" s="118"/>
      <c r="J719" s="32"/>
      <c r="K719" s="68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 ht="15.75" customHeight="1">
      <c r="A720" s="32"/>
      <c r="B720" s="65"/>
      <c r="C720" s="65"/>
      <c r="D720" s="32"/>
      <c r="E720" s="32"/>
      <c r="F720" s="32"/>
      <c r="G720" s="65"/>
      <c r="H720" s="67"/>
      <c r="I720" s="118"/>
      <c r="J720" s="32"/>
      <c r="K720" s="68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 ht="15.75" customHeight="1">
      <c r="A721" s="32"/>
      <c r="B721" s="65"/>
      <c r="C721" s="65"/>
      <c r="D721" s="32"/>
      <c r="E721" s="32"/>
      <c r="F721" s="32"/>
      <c r="G721" s="65"/>
      <c r="H721" s="67"/>
      <c r="I721" s="118"/>
      <c r="J721" s="32"/>
      <c r="K721" s="68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 ht="15.75" customHeight="1">
      <c r="A722" s="32"/>
      <c r="B722" s="65"/>
      <c r="C722" s="65"/>
      <c r="D722" s="32"/>
      <c r="E722" s="32"/>
      <c r="F722" s="32"/>
      <c r="G722" s="65"/>
      <c r="H722" s="67"/>
      <c r="I722" s="118"/>
      <c r="J722" s="32"/>
      <c r="K722" s="68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 ht="15.75" customHeight="1">
      <c r="A723" s="32"/>
      <c r="B723" s="65"/>
      <c r="C723" s="65"/>
      <c r="D723" s="32"/>
      <c r="E723" s="32"/>
      <c r="F723" s="32"/>
      <c r="G723" s="65"/>
      <c r="H723" s="67"/>
      <c r="I723" s="118"/>
      <c r="J723" s="32"/>
      <c r="K723" s="68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 ht="15.75" customHeight="1">
      <c r="A724" s="32"/>
      <c r="B724" s="65"/>
      <c r="C724" s="65"/>
      <c r="D724" s="32"/>
      <c r="E724" s="32"/>
      <c r="F724" s="32"/>
      <c r="G724" s="65"/>
      <c r="H724" s="67"/>
      <c r="I724" s="118"/>
      <c r="J724" s="32"/>
      <c r="K724" s="68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 ht="15.75" customHeight="1">
      <c r="A725" s="32"/>
      <c r="B725" s="65"/>
      <c r="C725" s="65"/>
      <c r="D725" s="32"/>
      <c r="E725" s="32"/>
      <c r="F725" s="32"/>
      <c r="G725" s="65"/>
      <c r="H725" s="67"/>
      <c r="I725" s="118"/>
      <c r="J725" s="32"/>
      <c r="K725" s="68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 ht="15.75" customHeight="1">
      <c r="A726" s="32"/>
      <c r="B726" s="65"/>
      <c r="C726" s="65"/>
      <c r="D726" s="32"/>
      <c r="E726" s="32"/>
      <c r="F726" s="32"/>
      <c r="G726" s="65"/>
      <c r="H726" s="67"/>
      <c r="I726" s="118"/>
      <c r="J726" s="32"/>
      <c r="K726" s="68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 ht="15.75" customHeight="1">
      <c r="A727" s="32"/>
      <c r="B727" s="65"/>
      <c r="C727" s="65"/>
      <c r="D727" s="32"/>
      <c r="E727" s="32"/>
      <c r="F727" s="32"/>
      <c r="G727" s="65"/>
      <c r="H727" s="67"/>
      <c r="I727" s="118"/>
      <c r="J727" s="32"/>
      <c r="K727" s="68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 ht="15.75" customHeight="1">
      <c r="A728" s="32"/>
      <c r="B728" s="65"/>
      <c r="C728" s="65"/>
      <c r="D728" s="32"/>
      <c r="E728" s="32"/>
      <c r="F728" s="32"/>
      <c r="G728" s="65"/>
      <c r="H728" s="67"/>
      <c r="I728" s="118"/>
      <c r="J728" s="32"/>
      <c r="K728" s="68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 ht="15.75" customHeight="1">
      <c r="A729" s="32"/>
      <c r="B729" s="65"/>
      <c r="C729" s="65"/>
      <c r="D729" s="32"/>
      <c r="E729" s="32"/>
      <c r="F729" s="32"/>
      <c r="G729" s="65"/>
      <c r="H729" s="67"/>
      <c r="I729" s="118"/>
      <c r="J729" s="32"/>
      <c r="K729" s="68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 ht="15.75" customHeight="1">
      <c r="A730" s="32"/>
      <c r="B730" s="65"/>
      <c r="C730" s="65"/>
      <c r="D730" s="32"/>
      <c r="E730" s="32"/>
      <c r="F730" s="32"/>
      <c r="G730" s="65"/>
      <c r="H730" s="67"/>
      <c r="I730" s="118"/>
      <c r="J730" s="32"/>
      <c r="K730" s="68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 ht="15.75" customHeight="1">
      <c r="A731" s="32"/>
      <c r="B731" s="65"/>
      <c r="C731" s="65"/>
      <c r="D731" s="32"/>
      <c r="E731" s="32"/>
      <c r="F731" s="32"/>
      <c r="G731" s="65"/>
      <c r="H731" s="67"/>
      <c r="I731" s="118"/>
      <c r="J731" s="32"/>
      <c r="K731" s="68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 ht="15.75" customHeight="1">
      <c r="A732" s="32"/>
      <c r="B732" s="65"/>
      <c r="C732" s="65"/>
      <c r="D732" s="32"/>
      <c r="E732" s="32"/>
      <c r="F732" s="32"/>
      <c r="G732" s="65"/>
      <c r="H732" s="67"/>
      <c r="I732" s="118"/>
      <c r="J732" s="32"/>
      <c r="K732" s="68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ht="15.75" customHeight="1">
      <c r="A733" s="32"/>
      <c r="B733" s="65"/>
      <c r="C733" s="65"/>
      <c r="D733" s="32"/>
      <c r="E733" s="32"/>
      <c r="F733" s="32"/>
      <c r="G733" s="65"/>
      <c r="H733" s="67"/>
      <c r="I733" s="118"/>
      <c r="J733" s="32"/>
      <c r="K733" s="68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 ht="15.75" customHeight="1">
      <c r="A734" s="32"/>
      <c r="B734" s="65"/>
      <c r="C734" s="65"/>
      <c r="D734" s="32"/>
      <c r="E734" s="32"/>
      <c r="F734" s="32"/>
      <c r="G734" s="65"/>
      <c r="H734" s="67"/>
      <c r="I734" s="118"/>
      <c r="J734" s="32"/>
      <c r="K734" s="68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 ht="15.75" customHeight="1">
      <c r="A735" s="32"/>
      <c r="B735" s="65"/>
      <c r="C735" s="65"/>
      <c r="D735" s="32"/>
      <c r="E735" s="32"/>
      <c r="F735" s="32"/>
      <c r="G735" s="65"/>
      <c r="H735" s="67"/>
      <c r="I735" s="118"/>
      <c r="J735" s="32"/>
      <c r="K735" s="68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 ht="15.75" customHeight="1">
      <c r="A736" s="32"/>
      <c r="B736" s="65"/>
      <c r="C736" s="65"/>
      <c r="D736" s="32"/>
      <c r="E736" s="32"/>
      <c r="F736" s="32"/>
      <c r="G736" s="65"/>
      <c r="H736" s="67"/>
      <c r="I736" s="118"/>
      <c r="J736" s="32"/>
      <c r="K736" s="68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 ht="15.75" customHeight="1">
      <c r="A737" s="32"/>
      <c r="B737" s="65"/>
      <c r="C737" s="65"/>
      <c r="D737" s="32"/>
      <c r="E737" s="32"/>
      <c r="F737" s="32"/>
      <c r="G737" s="65"/>
      <c r="H737" s="67"/>
      <c r="I737" s="118"/>
      <c r="J737" s="32"/>
      <c r="K737" s="68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 ht="15.75" customHeight="1">
      <c r="A738" s="32"/>
      <c r="B738" s="65"/>
      <c r="C738" s="65"/>
      <c r="D738" s="32"/>
      <c r="E738" s="32"/>
      <c r="F738" s="32"/>
      <c r="G738" s="65"/>
      <c r="H738" s="67"/>
      <c r="I738" s="118"/>
      <c r="J738" s="32"/>
      <c r="K738" s="68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 ht="15.75" customHeight="1">
      <c r="A739" s="32"/>
      <c r="B739" s="65"/>
      <c r="C739" s="65"/>
      <c r="D739" s="32"/>
      <c r="E739" s="32"/>
      <c r="F739" s="32"/>
      <c r="G739" s="65"/>
      <c r="H739" s="67"/>
      <c r="I739" s="118"/>
      <c r="J739" s="32"/>
      <c r="K739" s="68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 ht="15.75" customHeight="1">
      <c r="A740" s="32"/>
      <c r="B740" s="65"/>
      <c r="C740" s="65"/>
      <c r="D740" s="32"/>
      <c r="E740" s="32"/>
      <c r="F740" s="32"/>
      <c r="G740" s="65"/>
      <c r="H740" s="67"/>
      <c r="I740" s="118"/>
      <c r="J740" s="32"/>
      <c r="K740" s="68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 ht="15.75" customHeight="1">
      <c r="A741" s="32"/>
      <c r="B741" s="65"/>
      <c r="C741" s="65"/>
      <c r="D741" s="32"/>
      <c r="E741" s="32"/>
      <c r="F741" s="32"/>
      <c r="G741" s="65"/>
      <c r="H741" s="67"/>
      <c r="I741" s="118"/>
      <c r="J741" s="32"/>
      <c r="K741" s="68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 ht="15.75" customHeight="1">
      <c r="A742" s="32"/>
      <c r="B742" s="65"/>
      <c r="C742" s="65"/>
      <c r="D742" s="32"/>
      <c r="E742" s="32"/>
      <c r="F742" s="32"/>
      <c r="G742" s="65"/>
      <c r="H742" s="67"/>
      <c r="I742" s="118"/>
      <c r="J742" s="32"/>
      <c r="K742" s="68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 ht="15.75" customHeight="1">
      <c r="A743" s="32"/>
      <c r="B743" s="65"/>
      <c r="C743" s="65"/>
      <c r="D743" s="32"/>
      <c r="E743" s="32"/>
      <c r="F743" s="32"/>
      <c r="G743" s="65"/>
      <c r="H743" s="67"/>
      <c r="I743" s="118"/>
      <c r="J743" s="32"/>
      <c r="K743" s="68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 ht="15.75" customHeight="1">
      <c r="A744" s="32"/>
      <c r="B744" s="65"/>
      <c r="C744" s="65"/>
      <c r="D744" s="32"/>
      <c r="E744" s="32"/>
      <c r="F744" s="32"/>
      <c r="G744" s="65"/>
      <c r="H744" s="67"/>
      <c r="I744" s="118"/>
      <c r="J744" s="32"/>
      <c r="K744" s="68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 ht="15.75" customHeight="1">
      <c r="A745" s="32"/>
      <c r="B745" s="65"/>
      <c r="C745" s="65"/>
      <c r="D745" s="32"/>
      <c r="E745" s="32"/>
      <c r="F745" s="32"/>
      <c r="G745" s="65"/>
      <c r="H745" s="67"/>
      <c r="I745" s="118"/>
      <c r="J745" s="32"/>
      <c r="K745" s="68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 ht="15.75" customHeight="1">
      <c r="A746" s="32"/>
      <c r="B746" s="65"/>
      <c r="C746" s="65"/>
      <c r="D746" s="32"/>
      <c r="E746" s="32"/>
      <c r="F746" s="32"/>
      <c r="G746" s="65"/>
      <c r="H746" s="67"/>
      <c r="I746" s="118"/>
      <c r="J746" s="32"/>
      <c r="K746" s="68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 ht="15.75" customHeight="1">
      <c r="A747" s="32"/>
      <c r="B747" s="65"/>
      <c r="C747" s="65"/>
      <c r="D747" s="32"/>
      <c r="E747" s="32"/>
      <c r="F747" s="32"/>
      <c r="G747" s="65"/>
      <c r="H747" s="67"/>
      <c r="I747" s="118"/>
      <c r="J747" s="32"/>
      <c r="K747" s="68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 ht="15.75" customHeight="1">
      <c r="A748" s="32"/>
      <c r="B748" s="65"/>
      <c r="C748" s="65"/>
      <c r="D748" s="32"/>
      <c r="E748" s="32"/>
      <c r="F748" s="32"/>
      <c r="G748" s="65"/>
      <c r="H748" s="67"/>
      <c r="I748" s="118"/>
      <c r="J748" s="32"/>
      <c r="K748" s="68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 ht="15.75" customHeight="1">
      <c r="A749" s="32"/>
      <c r="B749" s="65"/>
      <c r="C749" s="65"/>
      <c r="D749" s="32"/>
      <c r="E749" s="32"/>
      <c r="F749" s="32"/>
      <c r="G749" s="65"/>
      <c r="H749" s="67"/>
      <c r="I749" s="118"/>
      <c r="J749" s="32"/>
      <c r="K749" s="68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 ht="15.75" customHeight="1">
      <c r="A750" s="32"/>
      <c r="B750" s="65"/>
      <c r="C750" s="65"/>
      <c r="D750" s="32"/>
      <c r="E750" s="32"/>
      <c r="F750" s="32"/>
      <c r="G750" s="65"/>
      <c r="H750" s="67"/>
      <c r="I750" s="118"/>
      <c r="J750" s="32"/>
      <c r="K750" s="68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 ht="15.75" customHeight="1">
      <c r="A751" s="32"/>
      <c r="B751" s="65"/>
      <c r="C751" s="65"/>
      <c r="D751" s="32"/>
      <c r="E751" s="32"/>
      <c r="F751" s="32"/>
      <c r="G751" s="65"/>
      <c r="H751" s="67"/>
      <c r="I751" s="118"/>
      <c r="J751" s="32"/>
      <c r="K751" s="68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 ht="15.75" customHeight="1">
      <c r="A752" s="32"/>
      <c r="B752" s="65"/>
      <c r="C752" s="65"/>
      <c r="D752" s="32"/>
      <c r="E752" s="32"/>
      <c r="F752" s="32"/>
      <c r="G752" s="65"/>
      <c r="H752" s="67"/>
      <c r="I752" s="118"/>
      <c r="J752" s="32"/>
      <c r="K752" s="68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 ht="15.75" customHeight="1">
      <c r="A753" s="32"/>
      <c r="B753" s="65"/>
      <c r="C753" s="65"/>
      <c r="D753" s="32"/>
      <c r="E753" s="32"/>
      <c r="F753" s="32"/>
      <c r="G753" s="65"/>
      <c r="H753" s="67"/>
      <c r="I753" s="118"/>
      <c r="J753" s="32"/>
      <c r="K753" s="68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 ht="15.75" customHeight="1">
      <c r="A754" s="32"/>
      <c r="B754" s="65"/>
      <c r="C754" s="65"/>
      <c r="D754" s="32"/>
      <c r="E754" s="32"/>
      <c r="F754" s="32"/>
      <c r="G754" s="65"/>
      <c r="H754" s="67"/>
      <c r="I754" s="118"/>
      <c r="J754" s="32"/>
      <c r="K754" s="68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 ht="15.75" customHeight="1">
      <c r="A755" s="32"/>
      <c r="B755" s="65"/>
      <c r="C755" s="65"/>
      <c r="D755" s="32"/>
      <c r="E755" s="32"/>
      <c r="F755" s="32"/>
      <c r="G755" s="65"/>
      <c r="H755" s="67"/>
      <c r="I755" s="118"/>
      <c r="J755" s="32"/>
      <c r="K755" s="68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 ht="15.75" customHeight="1">
      <c r="A756" s="32"/>
      <c r="B756" s="65"/>
      <c r="C756" s="65"/>
      <c r="D756" s="32"/>
      <c r="E756" s="32"/>
      <c r="F756" s="32"/>
      <c r="G756" s="65"/>
      <c r="H756" s="67"/>
      <c r="I756" s="118"/>
      <c r="J756" s="32"/>
      <c r="K756" s="68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 ht="15.75" customHeight="1">
      <c r="A757" s="32"/>
      <c r="B757" s="65"/>
      <c r="C757" s="65"/>
      <c r="D757" s="32"/>
      <c r="E757" s="32"/>
      <c r="F757" s="32"/>
      <c r="G757" s="65"/>
      <c r="H757" s="67"/>
      <c r="I757" s="118"/>
      <c r="J757" s="32"/>
      <c r="K757" s="68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 ht="15.75" customHeight="1">
      <c r="A758" s="32"/>
      <c r="B758" s="65"/>
      <c r="C758" s="65"/>
      <c r="D758" s="32"/>
      <c r="E758" s="32"/>
      <c r="F758" s="32"/>
      <c r="G758" s="65"/>
      <c r="H758" s="67"/>
      <c r="I758" s="118"/>
      <c r="J758" s="32"/>
      <c r="K758" s="68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 ht="15.75" customHeight="1">
      <c r="A759" s="32"/>
      <c r="B759" s="65"/>
      <c r="C759" s="65"/>
      <c r="D759" s="32"/>
      <c r="E759" s="32"/>
      <c r="F759" s="32"/>
      <c r="G759" s="65"/>
      <c r="H759" s="67"/>
      <c r="I759" s="118"/>
      <c r="J759" s="32"/>
      <c r="K759" s="68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 ht="15.75" customHeight="1">
      <c r="A760" s="32"/>
      <c r="B760" s="65"/>
      <c r="C760" s="65"/>
      <c r="D760" s="32"/>
      <c r="E760" s="32"/>
      <c r="F760" s="32"/>
      <c r="G760" s="65"/>
      <c r="H760" s="67"/>
      <c r="I760" s="118"/>
      <c r="J760" s="32"/>
      <c r="K760" s="68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 ht="15.75" customHeight="1">
      <c r="A761" s="32"/>
      <c r="B761" s="65"/>
      <c r="C761" s="65"/>
      <c r="D761" s="32"/>
      <c r="E761" s="32"/>
      <c r="F761" s="32"/>
      <c r="G761" s="65"/>
      <c r="H761" s="67"/>
      <c r="I761" s="118"/>
      <c r="J761" s="32"/>
      <c r="K761" s="68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 ht="15.75" customHeight="1">
      <c r="A762" s="32"/>
      <c r="B762" s="65"/>
      <c r="C762" s="65"/>
      <c r="D762" s="32"/>
      <c r="E762" s="32"/>
      <c r="F762" s="32"/>
      <c r="G762" s="65"/>
      <c r="H762" s="67"/>
      <c r="I762" s="118"/>
      <c r="J762" s="32"/>
      <c r="K762" s="68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 ht="15.75" customHeight="1">
      <c r="A763" s="32"/>
      <c r="B763" s="65"/>
      <c r="C763" s="65"/>
      <c r="D763" s="32"/>
      <c r="E763" s="32"/>
      <c r="F763" s="32"/>
      <c r="G763" s="65"/>
      <c r="H763" s="67"/>
      <c r="I763" s="118"/>
      <c r="J763" s="32"/>
      <c r="K763" s="68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 ht="15.75" customHeight="1">
      <c r="A764" s="32"/>
      <c r="B764" s="65"/>
      <c r="C764" s="65"/>
      <c r="D764" s="32"/>
      <c r="E764" s="32"/>
      <c r="F764" s="32"/>
      <c r="G764" s="65"/>
      <c r="H764" s="67"/>
      <c r="I764" s="118"/>
      <c r="J764" s="32"/>
      <c r="K764" s="68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 ht="15.75" customHeight="1">
      <c r="A765" s="32"/>
      <c r="B765" s="65"/>
      <c r="C765" s="65"/>
      <c r="D765" s="32"/>
      <c r="E765" s="32"/>
      <c r="F765" s="32"/>
      <c r="G765" s="65"/>
      <c r="H765" s="67"/>
      <c r="I765" s="118"/>
      <c r="J765" s="32"/>
      <c r="K765" s="68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 ht="15.75" customHeight="1">
      <c r="A766" s="32"/>
      <c r="B766" s="65"/>
      <c r="C766" s="65"/>
      <c r="D766" s="32"/>
      <c r="E766" s="32"/>
      <c r="F766" s="32"/>
      <c r="G766" s="65"/>
      <c r="H766" s="67"/>
      <c r="I766" s="118"/>
      <c r="J766" s="32"/>
      <c r="K766" s="68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 ht="15.75" customHeight="1">
      <c r="A767" s="32"/>
      <c r="B767" s="65"/>
      <c r="C767" s="65"/>
      <c r="D767" s="32"/>
      <c r="E767" s="32"/>
      <c r="F767" s="32"/>
      <c r="G767" s="65"/>
      <c r="H767" s="67"/>
      <c r="I767" s="118"/>
      <c r="J767" s="32"/>
      <c r="K767" s="68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 ht="15.75" customHeight="1">
      <c r="A768" s="32"/>
      <c r="B768" s="65"/>
      <c r="C768" s="65"/>
      <c r="D768" s="32"/>
      <c r="E768" s="32"/>
      <c r="F768" s="32"/>
      <c r="G768" s="65"/>
      <c r="H768" s="67"/>
      <c r="I768" s="118"/>
      <c r="J768" s="32"/>
      <c r="K768" s="68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 ht="15.75" customHeight="1">
      <c r="A769" s="32"/>
      <c r="B769" s="65"/>
      <c r="C769" s="65"/>
      <c r="D769" s="32"/>
      <c r="E769" s="32"/>
      <c r="F769" s="32"/>
      <c r="G769" s="65"/>
      <c r="H769" s="67"/>
      <c r="I769" s="118"/>
      <c r="J769" s="32"/>
      <c r="K769" s="68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 ht="15.75" customHeight="1">
      <c r="A770" s="32"/>
      <c r="B770" s="65"/>
      <c r="C770" s="65"/>
      <c r="D770" s="32"/>
      <c r="E770" s="32"/>
      <c r="F770" s="32"/>
      <c r="G770" s="65"/>
      <c r="H770" s="67"/>
      <c r="I770" s="118"/>
      <c r="J770" s="32"/>
      <c r="K770" s="68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 ht="15.75" customHeight="1">
      <c r="A771" s="32"/>
      <c r="B771" s="65"/>
      <c r="C771" s="65"/>
      <c r="D771" s="32"/>
      <c r="E771" s="32"/>
      <c r="F771" s="32"/>
      <c r="G771" s="65"/>
      <c r="H771" s="67"/>
      <c r="I771" s="118"/>
      <c r="J771" s="32"/>
      <c r="K771" s="68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 ht="15.75" customHeight="1">
      <c r="A772" s="32"/>
      <c r="B772" s="65"/>
      <c r="C772" s="65"/>
      <c r="D772" s="32"/>
      <c r="E772" s="32"/>
      <c r="F772" s="32"/>
      <c r="G772" s="65"/>
      <c r="H772" s="67"/>
      <c r="I772" s="118"/>
      <c r="J772" s="32"/>
      <c r="K772" s="68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 ht="15.75" customHeight="1">
      <c r="A773" s="32"/>
      <c r="B773" s="65"/>
      <c r="C773" s="65"/>
      <c r="D773" s="32"/>
      <c r="E773" s="32"/>
      <c r="F773" s="32"/>
      <c r="G773" s="65"/>
      <c r="H773" s="67"/>
      <c r="I773" s="118"/>
      <c r="J773" s="32"/>
      <c r="K773" s="68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 ht="15.75" customHeight="1">
      <c r="A774" s="32"/>
      <c r="B774" s="65"/>
      <c r="C774" s="65"/>
      <c r="D774" s="32"/>
      <c r="E774" s="32"/>
      <c r="F774" s="32"/>
      <c r="G774" s="65"/>
      <c r="H774" s="67"/>
      <c r="I774" s="118"/>
      <c r="J774" s="32"/>
      <c r="K774" s="68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 ht="15.75" customHeight="1">
      <c r="A775" s="32"/>
      <c r="B775" s="65"/>
      <c r="C775" s="65"/>
      <c r="D775" s="32"/>
      <c r="E775" s="32"/>
      <c r="F775" s="32"/>
      <c r="G775" s="65"/>
      <c r="H775" s="67"/>
      <c r="I775" s="118"/>
      <c r="J775" s="32"/>
      <c r="K775" s="68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 ht="15.75" customHeight="1">
      <c r="A776" s="32"/>
      <c r="B776" s="65"/>
      <c r="C776" s="65"/>
      <c r="D776" s="32"/>
      <c r="E776" s="32"/>
      <c r="F776" s="32"/>
      <c r="G776" s="65"/>
      <c r="H776" s="67"/>
      <c r="I776" s="118"/>
      <c r="J776" s="32"/>
      <c r="K776" s="68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 ht="15.75" customHeight="1">
      <c r="A777" s="32"/>
      <c r="B777" s="65"/>
      <c r="C777" s="65"/>
      <c r="D777" s="32"/>
      <c r="E777" s="32"/>
      <c r="F777" s="32"/>
      <c r="G777" s="65"/>
      <c r="H777" s="67"/>
      <c r="I777" s="118"/>
      <c r="J777" s="32"/>
      <c r="K777" s="68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 ht="15.75" customHeight="1">
      <c r="A778" s="32"/>
      <c r="B778" s="65"/>
      <c r="C778" s="65"/>
      <c r="D778" s="32"/>
      <c r="E778" s="32"/>
      <c r="F778" s="32"/>
      <c r="G778" s="65"/>
      <c r="H778" s="67"/>
      <c r="I778" s="118"/>
      <c r="J778" s="32"/>
      <c r="K778" s="68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 ht="15.75" customHeight="1">
      <c r="A779" s="32"/>
      <c r="B779" s="65"/>
      <c r="C779" s="65"/>
      <c r="D779" s="32"/>
      <c r="E779" s="32"/>
      <c r="F779" s="32"/>
      <c r="G779" s="65"/>
      <c r="H779" s="67"/>
      <c r="I779" s="118"/>
      <c r="J779" s="32"/>
      <c r="K779" s="68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 ht="15.75" customHeight="1">
      <c r="A780" s="32"/>
      <c r="B780" s="65"/>
      <c r="C780" s="65"/>
      <c r="D780" s="32"/>
      <c r="E780" s="32"/>
      <c r="F780" s="32"/>
      <c r="G780" s="65"/>
      <c r="H780" s="67"/>
      <c r="I780" s="118"/>
      <c r="J780" s="32"/>
      <c r="K780" s="68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 ht="15.75" customHeight="1">
      <c r="A781" s="32"/>
      <c r="B781" s="65"/>
      <c r="C781" s="65"/>
      <c r="D781" s="32"/>
      <c r="E781" s="32"/>
      <c r="F781" s="32"/>
      <c r="G781" s="65"/>
      <c r="H781" s="67"/>
      <c r="I781" s="118"/>
      <c r="J781" s="32"/>
      <c r="K781" s="68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 ht="15.75" customHeight="1">
      <c r="A782" s="32"/>
      <c r="B782" s="65"/>
      <c r="C782" s="65"/>
      <c r="D782" s="32"/>
      <c r="E782" s="32"/>
      <c r="F782" s="32"/>
      <c r="G782" s="65"/>
      <c r="H782" s="67"/>
      <c r="I782" s="118"/>
      <c r="J782" s="32"/>
      <c r="K782" s="68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 ht="15.75" customHeight="1">
      <c r="A783" s="32"/>
      <c r="B783" s="65"/>
      <c r="C783" s="65"/>
      <c r="D783" s="32"/>
      <c r="E783" s="32"/>
      <c r="F783" s="32"/>
      <c r="G783" s="65"/>
      <c r="H783" s="67"/>
      <c r="I783" s="118"/>
      <c r="J783" s="32"/>
      <c r="K783" s="68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 ht="15.75" customHeight="1">
      <c r="A784" s="32"/>
      <c r="B784" s="65"/>
      <c r="C784" s="65"/>
      <c r="D784" s="32"/>
      <c r="E784" s="32"/>
      <c r="F784" s="32"/>
      <c r="G784" s="65"/>
      <c r="H784" s="67"/>
      <c r="I784" s="118"/>
      <c r="J784" s="32"/>
      <c r="K784" s="68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 ht="15.75" customHeight="1">
      <c r="A785" s="32"/>
      <c r="B785" s="65"/>
      <c r="C785" s="65"/>
      <c r="D785" s="32"/>
      <c r="E785" s="32"/>
      <c r="F785" s="32"/>
      <c r="G785" s="65"/>
      <c r="H785" s="67"/>
      <c r="I785" s="118"/>
      <c r="J785" s="32"/>
      <c r="K785" s="68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 ht="15.75" customHeight="1">
      <c r="A786" s="32"/>
      <c r="B786" s="65"/>
      <c r="C786" s="65"/>
      <c r="D786" s="32"/>
      <c r="E786" s="32"/>
      <c r="F786" s="32"/>
      <c r="G786" s="65"/>
      <c r="H786" s="67"/>
      <c r="I786" s="118"/>
      <c r="J786" s="32"/>
      <c r="K786" s="68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 ht="15.75" customHeight="1">
      <c r="A787" s="32"/>
      <c r="B787" s="65"/>
      <c r="C787" s="65"/>
      <c r="D787" s="32"/>
      <c r="E787" s="32"/>
      <c r="F787" s="32"/>
      <c r="G787" s="65"/>
      <c r="H787" s="67"/>
      <c r="I787" s="118"/>
      <c r="J787" s="32"/>
      <c r="K787" s="68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 ht="15.75" customHeight="1">
      <c r="A788" s="32"/>
      <c r="B788" s="65"/>
      <c r="C788" s="65"/>
      <c r="D788" s="32"/>
      <c r="E788" s="32"/>
      <c r="F788" s="32"/>
      <c r="G788" s="65"/>
      <c r="H788" s="67"/>
      <c r="I788" s="118"/>
      <c r="J788" s="32"/>
      <c r="K788" s="68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 ht="15.75" customHeight="1">
      <c r="A789" s="32"/>
      <c r="B789" s="65"/>
      <c r="C789" s="65"/>
      <c r="D789" s="32"/>
      <c r="E789" s="32"/>
      <c r="F789" s="32"/>
      <c r="G789" s="65"/>
      <c r="H789" s="67"/>
      <c r="I789" s="118"/>
      <c r="J789" s="32"/>
      <c r="K789" s="68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 ht="15.75" customHeight="1">
      <c r="A790" s="32"/>
      <c r="B790" s="65"/>
      <c r="C790" s="65"/>
      <c r="D790" s="32"/>
      <c r="E790" s="32"/>
      <c r="F790" s="32"/>
      <c r="G790" s="65"/>
      <c r="H790" s="67"/>
      <c r="I790" s="118"/>
      <c r="J790" s="32"/>
      <c r="K790" s="68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 ht="15.75" customHeight="1">
      <c r="A791" s="32"/>
      <c r="B791" s="65"/>
      <c r="C791" s="65"/>
      <c r="D791" s="32"/>
      <c r="E791" s="32"/>
      <c r="F791" s="32"/>
      <c r="G791" s="65"/>
      <c r="H791" s="67"/>
      <c r="I791" s="118"/>
      <c r="J791" s="32"/>
      <c r="K791" s="68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 ht="15.75" customHeight="1">
      <c r="A792" s="32"/>
      <c r="B792" s="65"/>
      <c r="C792" s="65"/>
      <c r="D792" s="32"/>
      <c r="E792" s="32"/>
      <c r="F792" s="32"/>
      <c r="G792" s="65"/>
      <c r="H792" s="67"/>
      <c r="I792" s="118"/>
      <c r="J792" s="32"/>
      <c r="K792" s="68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 ht="15.75" customHeight="1">
      <c r="A793" s="32"/>
      <c r="B793" s="65"/>
      <c r="C793" s="65"/>
      <c r="D793" s="32"/>
      <c r="E793" s="32"/>
      <c r="F793" s="32"/>
      <c r="G793" s="65"/>
      <c r="H793" s="67"/>
      <c r="I793" s="118"/>
      <c r="J793" s="32"/>
      <c r="K793" s="68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 ht="15.75" customHeight="1">
      <c r="A794" s="32"/>
      <c r="B794" s="65"/>
      <c r="C794" s="65"/>
      <c r="D794" s="32"/>
      <c r="E794" s="32"/>
      <c r="F794" s="32"/>
      <c r="G794" s="65"/>
      <c r="H794" s="67"/>
      <c r="I794" s="118"/>
      <c r="J794" s="32"/>
      <c r="K794" s="68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 ht="15.75" customHeight="1">
      <c r="A795" s="32"/>
      <c r="B795" s="65"/>
      <c r="C795" s="65"/>
      <c r="D795" s="32"/>
      <c r="E795" s="32"/>
      <c r="F795" s="32"/>
      <c r="G795" s="65"/>
      <c r="H795" s="67"/>
      <c r="I795" s="118"/>
      <c r="J795" s="32"/>
      <c r="K795" s="68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 ht="15.75" customHeight="1">
      <c r="A796" s="32"/>
      <c r="B796" s="65"/>
      <c r="C796" s="65"/>
      <c r="D796" s="32"/>
      <c r="E796" s="32"/>
      <c r="F796" s="32"/>
      <c r="G796" s="65"/>
      <c r="H796" s="67"/>
      <c r="I796" s="118"/>
      <c r="J796" s="32"/>
      <c r="K796" s="68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 ht="15.75" customHeight="1">
      <c r="A797" s="32"/>
      <c r="B797" s="65"/>
      <c r="C797" s="65"/>
      <c r="D797" s="32"/>
      <c r="E797" s="32"/>
      <c r="F797" s="32"/>
      <c r="G797" s="65"/>
      <c r="H797" s="67"/>
      <c r="I797" s="118"/>
      <c r="J797" s="32"/>
      <c r="K797" s="68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 ht="15.75" customHeight="1">
      <c r="A798" s="32"/>
      <c r="B798" s="65"/>
      <c r="C798" s="65"/>
      <c r="D798" s="32"/>
      <c r="E798" s="32"/>
      <c r="F798" s="32"/>
      <c r="G798" s="65"/>
      <c r="H798" s="67"/>
      <c r="I798" s="118"/>
      <c r="J798" s="32"/>
      <c r="K798" s="68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 ht="15.75" customHeight="1">
      <c r="A799" s="32"/>
      <c r="B799" s="65"/>
      <c r="C799" s="65"/>
      <c r="D799" s="32"/>
      <c r="E799" s="32"/>
      <c r="F799" s="32"/>
      <c r="G799" s="65"/>
      <c r="H799" s="67"/>
      <c r="I799" s="118"/>
      <c r="J799" s="32"/>
      <c r="K799" s="68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 ht="15.75" customHeight="1">
      <c r="A800" s="32"/>
      <c r="B800" s="65"/>
      <c r="C800" s="65"/>
      <c r="D800" s="32"/>
      <c r="E800" s="32"/>
      <c r="F800" s="32"/>
      <c r="G800" s="65"/>
      <c r="H800" s="67"/>
      <c r="I800" s="118"/>
      <c r="J800" s="32"/>
      <c r="K800" s="68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 ht="15.75" customHeight="1">
      <c r="A801" s="32"/>
      <c r="B801" s="65"/>
      <c r="C801" s="65"/>
      <c r="D801" s="32"/>
      <c r="E801" s="32"/>
      <c r="F801" s="32"/>
      <c r="G801" s="65"/>
      <c r="H801" s="67"/>
      <c r="I801" s="118"/>
      <c r="J801" s="32"/>
      <c r="K801" s="68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 ht="15.75" customHeight="1">
      <c r="A802" s="32"/>
      <c r="B802" s="65"/>
      <c r="C802" s="65"/>
      <c r="D802" s="32"/>
      <c r="E802" s="32"/>
      <c r="F802" s="32"/>
      <c r="G802" s="65"/>
      <c r="H802" s="67"/>
      <c r="I802" s="118"/>
      <c r="J802" s="32"/>
      <c r="K802" s="68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 ht="15.75" customHeight="1">
      <c r="A803" s="32"/>
      <c r="B803" s="65"/>
      <c r="C803" s="65"/>
      <c r="D803" s="32"/>
      <c r="E803" s="32"/>
      <c r="F803" s="32"/>
      <c r="G803" s="65"/>
      <c r="H803" s="67"/>
      <c r="I803" s="118"/>
      <c r="J803" s="32"/>
      <c r="K803" s="68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 ht="15.75" customHeight="1">
      <c r="A804" s="32"/>
      <c r="B804" s="65"/>
      <c r="C804" s="65"/>
      <c r="D804" s="32"/>
      <c r="E804" s="32"/>
      <c r="F804" s="32"/>
      <c r="G804" s="65"/>
      <c r="H804" s="67"/>
      <c r="I804" s="118"/>
      <c r="J804" s="32"/>
      <c r="K804" s="68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 ht="15.75" customHeight="1">
      <c r="A805" s="32"/>
      <c r="B805" s="65"/>
      <c r="C805" s="65"/>
      <c r="D805" s="32"/>
      <c r="E805" s="32"/>
      <c r="F805" s="32"/>
      <c r="G805" s="65"/>
      <c r="H805" s="67"/>
      <c r="I805" s="118"/>
      <c r="J805" s="32"/>
      <c r="K805" s="68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 ht="15.75" customHeight="1">
      <c r="A806" s="32"/>
      <c r="B806" s="65"/>
      <c r="C806" s="65"/>
      <c r="D806" s="32"/>
      <c r="E806" s="32"/>
      <c r="F806" s="32"/>
      <c r="G806" s="65"/>
      <c r="H806" s="67"/>
      <c r="I806" s="118"/>
      <c r="J806" s="32"/>
      <c r="K806" s="68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 ht="15.75" customHeight="1">
      <c r="A807" s="32"/>
      <c r="B807" s="65"/>
      <c r="C807" s="65"/>
      <c r="D807" s="32"/>
      <c r="E807" s="32"/>
      <c r="F807" s="32"/>
      <c r="G807" s="65"/>
      <c r="H807" s="67"/>
      <c r="I807" s="118"/>
      <c r="J807" s="32"/>
      <c r="K807" s="68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 ht="15.75" customHeight="1">
      <c r="A808" s="32"/>
      <c r="B808" s="65"/>
      <c r="C808" s="65"/>
      <c r="D808" s="32"/>
      <c r="E808" s="32"/>
      <c r="F808" s="32"/>
      <c r="G808" s="65"/>
      <c r="H808" s="67"/>
      <c r="I808" s="118"/>
      <c r="J808" s="32"/>
      <c r="K808" s="68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 ht="15.75" customHeight="1">
      <c r="A809" s="32"/>
      <c r="B809" s="65"/>
      <c r="C809" s="65"/>
      <c r="D809" s="32"/>
      <c r="E809" s="32"/>
      <c r="F809" s="32"/>
      <c r="G809" s="65"/>
      <c r="H809" s="67"/>
      <c r="I809" s="118"/>
      <c r="J809" s="32"/>
      <c r="K809" s="68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 ht="15.75" customHeight="1">
      <c r="A810" s="32"/>
      <c r="B810" s="65"/>
      <c r="C810" s="65"/>
      <c r="D810" s="32"/>
      <c r="E810" s="32"/>
      <c r="F810" s="32"/>
      <c r="G810" s="65"/>
      <c r="H810" s="67"/>
      <c r="I810" s="118"/>
      <c r="J810" s="32"/>
      <c r="K810" s="68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 ht="15.75" customHeight="1">
      <c r="A811" s="32"/>
      <c r="B811" s="65"/>
      <c r="C811" s="65"/>
      <c r="D811" s="32"/>
      <c r="E811" s="32"/>
      <c r="F811" s="32"/>
      <c r="G811" s="65"/>
      <c r="H811" s="67"/>
      <c r="I811" s="118"/>
      <c r="J811" s="32"/>
      <c r="K811" s="68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 ht="15.75" customHeight="1">
      <c r="A812" s="32"/>
      <c r="B812" s="65"/>
      <c r="C812" s="65"/>
      <c r="D812" s="32"/>
      <c r="E812" s="32"/>
      <c r="F812" s="32"/>
      <c r="G812" s="65"/>
      <c r="H812" s="67"/>
      <c r="I812" s="118"/>
      <c r="J812" s="32"/>
      <c r="K812" s="68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 ht="15.75" customHeight="1">
      <c r="A813" s="32"/>
      <c r="B813" s="65"/>
      <c r="C813" s="65"/>
      <c r="D813" s="32"/>
      <c r="E813" s="32"/>
      <c r="F813" s="32"/>
      <c r="G813" s="65"/>
      <c r="H813" s="67"/>
      <c r="I813" s="118"/>
      <c r="J813" s="32"/>
      <c r="K813" s="68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 ht="15.75" customHeight="1">
      <c r="A814" s="32"/>
      <c r="B814" s="65"/>
      <c r="C814" s="65"/>
      <c r="D814" s="32"/>
      <c r="E814" s="32"/>
      <c r="F814" s="32"/>
      <c r="G814" s="65"/>
      <c r="H814" s="67"/>
      <c r="I814" s="118"/>
      <c r="J814" s="32"/>
      <c r="K814" s="68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</row>
    <row r="815" ht="15.75" customHeight="1">
      <c r="A815" s="32"/>
      <c r="B815" s="65"/>
      <c r="C815" s="65"/>
      <c r="D815" s="32"/>
      <c r="E815" s="32"/>
      <c r="F815" s="32"/>
      <c r="G815" s="65"/>
      <c r="H815" s="67"/>
      <c r="I815" s="118"/>
      <c r="J815" s="32"/>
      <c r="K815" s="68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</row>
    <row r="816" ht="15.75" customHeight="1">
      <c r="A816" s="32"/>
      <c r="B816" s="65"/>
      <c r="C816" s="65"/>
      <c r="D816" s="32"/>
      <c r="E816" s="32"/>
      <c r="F816" s="32"/>
      <c r="G816" s="65"/>
      <c r="H816" s="67"/>
      <c r="I816" s="118"/>
      <c r="J816" s="32"/>
      <c r="K816" s="68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</row>
    <row r="817" ht="15.75" customHeight="1">
      <c r="A817" s="32"/>
      <c r="B817" s="65"/>
      <c r="C817" s="65"/>
      <c r="D817" s="32"/>
      <c r="E817" s="32"/>
      <c r="F817" s="32"/>
      <c r="G817" s="65"/>
      <c r="H817" s="67"/>
      <c r="I817" s="118"/>
      <c r="J817" s="32"/>
      <c r="K817" s="68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</row>
    <row r="818" ht="15.75" customHeight="1">
      <c r="A818" s="32"/>
      <c r="B818" s="65"/>
      <c r="C818" s="65"/>
      <c r="D818" s="32"/>
      <c r="E818" s="32"/>
      <c r="F818" s="32"/>
      <c r="G818" s="65"/>
      <c r="H818" s="67"/>
      <c r="I818" s="118"/>
      <c r="J818" s="32"/>
      <c r="K818" s="68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 ht="15.75" customHeight="1">
      <c r="A819" s="32"/>
      <c r="B819" s="65"/>
      <c r="C819" s="65"/>
      <c r="D819" s="32"/>
      <c r="E819" s="32"/>
      <c r="F819" s="32"/>
      <c r="G819" s="65"/>
      <c r="H819" s="67"/>
      <c r="I819" s="118"/>
      <c r="J819" s="32"/>
      <c r="K819" s="68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</row>
    <row r="820" ht="15.75" customHeight="1">
      <c r="A820" s="32"/>
      <c r="B820" s="65"/>
      <c r="C820" s="65"/>
      <c r="D820" s="32"/>
      <c r="E820" s="32"/>
      <c r="F820" s="32"/>
      <c r="G820" s="65"/>
      <c r="H820" s="67"/>
      <c r="I820" s="118"/>
      <c r="J820" s="32"/>
      <c r="K820" s="68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</row>
    <row r="821" ht="15.75" customHeight="1">
      <c r="A821" s="32"/>
      <c r="B821" s="65"/>
      <c r="C821" s="65"/>
      <c r="D821" s="32"/>
      <c r="E821" s="32"/>
      <c r="F821" s="32"/>
      <c r="G821" s="65"/>
      <c r="H821" s="67"/>
      <c r="I821" s="118"/>
      <c r="J821" s="32"/>
      <c r="K821" s="68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</row>
    <row r="822" ht="15.75" customHeight="1">
      <c r="A822" s="32"/>
      <c r="B822" s="65"/>
      <c r="C822" s="65"/>
      <c r="D822" s="32"/>
      <c r="E822" s="32"/>
      <c r="F822" s="32"/>
      <c r="G822" s="65"/>
      <c r="H822" s="67"/>
      <c r="I822" s="118"/>
      <c r="J822" s="32"/>
      <c r="K822" s="68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</row>
    <row r="823" ht="15.75" customHeight="1">
      <c r="A823" s="32"/>
      <c r="B823" s="65"/>
      <c r="C823" s="65"/>
      <c r="D823" s="32"/>
      <c r="E823" s="32"/>
      <c r="F823" s="32"/>
      <c r="G823" s="65"/>
      <c r="H823" s="67"/>
      <c r="I823" s="118"/>
      <c r="J823" s="32"/>
      <c r="K823" s="68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</row>
    <row r="824" ht="15.75" customHeight="1">
      <c r="A824" s="32"/>
      <c r="B824" s="65"/>
      <c r="C824" s="65"/>
      <c r="D824" s="32"/>
      <c r="E824" s="32"/>
      <c r="F824" s="32"/>
      <c r="G824" s="65"/>
      <c r="H824" s="67"/>
      <c r="I824" s="118"/>
      <c r="J824" s="32"/>
      <c r="K824" s="68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 ht="15.75" customHeight="1">
      <c r="A825" s="32"/>
      <c r="B825" s="65"/>
      <c r="C825" s="65"/>
      <c r="D825" s="32"/>
      <c r="E825" s="32"/>
      <c r="F825" s="32"/>
      <c r="G825" s="65"/>
      <c r="H825" s="67"/>
      <c r="I825" s="118"/>
      <c r="J825" s="32"/>
      <c r="K825" s="68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</row>
    <row r="826" ht="15.75" customHeight="1">
      <c r="A826" s="32"/>
      <c r="B826" s="65"/>
      <c r="C826" s="65"/>
      <c r="D826" s="32"/>
      <c r="E826" s="32"/>
      <c r="F826" s="32"/>
      <c r="G826" s="65"/>
      <c r="H826" s="67"/>
      <c r="I826" s="118"/>
      <c r="J826" s="32"/>
      <c r="K826" s="68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</row>
    <row r="827" ht="15.75" customHeight="1">
      <c r="A827" s="32"/>
      <c r="B827" s="65"/>
      <c r="C827" s="65"/>
      <c r="D827" s="32"/>
      <c r="E827" s="32"/>
      <c r="F827" s="32"/>
      <c r="G827" s="65"/>
      <c r="H827" s="67"/>
      <c r="I827" s="118"/>
      <c r="J827" s="32"/>
      <c r="K827" s="68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</row>
    <row r="828" ht="15.75" customHeight="1">
      <c r="A828" s="32"/>
      <c r="B828" s="65"/>
      <c r="C828" s="65"/>
      <c r="D828" s="32"/>
      <c r="E828" s="32"/>
      <c r="F828" s="32"/>
      <c r="G828" s="65"/>
      <c r="H828" s="67"/>
      <c r="I828" s="118"/>
      <c r="J828" s="32"/>
      <c r="K828" s="68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 ht="15.75" customHeight="1">
      <c r="A829" s="32"/>
      <c r="B829" s="65"/>
      <c r="C829" s="65"/>
      <c r="D829" s="32"/>
      <c r="E829" s="32"/>
      <c r="F829" s="32"/>
      <c r="G829" s="65"/>
      <c r="H829" s="67"/>
      <c r="I829" s="118"/>
      <c r="J829" s="32"/>
      <c r="K829" s="68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</row>
    <row r="830" ht="15.75" customHeight="1">
      <c r="A830" s="32"/>
      <c r="B830" s="65"/>
      <c r="C830" s="65"/>
      <c r="D830" s="32"/>
      <c r="E830" s="32"/>
      <c r="F830" s="32"/>
      <c r="G830" s="65"/>
      <c r="H830" s="67"/>
      <c r="I830" s="118"/>
      <c r="J830" s="32"/>
      <c r="K830" s="68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</row>
    <row r="831" ht="15.75" customHeight="1">
      <c r="A831" s="32"/>
      <c r="B831" s="65"/>
      <c r="C831" s="65"/>
      <c r="D831" s="32"/>
      <c r="E831" s="32"/>
      <c r="F831" s="32"/>
      <c r="G831" s="65"/>
      <c r="H831" s="67"/>
      <c r="I831" s="118"/>
      <c r="J831" s="32"/>
      <c r="K831" s="68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</row>
    <row r="832" ht="15.75" customHeight="1">
      <c r="A832" s="32"/>
      <c r="B832" s="65"/>
      <c r="C832" s="65"/>
      <c r="D832" s="32"/>
      <c r="E832" s="32"/>
      <c r="F832" s="32"/>
      <c r="G832" s="65"/>
      <c r="H832" s="67"/>
      <c r="I832" s="118"/>
      <c r="J832" s="32"/>
      <c r="K832" s="68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</row>
    <row r="833" ht="15.75" customHeight="1">
      <c r="A833" s="32"/>
      <c r="B833" s="65"/>
      <c r="C833" s="65"/>
      <c r="D833" s="32"/>
      <c r="E833" s="32"/>
      <c r="F833" s="32"/>
      <c r="G833" s="65"/>
      <c r="H833" s="67"/>
      <c r="I833" s="118"/>
      <c r="J833" s="32"/>
      <c r="K833" s="68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</row>
    <row r="834" ht="15.75" customHeight="1">
      <c r="A834" s="32"/>
      <c r="B834" s="65"/>
      <c r="C834" s="65"/>
      <c r="D834" s="32"/>
      <c r="E834" s="32"/>
      <c r="F834" s="32"/>
      <c r="G834" s="65"/>
      <c r="H834" s="67"/>
      <c r="I834" s="118"/>
      <c r="J834" s="32"/>
      <c r="K834" s="68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</row>
    <row r="835" ht="15.75" customHeight="1">
      <c r="A835" s="32"/>
      <c r="B835" s="65"/>
      <c r="C835" s="65"/>
      <c r="D835" s="32"/>
      <c r="E835" s="32"/>
      <c r="F835" s="32"/>
      <c r="G835" s="65"/>
      <c r="H835" s="67"/>
      <c r="I835" s="118"/>
      <c r="J835" s="32"/>
      <c r="K835" s="68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</row>
    <row r="836" ht="15.75" customHeight="1">
      <c r="A836" s="32"/>
      <c r="B836" s="65"/>
      <c r="C836" s="65"/>
      <c r="D836" s="32"/>
      <c r="E836" s="32"/>
      <c r="F836" s="32"/>
      <c r="G836" s="65"/>
      <c r="H836" s="67"/>
      <c r="I836" s="118"/>
      <c r="J836" s="32"/>
      <c r="K836" s="68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</row>
    <row r="837" ht="15.75" customHeight="1">
      <c r="A837" s="32"/>
      <c r="B837" s="65"/>
      <c r="C837" s="65"/>
      <c r="D837" s="32"/>
      <c r="E837" s="32"/>
      <c r="F837" s="32"/>
      <c r="G837" s="65"/>
      <c r="H837" s="67"/>
      <c r="I837" s="118"/>
      <c r="J837" s="32"/>
      <c r="K837" s="68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</row>
    <row r="838" ht="15.75" customHeight="1">
      <c r="A838" s="32"/>
      <c r="B838" s="65"/>
      <c r="C838" s="65"/>
      <c r="D838" s="32"/>
      <c r="E838" s="32"/>
      <c r="F838" s="32"/>
      <c r="G838" s="65"/>
      <c r="H838" s="67"/>
      <c r="I838" s="118"/>
      <c r="J838" s="32"/>
      <c r="K838" s="68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</row>
    <row r="839" ht="15.75" customHeight="1">
      <c r="A839" s="32"/>
      <c r="B839" s="65"/>
      <c r="C839" s="65"/>
      <c r="D839" s="32"/>
      <c r="E839" s="32"/>
      <c r="F839" s="32"/>
      <c r="G839" s="65"/>
      <c r="H839" s="67"/>
      <c r="I839" s="118"/>
      <c r="J839" s="32"/>
      <c r="K839" s="68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</row>
    <row r="840" ht="15.75" customHeight="1">
      <c r="A840" s="32"/>
      <c r="B840" s="65"/>
      <c r="C840" s="65"/>
      <c r="D840" s="32"/>
      <c r="E840" s="32"/>
      <c r="F840" s="32"/>
      <c r="G840" s="65"/>
      <c r="H840" s="67"/>
      <c r="I840" s="118"/>
      <c r="J840" s="32"/>
      <c r="K840" s="68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</row>
    <row r="841" ht="15.75" customHeight="1">
      <c r="A841" s="32"/>
      <c r="B841" s="65"/>
      <c r="C841" s="65"/>
      <c r="D841" s="32"/>
      <c r="E841" s="32"/>
      <c r="F841" s="32"/>
      <c r="G841" s="65"/>
      <c r="H841" s="67"/>
      <c r="I841" s="118"/>
      <c r="J841" s="32"/>
      <c r="K841" s="68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</row>
    <row r="842" ht="15.75" customHeight="1">
      <c r="A842" s="32"/>
      <c r="B842" s="65"/>
      <c r="C842" s="65"/>
      <c r="D842" s="32"/>
      <c r="E842" s="32"/>
      <c r="F842" s="32"/>
      <c r="G842" s="65"/>
      <c r="H842" s="67"/>
      <c r="I842" s="118"/>
      <c r="J842" s="32"/>
      <c r="K842" s="68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</row>
    <row r="843" ht="15.75" customHeight="1">
      <c r="A843" s="32"/>
      <c r="B843" s="65"/>
      <c r="C843" s="65"/>
      <c r="D843" s="32"/>
      <c r="E843" s="32"/>
      <c r="F843" s="32"/>
      <c r="G843" s="65"/>
      <c r="H843" s="67"/>
      <c r="I843" s="118"/>
      <c r="J843" s="32"/>
      <c r="K843" s="68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</row>
    <row r="844" ht="15.75" customHeight="1">
      <c r="A844" s="32"/>
      <c r="B844" s="65"/>
      <c r="C844" s="65"/>
      <c r="D844" s="32"/>
      <c r="E844" s="32"/>
      <c r="F844" s="32"/>
      <c r="G844" s="65"/>
      <c r="H844" s="67"/>
      <c r="I844" s="118"/>
      <c r="J844" s="32"/>
      <c r="K844" s="68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</row>
    <row r="845" ht="15.75" customHeight="1">
      <c r="A845" s="32"/>
      <c r="B845" s="65"/>
      <c r="C845" s="65"/>
      <c r="D845" s="32"/>
      <c r="E845" s="32"/>
      <c r="F845" s="32"/>
      <c r="G845" s="65"/>
      <c r="H845" s="67"/>
      <c r="I845" s="118"/>
      <c r="J845" s="32"/>
      <c r="K845" s="68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</row>
    <row r="846" ht="15.75" customHeight="1">
      <c r="A846" s="32"/>
      <c r="B846" s="65"/>
      <c r="C846" s="65"/>
      <c r="D846" s="32"/>
      <c r="E846" s="32"/>
      <c r="F846" s="32"/>
      <c r="G846" s="65"/>
      <c r="H846" s="67"/>
      <c r="I846" s="118"/>
      <c r="J846" s="32"/>
      <c r="K846" s="68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</row>
    <row r="847" ht="15.75" customHeight="1">
      <c r="A847" s="32"/>
      <c r="B847" s="65"/>
      <c r="C847" s="65"/>
      <c r="D847" s="32"/>
      <c r="E847" s="32"/>
      <c r="F847" s="32"/>
      <c r="G847" s="65"/>
      <c r="H847" s="67"/>
      <c r="I847" s="118"/>
      <c r="J847" s="32"/>
      <c r="K847" s="68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</row>
    <row r="848" ht="15.75" customHeight="1">
      <c r="A848" s="32"/>
      <c r="B848" s="65"/>
      <c r="C848" s="65"/>
      <c r="D848" s="32"/>
      <c r="E848" s="32"/>
      <c r="F848" s="32"/>
      <c r="G848" s="65"/>
      <c r="H848" s="67"/>
      <c r="I848" s="118"/>
      <c r="J848" s="32"/>
      <c r="K848" s="68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</row>
    <row r="849" ht="15.75" customHeight="1">
      <c r="A849" s="32"/>
      <c r="B849" s="65"/>
      <c r="C849" s="65"/>
      <c r="D849" s="32"/>
      <c r="E849" s="32"/>
      <c r="F849" s="32"/>
      <c r="G849" s="65"/>
      <c r="H849" s="67"/>
      <c r="I849" s="118"/>
      <c r="J849" s="32"/>
      <c r="K849" s="68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</row>
    <row r="850" ht="15.75" customHeight="1">
      <c r="A850" s="32"/>
      <c r="B850" s="65"/>
      <c r="C850" s="65"/>
      <c r="D850" s="32"/>
      <c r="E850" s="32"/>
      <c r="F850" s="32"/>
      <c r="G850" s="65"/>
      <c r="H850" s="67"/>
      <c r="I850" s="118"/>
      <c r="J850" s="32"/>
      <c r="K850" s="68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</row>
    <row r="851" ht="15.75" customHeight="1">
      <c r="A851" s="32"/>
      <c r="B851" s="65"/>
      <c r="C851" s="65"/>
      <c r="D851" s="32"/>
      <c r="E851" s="32"/>
      <c r="F851" s="32"/>
      <c r="G851" s="65"/>
      <c r="H851" s="67"/>
      <c r="I851" s="118"/>
      <c r="J851" s="32"/>
      <c r="K851" s="68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</row>
    <row r="852" ht="15.75" customHeight="1">
      <c r="A852" s="32"/>
      <c r="B852" s="65"/>
      <c r="C852" s="65"/>
      <c r="D852" s="32"/>
      <c r="E852" s="32"/>
      <c r="F852" s="32"/>
      <c r="G852" s="65"/>
      <c r="H852" s="67"/>
      <c r="I852" s="118"/>
      <c r="J852" s="32"/>
      <c r="K852" s="68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</row>
    <row r="853" ht="15.75" customHeight="1">
      <c r="A853" s="32"/>
      <c r="B853" s="65"/>
      <c r="C853" s="65"/>
      <c r="D853" s="32"/>
      <c r="E853" s="32"/>
      <c r="F853" s="32"/>
      <c r="G853" s="65"/>
      <c r="H853" s="67"/>
      <c r="I853" s="118"/>
      <c r="J853" s="32"/>
      <c r="K853" s="68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 ht="15.75" customHeight="1">
      <c r="A854" s="32"/>
      <c r="B854" s="65"/>
      <c r="C854" s="65"/>
      <c r="D854" s="32"/>
      <c r="E854" s="32"/>
      <c r="F854" s="32"/>
      <c r="G854" s="65"/>
      <c r="H854" s="67"/>
      <c r="I854" s="118"/>
      <c r="J854" s="32"/>
      <c r="K854" s="68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 ht="15.75" customHeight="1">
      <c r="A855" s="32"/>
      <c r="B855" s="65"/>
      <c r="C855" s="65"/>
      <c r="D855" s="32"/>
      <c r="E855" s="32"/>
      <c r="F855" s="32"/>
      <c r="G855" s="65"/>
      <c r="H855" s="67"/>
      <c r="I855" s="118"/>
      <c r="J855" s="32"/>
      <c r="K855" s="68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</row>
    <row r="856" ht="15.75" customHeight="1">
      <c r="A856" s="32"/>
      <c r="B856" s="65"/>
      <c r="C856" s="65"/>
      <c r="D856" s="32"/>
      <c r="E856" s="32"/>
      <c r="F856" s="32"/>
      <c r="G856" s="65"/>
      <c r="H856" s="67"/>
      <c r="I856" s="118"/>
      <c r="J856" s="32"/>
      <c r="K856" s="68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</row>
    <row r="857" ht="15.75" customHeight="1">
      <c r="A857" s="32"/>
      <c r="B857" s="65"/>
      <c r="C857" s="65"/>
      <c r="D857" s="32"/>
      <c r="E857" s="32"/>
      <c r="F857" s="32"/>
      <c r="G857" s="65"/>
      <c r="H857" s="67"/>
      <c r="I857" s="118"/>
      <c r="J857" s="32"/>
      <c r="K857" s="68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</row>
    <row r="858" ht="15.75" customHeight="1">
      <c r="A858" s="32"/>
      <c r="B858" s="65"/>
      <c r="C858" s="65"/>
      <c r="D858" s="32"/>
      <c r="E858" s="32"/>
      <c r="F858" s="32"/>
      <c r="G858" s="65"/>
      <c r="H858" s="67"/>
      <c r="I858" s="118"/>
      <c r="J858" s="32"/>
      <c r="K858" s="68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 ht="15.75" customHeight="1">
      <c r="A859" s="32"/>
      <c r="B859" s="65"/>
      <c r="C859" s="65"/>
      <c r="D859" s="32"/>
      <c r="E859" s="32"/>
      <c r="F859" s="32"/>
      <c r="G859" s="65"/>
      <c r="H859" s="67"/>
      <c r="I859" s="118"/>
      <c r="J859" s="32"/>
      <c r="K859" s="68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</row>
    <row r="860" ht="15.75" customHeight="1">
      <c r="A860" s="32"/>
      <c r="B860" s="65"/>
      <c r="C860" s="65"/>
      <c r="D860" s="32"/>
      <c r="E860" s="32"/>
      <c r="F860" s="32"/>
      <c r="G860" s="65"/>
      <c r="H860" s="67"/>
      <c r="I860" s="118"/>
      <c r="J860" s="32"/>
      <c r="K860" s="68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</row>
    <row r="861" ht="15.75" customHeight="1">
      <c r="A861" s="32"/>
      <c r="B861" s="65"/>
      <c r="C861" s="65"/>
      <c r="D861" s="32"/>
      <c r="E861" s="32"/>
      <c r="F861" s="32"/>
      <c r="G861" s="65"/>
      <c r="H861" s="67"/>
      <c r="I861" s="118"/>
      <c r="J861" s="32"/>
      <c r="K861" s="68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</row>
    <row r="862" ht="15.75" customHeight="1">
      <c r="A862" s="32"/>
      <c r="B862" s="65"/>
      <c r="C862" s="65"/>
      <c r="D862" s="32"/>
      <c r="E862" s="32"/>
      <c r="F862" s="32"/>
      <c r="G862" s="65"/>
      <c r="H862" s="67"/>
      <c r="I862" s="118"/>
      <c r="J862" s="32"/>
      <c r="K862" s="68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</row>
    <row r="863" ht="15.75" customHeight="1">
      <c r="A863" s="32"/>
      <c r="B863" s="65"/>
      <c r="C863" s="65"/>
      <c r="D863" s="32"/>
      <c r="E863" s="32"/>
      <c r="F863" s="32"/>
      <c r="G863" s="65"/>
      <c r="H863" s="67"/>
      <c r="I863" s="118"/>
      <c r="J863" s="32"/>
      <c r="K863" s="68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</row>
    <row r="864" ht="15.75" customHeight="1">
      <c r="A864" s="32"/>
      <c r="B864" s="65"/>
      <c r="C864" s="65"/>
      <c r="D864" s="32"/>
      <c r="E864" s="32"/>
      <c r="F864" s="32"/>
      <c r="G864" s="65"/>
      <c r="H864" s="67"/>
      <c r="I864" s="118"/>
      <c r="J864" s="32"/>
      <c r="K864" s="68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 ht="15.75" customHeight="1">
      <c r="A865" s="32"/>
      <c r="B865" s="65"/>
      <c r="C865" s="65"/>
      <c r="D865" s="32"/>
      <c r="E865" s="32"/>
      <c r="F865" s="32"/>
      <c r="G865" s="65"/>
      <c r="H865" s="67"/>
      <c r="I865" s="118"/>
      <c r="J865" s="32"/>
      <c r="K865" s="68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</row>
    <row r="866" ht="15.75" customHeight="1">
      <c r="A866" s="32"/>
      <c r="B866" s="65"/>
      <c r="C866" s="65"/>
      <c r="D866" s="32"/>
      <c r="E866" s="32"/>
      <c r="F866" s="32"/>
      <c r="G866" s="65"/>
      <c r="H866" s="67"/>
      <c r="I866" s="118"/>
      <c r="J866" s="32"/>
      <c r="K866" s="68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</row>
    <row r="867" ht="15.75" customHeight="1">
      <c r="A867" s="32"/>
      <c r="B867" s="65"/>
      <c r="C867" s="65"/>
      <c r="D867" s="32"/>
      <c r="E867" s="32"/>
      <c r="F867" s="32"/>
      <c r="G867" s="65"/>
      <c r="H867" s="67"/>
      <c r="I867" s="118"/>
      <c r="J867" s="32"/>
      <c r="K867" s="68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 ht="15.75" customHeight="1">
      <c r="A868" s="32"/>
      <c r="B868" s="65"/>
      <c r="C868" s="65"/>
      <c r="D868" s="32"/>
      <c r="E868" s="32"/>
      <c r="F868" s="32"/>
      <c r="G868" s="65"/>
      <c r="H868" s="67"/>
      <c r="I868" s="118"/>
      <c r="J868" s="32"/>
      <c r="K868" s="68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</row>
    <row r="869" ht="15.75" customHeight="1">
      <c r="A869" s="32"/>
      <c r="B869" s="65"/>
      <c r="C869" s="65"/>
      <c r="D869" s="32"/>
      <c r="E869" s="32"/>
      <c r="F869" s="32"/>
      <c r="G869" s="65"/>
      <c r="H869" s="67"/>
      <c r="I869" s="118"/>
      <c r="J869" s="32"/>
      <c r="K869" s="68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</row>
    <row r="870" ht="15.75" customHeight="1">
      <c r="A870" s="32"/>
      <c r="B870" s="65"/>
      <c r="C870" s="65"/>
      <c r="D870" s="32"/>
      <c r="E870" s="32"/>
      <c r="F870" s="32"/>
      <c r="G870" s="65"/>
      <c r="H870" s="67"/>
      <c r="I870" s="118"/>
      <c r="J870" s="32"/>
      <c r="K870" s="68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</row>
    <row r="871" ht="15.75" customHeight="1">
      <c r="A871" s="32"/>
      <c r="B871" s="65"/>
      <c r="C871" s="65"/>
      <c r="D871" s="32"/>
      <c r="E871" s="32"/>
      <c r="F871" s="32"/>
      <c r="G871" s="65"/>
      <c r="H871" s="67"/>
      <c r="I871" s="118"/>
      <c r="J871" s="32"/>
      <c r="K871" s="68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</row>
    <row r="872" ht="15.75" customHeight="1">
      <c r="A872" s="32"/>
      <c r="B872" s="65"/>
      <c r="C872" s="65"/>
      <c r="D872" s="32"/>
      <c r="E872" s="32"/>
      <c r="F872" s="32"/>
      <c r="G872" s="65"/>
      <c r="H872" s="67"/>
      <c r="I872" s="118"/>
      <c r="J872" s="32"/>
      <c r="K872" s="68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</row>
    <row r="873" ht="15.75" customHeight="1">
      <c r="A873" s="32"/>
      <c r="B873" s="65"/>
      <c r="C873" s="65"/>
      <c r="D873" s="32"/>
      <c r="E873" s="32"/>
      <c r="F873" s="32"/>
      <c r="G873" s="65"/>
      <c r="H873" s="67"/>
      <c r="I873" s="118"/>
      <c r="J873" s="32"/>
      <c r="K873" s="68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</row>
    <row r="874" ht="15.75" customHeight="1">
      <c r="A874" s="32"/>
      <c r="B874" s="65"/>
      <c r="C874" s="65"/>
      <c r="D874" s="32"/>
      <c r="E874" s="32"/>
      <c r="F874" s="32"/>
      <c r="G874" s="65"/>
      <c r="H874" s="67"/>
      <c r="I874" s="118"/>
      <c r="J874" s="32"/>
      <c r="K874" s="68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</row>
    <row r="875" ht="15.75" customHeight="1">
      <c r="A875" s="32"/>
      <c r="B875" s="65"/>
      <c r="C875" s="65"/>
      <c r="D875" s="32"/>
      <c r="E875" s="32"/>
      <c r="F875" s="32"/>
      <c r="G875" s="65"/>
      <c r="H875" s="67"/>
      <c r="I875" s="118"/>
      <c r="J875" s="32"/>
      <c r="K875" s="68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</row>
    <row r="876" ht="15.75" customHeight="1">
      <c r="A876" s="32"/>
      <c r="B876" s="65"/>
      <c r="C876" s="65"/>
      <c r="D876" s="32"/>
      <c r="E876" s="32"/>
      <c r="F876" s="32"/>
      <c r="G876" s="65"/>
      <c r="H876" s="67"/>
      <c r="I876" s="118"/>
      <c r="J876" s="32"/>
      <c r="K876" s="68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 ht="15.75" customHeight="1">
      <c r="A877" s="32"/>
      <c r="B877" s="65"/>
      <c r="C877" s="65"/>
      <c r="D877" s="32"/>
      <c r="E877" s="32"/>
      <c r="F877" s="32"/>
      <c r="G877" s="65"/>
      <c r="H877" s="67"/>
      <c r="I877" s="118"/>
      <c r="J877" s="32"/>
      <c r="K877" s="68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</row>
    <row r="878" ht="15.75" customHeight="1">
      <c r="A878" s="32"/>
      <c r="B878" s="65"/>
      <c r="C878" s="65"/>
      <c r="D878" s="32"/>
      <c r="E878" s="32"/>
      <c r="F878" s="32"/>
      <c r="G878" s="65"/>
      <c r="H878" s="67"/>
      <c r="I878" s="118"/>
      <c r="J878" s="32"/>
      <c r="K878" s="68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</row>
    <row r="879" ht="15.75" customHeight="1">
      <c r="A879" s="32"/>
      <c r="B879" s="65"/>
      <c r="C879" s="65"/>
      <c r="D879" s="32"/>
      <c r="E879" s="32"/>
      <c r="F879" s="32"/>
      <c r="G879" s="65"/>
      <c r="H879" s="67"/>
      <c r="I879" s="118"/>
      <c r="J879" s="32"/>
      <c r="K879" s="68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</row>
    <row r="880" ht="15.75" customHeight="1">
      <c r="A880" s="32"/>
      <c r="B880" s="65"/>
      <c r="C880" s="65"/>
      <c r="D880" s="32"/>
      <c r="E880" s="32"/>
      <c r="F880" s="32"/>
      <c r="G880" s="65"/>
      <c r="H880" s="67"/>
      <c r="I880" s="118"/>
      <c r="J880" s="32"/>
      <c r="K880" s="68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</row>
    <row r="881" ht="15.75" customHeight="1">
      <c r="A881" s="32"/>
      <c r="B881" s="65"/>
      <c r="C881" s="65"/>
      <c r="D881" s="32"/>
      <c r="E881" s="32"/>
      <c r="F881" s="32"/>
      <c r="G881" s="65"/>
      <c r="H881" s="67"/>
      <c r="I881" s="118"/>
      <c r="J881" s="32"/>
      <c r="K881" s="68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</row>
    <row r="882" ht="15.75" customHeight="1">
      <c r="A882" s="32"/>
      <c r="B882" s="65"/>
      <c r="C882" s="65"/>
      <c r="D882" s="32"/>
      <c r="E882" s="32"/>
      <c r="F882" s="32"/>
      <c r="G882" s="65"/>
      <c r="H882" s="67"/>
      <c r="I882" s="118"/>
      <c r="J882" s="32"/>
      <c r="K882" s="68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</row>
    <row r="883" ht="15.75" customHeight="1">
      <c r="A883" s="32"/>
      <c r="B883" s="65"/>
      <c r="C883" s="65"/>
      <c r="D883" s="32"/>
      <c r="E883" s="32"/>
      <c r="F883" s="32"/>
      <c r="G883" s="65"/>
      <c r="H883" s="67"/>
      <c r="I883" s="118"/>
      <c r="J883" s="32"/>
      <c r="K883" s="68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</row>
    <row r="884" ht="15.75" customHeight="1">
      <c r="A884" s="32"/>
      <c r="B884" s="65"/>
      <c r="C884" s="65"/>
      <c r="D884" s="32"/>
      <c r="E884" s="32"/>
      <c r="F884" s="32"/>
      <c r="G884" s="65"/>
      <c r="H884" s="67"/>
      <c r="I884" s="118"/>
      <c r="J884" s="32"/>
      <c r="K884" s="68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</row>
    <row r="885" ht="15.75" customHeight="1">
      <c r="A885" s="32"/>
      <c r="B885" s="65"/>
      <c r="C885" s="65"/>
      <c r="D885" s="32"/>
      <c r="E885" s="32"/>
      <c r="F885" s="32"/>
      <c r="G885" s="65"/>
      <c r="H885" s="67"/>
      <c r="I885" s="118"/>
      <c r="J885" s="32"/>
      <c r="K885" s="68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</row>
    <row r="886" ht="15.75" customHeight="1">
      <c r="A886" s="32"/>
      <c r="B886" s="65"/>
      <c r="C886" s="65"/>
      <c r="D886" s="32"/>
      <c r="E886" s="32"/>
      <c r="F886" s="32"/>
      <c r="G886" s="65"/>
      <c r="H886" s="67"/>
      <c r="I886" s="118"/>
      <c r="J886" s="32"/>
      <c r="K886" s="68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</row>
    <row r="887" ht="15.75" customHeight="1">
      <c r="A887" s="32"/>
      <c r="B887" s="65"/>
      <c r="C887" s="65"/>
      <c r="D887" s="32"/>
      <c r="E887" s="32"/>
      <c r="F887" s="32"/>
      <c r="G887" s="65"/>
      <c r="H887" s="67"/>
      <c r="I887" s="118"/>
      <c r="J887" s="32"/>
      <c r="K887" s="68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</row>
    <row r="888" ht="15.75" customHeight="1">
      <c r="A888" s="32"/>
      <c r="B888" s="65"/>
      <c r="C888" s="65"/>
      <c r="D888" s="32"/>
      <c r="E888" s="32"/>
      <c r="F888" s="32"/>
      <c r="G888" s="65"/>
      <c r="H888" s="67"/>
      <c r="I888" s="118"/>
      <c r="J888" s="32"/>
      <c r="K888" s="68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</row>
    <row r="889" ht="15.75" customHeight="1">
      <c r="A889" s="32"/>
      <c r="B889" s="65"/>
      <c r="C889" s="65"/>
      <c r="D889" s="32"/>
      <c r="E889" s="32"/>
      <c r="F889" s="32"/>
      <c r="G889" s="65"/>
      <c r="H889" s="67"/>
      <c r="I889" s="118"/>
      <c r="J889" s="32"/>
      <c r="K889" s="68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</row>
    <row r="890" ht="15.75" customHeight="1">
      <c r="A890" s="32"/>
      <c r="B890" s="65"/>
      <c r="C890" s="65"/>
      <c r="D890" s="32"/>
      <c r="E890" s="32"/>
      <c r="F890" s="32"/>
      <c r="G890" s="65"/>
      <c r="H890" s="67"/>
      <c r="I890" s="118"/>
      <c r="J890" s="32"/>
      <c r="K890" s="68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</row>
    <row r="891" ht="15.75" customHeight="1">
      <c r="A891" s="32"/>
      <c r="B891" s="65"/>
      <c r="C891" s="65"/>
      <c r="D891" s="32"/>
      <c r="E891" s="32"/>
      <c r="F891" s="32"/>
      <c r="G891" s="65"/>
      <c r="H891" s="67"/>
      <c r="I891" s="118"/>
      <c r="J891" s="32"/>
      <c r="K891" s="68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</row>
    <row r="892" ht="15.75" customHeight="1">
      <c r="A892" s="32"/>
      <c r="B892" s="65"/>
      <c r="C892" s="65"/>
      <c r="D892" s="32"/>
      <c r="E892" s="32"/>
      <c r="F892" s="32"/>
      <c r="G892" s="65"/>
      <c r="H892" s="67"/>
      <c r="I892" s="118"/>
      <c r="J892" s="32"/>
      <c r="K892" s="68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 ht="15.75" customHeight="1">
      <c r="A893" s="32"/>
      <c r="B893" s="65"/>
      <c r="C893" s="65"/>
      <c r="D893" s="32"/>
      <c r="E893" s="32"/>
      <c r="F893" s="32"/>
      <c r="G893" s="65"/>
      <c r="H893" s="67"/>
      <c r="I893" s="118"/>
      <c r="J893" s="32"/>
      <c r="K893" s="68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</row>
    <row r="894" ht="15.75" customHeight="1">
      <c r="A894" s="32"/>
      <c r="B894" s="65"/>
      <c r="C894" s="65"/>
      <c r="D894" s="32"/>
      <c r="E894" s="32"/>
      <c r="F894" s="32"/>
      <c r="G894" s="65"/>
      <c r="H894" s="67"/>
      <c r="I894" s="118"/>
      <c r="J894" s="32"/>
      <c r="K894" s="68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</row>
    <row r="895" ht="15.75" customHeight="1">
      <c r="A895" s="32"/>
      <c r="B895" s="65"/>
      <c r="C895" s="65"/>
      <c r="D895" s="32"/>
      <c r="E895" s="32"/>
      <c r="F895" s="32"/>
      <c r="G895" s="65"/>
      <c r="H895" s="67"/>
      <c r="I895" s="118"/>
      <c r="J895" s="32"/>
      <c r="K895" s="68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</row>
    <row r="896" ht="15.75" customHeight="1">
      <c r="A896" s="32"/>
      <c r="B896" s="65"/>
      <c r="C896" s="65"/>
      <c r="D896" s="32"/>
      <c r="E896" s="32"/>
      <c r="F896" s="32"/>
      <c r="G896" s="65"/>
      <c r="H896" s="67"/>
      <c r="I896" s="118"/>
      <c r="J896" s="32"/>
      <c r="K896" s="68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</row>
    <row r="897" ht="15.75" customHeight="1">
      <c r="A897" s="32"/>
      <c r="B897" s="65"/>
      <c r="C897" s="65"/>
      <c r="D897" s="32"/>
      <c r="E897" s="32"/>
      <c r="F897" s="32"/>
      <c r="G897" s="65"/>
      <c r="H897" s="67"/>
      <c r="I897" s="118"/>
      <c r="J897" s="32"/>
      <c r="K897" s="68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</row>
    <row r="898" ht="15.75" customHeight="1">
      <c r="A898" s="32"/>
      <c r="B898" s="65"/>
      <c r="C898" s="65"/>
      <c r="D898" s="32"/>
      <c r="E898" s="32"/>
      <c r="F898" s="32"/>
      <c r="G898" s="65"/>
      <c r="H898" s="67"/>
      <c r="I898" s="118"/>
      <c r="J898" s="32"/>
      <c r="K898" s="68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</row>
    <row r="899" ht="15.75" customHeight="1">
      <c r="A899" s="32"/>
      <c r="B899" s="65"/>
      <c r="C899" s="65"/>
      <c r="D899" s="32"/>
      <c r="E899" s="32"/>
      <c r="F899" s="32"/>
      <c r="G899" s="65"/>
      <c r="H899" s="67"/>
      <c r="I899" s="118"/>
      <c r="J899" s="32"/>
      <c r="K899" s="68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</row>
    <row r="900" ht="15.75" customHeight="1">
      <c r="A900" s="32"/>
      <c r="B900" s="65"/>
      <c r="C900" s="65"/>
      <c r="D900" s="32"/>
      <c r="E900" s="32"/>
      <c r="F900" s="32"/>
      <c r="G900" s="65"/>
      <c r="H900" s="67"/>
      <c r="I900" s="118"/>
      <c r="J900" s="32"/>
      <c r="K900" s="68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</row>
    <row r="901" ht="15.75" customHeight="1">
      <c r="A901" s="32"/>
      <c r="B901" s="65"/>
      <c r="C901" s="65"/>
      <c r="D901" s="32"/>
      <c r="E901" s="32"/>
      <c r="F901" s="32"/>
      <c r="G901" s="65"/>
      <c r="H901" s="67"/>
      <c r="I901" s="118"/>
      <c r="J901" s="32"/>
      <c r="K901" s="68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 ht="15.75" customHeight="1">
      <c r="A902" s="32"/>
      <c r="B902" s="65"/>
      <c r="C902" s="65"/>
      <c r="D902" s="32"/>
      <c r="E902" s="32"/>
      <c r="F902" s="32"/>
      <c r="G902" s="65"/>
      <c r="H902" s="67"/>
      <c r="I902" s="118"/>
      <c r="J902" s="32"/>
      <c r="K902" s="68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</row>
    <row r="903" ht="15.75" customHeight="1">
      <c r="A903" s="32"/>
      <c r="B903" s="65"/>
      <c r="C903" s="65"/>
      <c r="D903" s="32"/>
      <c r="E903" s="32"/>
      <c r="F903" s="32"/>
      <c r="G903" s="65"/>
      <c r="H903" s="67"/>
      <c r="I903" s="118"/>
      <c r="J903" s="32"/>
      <c r="K903" s="68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</row>
    <row r="904" ht="15.75" customHeight="1">
      <c r="A904" s="32"/>
      <c r="B904" s="65"/>
      <c r="C904" s="65"/>
      <c r="D904" s="32"/>
      <c r="E904" s="32"/>
      <c r="F904" s="32"/>
      <c r="G904" s="65"/>
      <c r="H904" s="67"/>
      <c r="I904" s="118"/>
      <c r="J904" s="32"/>
      <c r="K904" s="68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</row>
    <row r="905" ht="15.75" customHeight="1">
      <c r="A905" s="32"/>
      <c r="B905" s="65"/>
      <c r="C905" s="65"/>
      <c r="D905" s="32"/>
      <c r="E905" s="32"/>
      <c r="F905" s="32"/>
      <c r="G905" s="65"/>
      <c r="H905" s="67"/>
      <c r="I905" s="118"/>
      <c r="J905" s="32"/>
      <c r="K905" s="68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</row>
    <row r="906" ht="15.75" customHeight="1">
      <c r="A906" s="32"/>
      <c r="B906" s="65"/>
      <c r="C906" s="65"/>
      <c r="D906" s="32"/>
      <c r="E906" s="32"/>
      <c r="F906" s="32"/>
      <c r="G906" s="65"/>
      <c r="H906" s="67"/>
      <c r="I906" s="118"/>
      <c r="J906" s="32"/>
      <c r="K906" s="68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</row>
    <row r="907" ht="15.75" customHeight="1">
      <c r="A907" s="32"/>
      <c r="B907" s="65"/>
      <c r="C907" s="65"/>
      <c r="D907" s="32"/>
      <c r="E907" s="32"/>
      <c r="F907" s="32"/>
      <c r="G907" s="65"/>
      <c r="H907" s="67"/>
      <c r="I907" s="118"/>
      <c r="J907" s="32"/>
      <c r="K907" s="68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</row>
    <row r="908" ht="15.75" customHeight="1">
      <c r="A908" s="32"/>
      <c r="B908" s="65"/>
      <c r="C908" s="65"/>
      <c r="D908" s="32"/>
      <c r="E908" s="32"/>
      <c r="F908" s="32"/>
      <c r="G908" s="65"/>
      <c r="H908" s="67"/>
      <c r="I908" s="118"/>
      <c r="J908" s="32"/>
      <c r="K908" s="68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</row>
    <row r="909" ht="15.75" customHeight="1">
      <c r="A909" s="32"/>
      <c r="B909" s="65"/>
      <c r="C909" s="65"/>
      <c r="D909" s="32"/>
      <c r="E909" s="32"/>
      <c r="F909" s="32"/>
      <c r="G909" s="65"/>
      <c r="H909" s="67"/>
      <c r="I909" s="118"/>
      <c r="J909" s="32"/>
      <c r="K909" s="68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</row>
    <row r="910" ht="15.75" customHeight="1">
      <c r="A910" s="32"/>
      <c r="B910" s="65"/>
      <c r="C910" s="65"/>
      <c r="D910" s="32"/>
      <c r="E910" s="32"/>
      <c r="F910" s="32"/>
      <c r="G910" s="65"/>
      <c r="H910" s="67"/>
      <c r="I910" s="118"/>
      <c r="J910" s="32"/>
      <c r="K910" s="68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</row>
    <row r="911" ht="15.75" customHeight="1">
      <c r="A911" s="32"/>
      <c r="B911" s="65"/>
      <c r="C911" s="65"/>
      <c r="D911" s="32"/>
      <c r="E911" s="32"/>
      <c r="F911" s="32"/>
      <c r="G911" s="65"/>
      <c r="H911" s="67"/>
      <c r="I911" s="118"/>
      <c r="J911" s="32"/>
      <c r="K911" s="68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</row>
    <row r="912" ht="15.75" customHeight="1">
      <c r="A912" s="32"/>
      <c r="B912" s="65"/>
      <c r="C912" s="65"/>
      <c r="D912" s="32"/>
      <c r="E912" s="32"/>
      <c r="F912" s="32"/>
      <c r="G912" s="65"/>
      <c r="H912" s="67"/>
      <c r="I912" s="118"/>
      <c r="J912" s="32"/>
      <c r="K912" s="68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</row>
    <row r="913" ht="15.75" customHeight="1">
      <c r="A913" s="32"/>
      <c r="B913" s="65"/>
      <c r="C913" s="65"/>
      <c r="D913" s="32"/>
      <c r="E913" s="32"/>
      <c r="F913" s="32"/>
      <c r="G913" s="65"/>
      <c r="H913" s="67"/>
      <c r="I913" s="118"/>
      <c r="J913" s="32"/>
      <c r="K913" s="68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</row>
    <row r="914" ht="15.75" customHeight="1">
      <c r="A914" s="32"/>
      <c r="B914" s="65"/>
      <c r="C914" s="65"/>
      <c r="D914" s="32"/>
      <c r="E914" s="32"/>
      <c r="F914" s="32"/>
      <c r="G914" s="65"/>
      <c r="H914" s="67"/>
      <c r="I914" s="118"/>
      <c r="J914" s="32"/>
      <c r="K914" s="68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</row>
    <row r="915" ht="15.75" customHeight="1">
      <c r="A915" s="32"/>
      <c r="B915" s="65"/>
      <c r="C915" s="65"/>
      <c r="D915" s="32"/>
      <c r="E915" s="32"/>
      <c r="F915" s="32"/>
      <c r="G915" s="65"/>
      <c r="H915" s="67"/>
      <c r="I915" s="118"/>
      <c r="J915" s="32"/>
      <c r="K915" s="68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</row>
    <row r="916" ht="15.75" customHeight="1">
      <c r="A916" s="32"/>
      <c r="B916" s="65"/>
      <c r="C916" s="65"/>
      <c r="D916" s="32"/>
      <c r="E916" s="32"/>
      <c r="F916" s="32"/>
      <c r="G916" s="65"/>
      <c r="H916" s="67"/>
      <c r="I916" s="118"/>
      <c r="J916" s="32"/>
      <c r="K916" s="68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</row>
    <row r="917" ht="15.75" customHeight="1">
      <c r="A917" s="32"/>
      <c r="B917" s="65"/>
      <c r="C917" s="65"/>
      <c r="D917" s="32"/>
      <c r="E917" s="32"/>
      <c r="F917" s="32"/>
      <c r="G917" s="65"/>
      <c r="H917" s="67"/>
      <c r="I917" s="118"/>
      <c r="J917" s="32"/>
      <c r="K917" s="68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</row>
    <row r="918" ht="15.75" customHeight="1">
      <c r="A918" s="32"/>
      <c r="B918" s="65"/>
      <c r="C918" s="65"/>
      <c r="D918" s="32"/>
      <c r="E918" s="32"/>
      <c r="F918" s="32"/>
      <c r="G918" s="65"/>
      <c r="H918" s="67"/>
      <c r="I918" s="118"/>
      <c r="J918" s="32"/>
      <c r="K918" s="68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 ht="15.75" customHeight="1">
      <c r="A919" s="32"/>
      <c r="B919" s="65"/>
      <c r="C919" s="65"/>
      <c r="D919" s="32"/>
      <c r="E919" s="32"/>
      <c r="F919" s="32"/>
      <c r="G919" s="65"/>
      <c r="H919" s="67"/>
      <c r="I919" s="118"/>
      <c r="J919" s="32"/>
      <c r="K919" s="68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</row>
    <row r="920" ht="15.75" customHeight="1">
      <c r="A920" s="32"/>
      <c r="B920" s="65"/>
      <c r="C920" s="65"/>
      <c r="D920" s="32"/>
      <c r="E920" s="32"/>
      <c r="F920" s="32"/>
      <c r="G920" s="65"/>
      <c r="H920" s="67"/>
      <c r="I920" s="118"/>
      <c r="J920" s="32"/>
      <c r="K920" s="68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</row>
    <row r="921" ht="15.75" customHeight="1">
      <c r="A921" s="32"/>
      <c r="B921" s="65"/>
      <c r="C921" s="65"/>
      <c r="D921" s="32"/>
      <c r="E921" s="32"/>
      <c r="F921" s="32"/>
      <c r="G921" s="65"/>
      <c r="H921" s="67"/>
      <c r="I921" s="118"/>
      <c r="J921" s="32"/>
      <c r="K921" s="68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</row>
    <row r="922" ht="15.75" customHeight="1">
      <c r="A922" s="32"/>
      <c r="B922" s="65"/>
      <c r="C922" s="65"/>
      <c r="D922" s="32"/>
      <c r="E922" s="32"/>
      <c r="F922" s="32"/>
      <c r="G922" s="65"/>
      <c r="H922" s="67"/>
      <c r="I922" s="118"/>
      <c r="J922" s="32"/>
      <c r="K922" s="68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</row>
    <row r="923" ht="15.75" customHeight="1">
      <c r="A923" s="32"/>
      <c r="B923" s="65"/>
      <c r="C923" s="65"/>
      <c r="D923" s="32"/>
      <c r="E923" s="32"/>
      <c r="F923" s="32"/>
      <c r="G923" s="65"/>
      <c r="H923" s="67"/>
      <c r="I923" s="118"/>
      <c r="J923" s="32"/>
      <c r="K923" s="68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</row>
    <row r="924" ht="15.75" customHeight="1">
      <c r="A924" s="32"/>
      <c r="B924" s="65"/>
      <c r="C924" s="65"/>
      <c r="D924" s="32"/>
      <c r="E924" s="32"/>
      <c r="F924" s="32"/>
      <c r="G924" s="65"/>
      <c r="H924" s="67"/>
      <c r="I924" s="118"/>
      <c r="J924" s="32"/>
      <c r="K924" s="68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 ht="15.75" customHeight="1">
      <c r="A925" s="32"/>
      <c r="B925" s="65"/>
      <c r="C925" s="65"/>
      <c r="D925" s="32"/>
      <c r="E925" s="32"/>
      <c r="F925" s="32"/>
      <c r="G925" s="65"/>
      <c r="H925" s="67"/>
      <c r="I925" s="118"/>
      <c r="J925" s="32"/>
      <c r="K925" s="68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</row>
    <row r="926" ht="15.75" customHeight="1">
      <c r="A926" s="32"/>
      <c r="B926" s="65"/>
      <c r="C926" s="65"/>
      <c r="D926" s="32"/>
      <c r="E926" s="32"/>
      <c r="F926" s="32"/>
      <c r="G926" s="65"/>
      <c r="H926" s="67"/>
      <c r="I926" s="118"/>
      <c r="J926" s="32"/>
      <c r="K926" s="68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</row>
    <row r="927" ht="15.75" customHeight="1">
      <c r="A927" s="32"/>
      <c r="B927" s="65"/>
      <c r="C927" s="65"/>
      <c r="D927" s="32"/>
      <c r="E927" s="32"/>
      <c r="F927" s="32"/>
      <c r="G927" s="65"/>
      <c r="H927" s="67"/>
      <c r="I927" s="118"/>
      <c r="J927" s="32"/>
      <c r="K927" s="68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</row>
    <row r="928" ht="15.75" customHeight="1">
      <c r="A928" s="32"/>
      <c r="B928" s="65"/>
      <c r="C928" s="65"/>
      <c r="D928" s="32"/>
      <c r="E928" s="32"/>
      <c r="F928" s="32"/>
      <c r="G928" s="65"/>
      <c r="H928" s="67"/>
      <c r="I928" s="118"/>
      <c r="J928" s="32"/>
      <c r="K928" s="68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</row>
    <row r="929" ht="15.75" customHeight="1">
      <c r="A929" s="32"/>
      <c r="B929" s="65"/>
      <c r="C929" s="65"/>
      <c r="D929" s="32"/>
      <c r="E929" s="32"/>
      <c r="F929" s="32"/>
      <c r="G929" s="65"/>
      <c r="H929" s="67"/>
      <c r="I929" s="118"/>
      <c r="J929" s="32"/>
      <c r="K929" s="68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</row>
    <row r="930" ht="15.75" customHeight="1">
      <c r="A930" s="32"/>
      <c r="B930" s="65"/>
      <c r="C930" s="65"/>
      <c r="D930" s="32"/>
      <c r="E930" s="32"/>
      <c r="F930" s="32"/>
      <c r="G930" s="65"/>
      <c r="H930" s="67"/>
      <c r="I930" s="118"/>
      <c r="J930" s="32"/>
      <c r="K930" s="68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 ht="15.75" customHeight="1">
      <c r="A931" s="32"/>
      <c r="B931" s="65"/>
      <c r="C931" s="65"/>
      <c r="D931" s="32"/>
      <c r="E931" s="32"/>
      <c r="F931" s="32"/>
      <c r="G931" s="65"/>
      <c r="H931" s="67"/>
      <c r="I931" s="118"/>
      <c r="J931" s="32"/>
      <c r="K931" s="68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</row>
    <row r="932" ht="15.75" customHeight="1">
      <c r="A932" s="32"/>
      <c r="B932" s="65"/>
      <c r="C932" s="65"/>
      <c r="D932" s="32"/>
      <c r="E932" s="32"/>
      <c r="F932" s="32"/>
      <c r="G932" s="65"/>
      <c r="H932" s="67"/>
      <c r="I932" s="118"/>
      <c r="J932" s="32"/>
      <c r="K932" s="68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</row>
    <row r="933" ht="15.75" customHeight="1">
      <c r="A933" s="32"/>
      <c r="B933" s="65"/>
      <c r="C933" s="65"/>
      <c r="D933" s="32"/>
      <c r="E933" s="32"/>
      <c r="F933" s="32"/>
      <c r="G933" s="65"/>
      <c r="H933" s="67"/>
      <c r="I933" s="118"/>
      <c r="J933" s="32"/>
      <c r="K933" s="68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</row>
    <row r="934" ht="15.75" customHeight="1">
      <c r="A934" s="32"/>
      <c r="B934" s="65"/>
      <c r="C934" s="65"/>
      <c r="D934" s="32"/>
      <c r="E934" s="32"/>
      <c r="F934" s="32"/>
      <c r="G934" s="65"/>
      <c r="H934" s="67"/>
      <c r="I934" s="118"/>
      <c r="J934" s="32"/>
      <c r="K934" s="68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</row>
    <row r="935" ht="15.75" customHeight="1">
      <c r="A935" s="32"/>
      <c r="B935" s="65"/>
      <c r="C935" s="65"/>
      <c r="D935" s="32"/>
      <c r="E935" s="32"/>
      <c r="F935" s="32"/>
      <c r="G935" s="65"/>
      <c r="H935" s="67"/>
      <c r="I935" s="118"/>
      <c r="J935" s="32"/>
      <c r="K935" s="68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</row>
    <row r="936" ht="15.75" customHeight="1">
      <c r="A936" s="32"/>
      <c r="B936" s="65"/>
      <c r="C936" s="65"/>
      <c r="D936" s="32"/>
      <c r="E936" s="32"/>
      <c r="F936" s="32"/>
      <c r="G936" s="65"/>
      <c r="H936" s="67"/>
      <c r="I936" s="118"/>
      <c r="J936" s="32"/>
      <c r="K936" s="68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 ht="15.75" customHeight="1">
      <c r="A937" s="32"/>
      <c r="B937" s="65"/>
      <c r="C937" s="65"/>
      <c r="D937" s="32"/>
      <c r="E937" s="32"/>
      <c r="F937" s="32"/>
      <c r="G937" s="65"/>
      <c r="H937" s="67"/>
      <c r="I937" s="118"/>
      <c r="J937" s="32"/>
      <c r="K937" s="68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</row>
    <row r="938" ht="15.75" customHeight="1">
      <c r="A938" s="32"/>
      <c r="B938" s="65"/>
      <c r="C938" s="65"/>
      <c r="D938" s="32"/>
      <c r="E938" s="32"/>
      <c r="F938" s="32"/>
      <c r="G938" s="65"/>
      <c r="H938" s="67"/>
      <c r="I938" s="118"/>
      <c r="J938" s="32"/>
      <c r="K938" s="68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</row>
    <row r="939" ht="15.75" customHeight="1">
      <c r="A939" s="32"/>
      <c r="B939" s="65"/>
      <c r="C939" s="65"/>
      <c r="D939" s="32"/>
      <c r="E939" s="32"/>
      <c r="F939" s="32"/>
      <c r="G939" s="65"/>
      <c r="H939" s="67"/>
      <c r="I939" s="118"/>
      <c r="J939" s="32"/>
      <c r="K939" s="68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</row>
    <row r="940" ht="15.75" customHeight="1">
      <c r="A940" s="32"/>
      <c r="B940" s="65"/>
      <c r="C940" s="65"/>
      <c r="D940" s="32"/>
      <c r="E940" s="32"/>
      <c r="F940" s="32"/>
      <c r="G940" s="65"/>
      <c r="H940" s="67"/>
      <c r="I940" s="118"/>
      <c r="J940" s="32"/>
      <c r="K940" s="68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</row>
    <row r="941" ht="15.75" customHeight="1">
      <c r="A941" s="32"/>
      <c r="B941" s="65"/>
      <c r="C941" s="65"/>
      <c r="D941" s="32"/>
      <c r="E941" s="32"/>
      <c r="F941" s="32"/>
      <c r="G941" s="65"/>
      <c r="H941" s="67"/>
      <c r="I941" s="118"/>
      <c r="J941" s="32"/>
      <c r="K941" s="68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</row>
    <row r="942" ht="15.75" customHeight="1">
      <c r="A942" s="32"/>
      <c r="B942" s="65"/>
      <c r="C942" s="65"/>
      <c r="D942" s="32"/>
      <c r="E942" s="32"/>
      <c r="F942" s="32"/>
      <c r="G942" s="65"/>
      <c r="H942" s="67"/>
      <c r="I942" s="118"/>
      <c r="J942" s="32"/>
      <c r="K942" s="68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</row>
    <row r="943" ht="15.75" customHeight="1">
      <c r="A943" s="32"/>
      <c r="B943" s="65"/>
      <c r="C943" s="65"/>
      <c r="D943" s="32"/>
      <c r="E943" s="32"/>
      <c r="F943" s="32"/>
      <c r="G943" s="65"/>
      <c r="H943" s="67"/>
      <c r="I943" s="118"/>
      <c r="J943" s="32"/>
      <c r="K943" s="68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</row>
    <row r="944" ht="15.75" customHeight="1">
      <c r="A944" s="32"/>
      <c r="B944" s="65"/>
      <c r="C944" s="65"/>
      <c r="D944" s="32"/>
      <c r="E944" s="32"/>
      <c r="F944" s="32"/>
      <c r="G944" s="65"/>
      <c r="H944" s="67"/>
      <c r="I944" s="118"/>
      <c r="J944" s="32"/>
      <c r="K944" s="68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</row>
    <row r="945" ht="15.75" customHeight="1">
      <c r="A945" s="32"/>
      <c r="B945" s="65"/>
      <c r="C945" s="65"/>
      <c r="D945" s="32"/>
      <c r="E945" s="32"/>
      <c r="F945" s="32"/>
      <c r="G945" s="65"/>
      <c r="H945" s="67"/>
      <c r="I945" s="118"/>
      <c r="J945" s="32"/>
      <c r="K945" s="68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</row>
    <row r="946" ht="15.75" customHeight="1">
      <c r="A946" s="32"/>
      <c r="B946" s="65"/>
      <c r="C946" s="65"/>
      <c r="D946" s="32"/>
      <c r="E946" s="32"/>
      <c r="F946" s="32"/>
      <c r="G946" s="65"/>
      <c r="H946" s="67"/>
      <c r="I946" s="118"/>
      <c r="J946" s="32"/>
      <c r="K946" s="68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</row>
    <row r="947" ht="15.75" customHeight="1">
      <c r="A947" s="32"/>
      <c r="B947" s="65"/>
      <c r="C947" s="65"/>
      <c r="D947" s="32"/>
      <c r="E947" s="32"/>
      <c r="F947" s="32"/>
      <c r="G947" s="65"/>
      <c r="H947" s="67"/>
      <c r="I947" s="118"/>
      <c r="J947" s="32"/>
      <c r="K947" s="68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</row>
    <row r="948" ht="15.75" customHeight="1">
      <c r="A948" s="32"/>
      <c r="B948" s="65"/>
      <c r="C948" s="65"/>
      <c r="D948" s="32"/>
      <c r="E948" s="32"/>
      <c r="F948" s="32"/>
      <c r="G948" s="65"/>
      <c r="H948" s="67"/>
      <c r="I948" s="118"/>
      <c r="J948" s="32"/>
      <c r="K948" s="68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</row>
    <row r="949" ht="15.75" customHeight="1">
      <c r="A949" s="32"/>
      <c r="B949" s="65"/>
      <c r="C949" s="65"/>
      <c r="D949" s="32"/>
      <c r="E949" s="32"/>
      <c r="F949" s="32"/>
      <c r="G949" s="65"/>
      <c r="H949" s="67"/>
      <c r="I949" s="118"/>
      <c r="J949" s="32"/>
      <c r="K949" s="68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</row>
    <row r="950" ht="15.75" customHeight="1">
      <c r="A950" s="32"/>
      <c r="B950" s="65"/>
      <c r="C950" s="65"/>
      <c r="D950" s="32"/>
      <c r="E950" s="32"/>
      <c r="F950" s="32"/>
      <c r="G950" s="65"/>
      <c r="H950" s="67"/>
      <c r="I950" s="118"/>
      <c r="J950" s="32"/>
      <c r="K950" s="68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</row>
    <row r="951" ht="15.75" customHeight="1">
      <c r="A951" s="32"/>
      <c r="B951" s="65"/>
      <c r="C951" s="65"/>
      <c r="D951" s="32"/>
      <c r="E951" s="32"/>
      <c r="F951" s="32"/>
      <c r="G951" s="65"/>
      <c r="H951" s="67"/>
      <c r="I951" s="118"/>
      <c r="J951" s="32"/>
      <c r="K951" s="68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</row>
    <row r="952" ht="15.75" customHeight="1">
      <c r="A952" s="32"/>
      <c r="B952" s="65"/>
      <c r="C952" s="65"/>
      <c r="D952" s="32"/>
      <c r="E952" s="32"/>
      <c r="F952" s="32"/>
      <c r="G952" s="65"/>
      <c r="H952" s="67"/>
      <c r="I952" s="118"/>
      <c r="J952" s="32"/>
      <c r="K952" s="68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</row>
    <row r="953" ht="15.75" customHeight="1">
      <c r="A953" s="32"/>
      <c r="B953" s="65"/>
      <c r="C953" s="65"/>
      <c r="D953" s="32"/>
      <c r="E953" s="32"/>
      <c r="F953" s="32"/>
      <c r="G953" s="65"/>
      <c r="H953" s="67"/>
      <c r="I953" s="118"/>
      <c r="J953" s="32"/>
      <c r="K953" s="68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</row>
    <row r="954" ht="15.75" customHeight="1">
      <c r="A954" s="32"/>
      <c r="B954" s="65"/>
      <c r="C954" s="65"/>
      <c r="D954" s="32"/>
      <c r="E954" s="32"/>
      <c r="F954" s="32"/>
      <c r="G954" s="65"/>
      <c r="H954" s="67"/>
      <c r="I954" s="118"/>
      <c r="J954" s="32"/>
      <c r="K954" s="68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</row>
    <row r="955" ht="15.75" customHeight="1">
      <c r="A955" s="32"/>
      <c r="B955" s="65"/>
      <c r="C955" s="65"/>
      <c r="D955" s="32"/>
      <c r="E955" s="32"/>
      <c r="F955" s="32"/>
      <c r="G955" s="65"/>
      <c r="H955" s="67"/>
      <c r="I955" s="118"/>
      <c r="J955" s="32"/>
      <c r="K955" s="68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</row>
    <row r="956" ht="15.75" customHeight="1">
      <c r="A956" s="32"/>
      <c r="B956" s="65"/>
      <c r="C956" s="65"/>
      <c r="D956" s="32"/>
      <c r="E956" s="32"/>
      <c r="F956" s="32"/>
      <c r="G956" s="65"/>
      <c r="H956" s="67"/>
      <c r="I956" s="118"/>
      <c r="J956" s="32"/>
      <c r="K956" s="68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</row>
    <row r="957" ht="15.75" customHeight="1">
      <c r="A957" s="32"/>
      <c r="B957" s="65"/>
      <c r="C957" s="65"/>
      <c r="D957" s="32"/>
      <c r="E957" s="32"/>
      <c r="F957" s="32"/>
      <c r="G957" s="65"/>
      <c r="H957" s="67"/>
      <c r="I957" s="118"/>
      <c r="J957" s="32"/>
      <c r="K957" s="68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</row>
    <row r="958" ht="15.75" customHeight="1">
      <c r="A958" s="32"/>
      <c r="B958" s="65"/>
      <c r="C958" s="65"/>
      <c r="D958" s="32"/>
      <c r="E958" s="32"/>
      <c r="F958" s="32"/>
      <c r="G958" s="65"/>
      <c r="H958" s="67"/>
      <c r="I958" s="118"/>
      <c r="J958" s="32"/>
      <c r="K958" s="68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</row>
    <row r="959" ht="15.75" customHeight="1">
      <c r="A959" s="32"/>
      <c r="B959" s="65"/>
      <c r="C959" s="65"/>
      <c r="D959" s="32"/>
      <c r="E959" s="32"/>
      <c r="F959" s="32"/>
      <c r="G959" s="65"/>
      <c r="H959" s="67"/>
      <c r="I959" s="118"/>
      <c r="J959" s="32"/>
      <c r="K959" s="68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</row>
    <row r="960" ht="15.75" customHeight="1">
      <c r="A960" s="32"/>
      <c r="B960" s="65"/>
      <c r="C960" s="65"/>
      <c r="D960" s="32"/>
      <c r="E960" s="32"/>
      <c r="F960" s="32"/>
      <c r="G960" s="65"/>
      <c r="H960" s="67"/>
      <c r="I960" s="118"/>
      <c r="J960" s="32"/>
      <c r="K960" s="68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</row>
    <row r="961" ht="15.75" customHeight="1">
      <c r="A961" s="32"/>
      <c r="B961" s="65"/>
      <c r="C961" s="65"/>
      <c r="D961" s="32"/>
      <c r="E961" s="32"/>
      <c r="F961" s="32"/>
      <c r="G961" s="65"/>
      <c r="H961" s="67"/>
      <c r="I961" s="118"/>
      <c r="J961" s="32"/>
      <c r="K961" s="68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</row>
    <row r="962" ht="15.75" customHeight="1">
      <c r="A962" s="32"/>
      <c r="B962" s="65"/>
      <c r="C962" s="65"/>
      <c r="D962" s="32"/>
      <c r="E962" s="32"/>
      <c r="F962" s="32"/>
      <c r="G962" s="65"/>
      <c r="H962" s="67"/>
      <c r="I962" s="118"/>
      <c r="J962" s="32"/>
      <c r="K962" s="68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</row>
    <row r="963" ht="15.75" customHeight="1">
      <c r="A963" s="32"/>
      <c r="B963" s="65"/>
      <c r="C963" s="65"/>
      <c r="D963" s="32"/>
      <c r="E963" s="32"/>
      <c r="F963" s="32"/>
      <c r="G963" s="65"/>
      <c r="H963" s="67"/>
      <c r="I963" s="118"/>
      <c r="J963" s="32"/>
      <c r="K963" s="68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</row>
    <row r="964" ht="15.75" customHeight="1">
      <c r="A964" s="32"/>
      <c r="B964" s="65"/>
      <c r="C964" s="65"/>
      <c r="D964" s="32"/>
      <c r="E964" s="32"/>
      <c r="F964" s="32"/>
      <c r="G964" s="65"/>
      <c r="H964" s="67"/>
      <c r="I964" s="118"/>
      <c r="J964" s="32"/>
      <c r="K964" s="68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</row>
    <row r="965" ht="15.75" customHeight="1">
      <c r="A965" s="32"/>
      <c r="B965" s="65"/>
      <c r="C965" s="65"/>
      <c r="D965" s="32"/>
      <c r="E965" s="32"/>
      <c r="F965" s="32"/>
      <c r="G965" s="65"/>
      <c r="H965" s="67"/>
      <c r="I965" s="118"/>
      <c r="J965" s="32"/>
      <c r="K965" s="68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</row>
    <row r="966" ht="15.75" customHeight="1">
      <c r="A966" s="32"/>
      <c r="B966" s="65"/>
      <c r="C966" s="65"/>
      <c r="D966" s="32"/>
      <c r="E966" s="32"/>
      <c r="F966" s="32"/>
      <c r="G966" s="65"/>
      <c r="H966" s="67"/>
      <c r="I966" s="118"/>
      <c r="J966" s="32"/>
      <c r="K966" s="68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</row>
    <row r="967" ht="15.75" customHeight="1">
      <c r="A967" s="32"/>
      <c r="B967" s="65"/>
      <c r="C967" s="65"/>
      <c r="D967" s="32"/>
      <c r="E967" s="32"/>
      <c r="F967" s="32"/>
      <c r="G967" s="65"/>
      <c r="H967" s="67"/>
      <c r="I967" s="118"/>
      <c r="J967" s="32"/>
      <c r="K967" s="68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</row>
    <row r="968" ht="15.75" customHeight="1">
      <c r="A968" s="32"/>
      <c r="B968" s="65"/>
      <c r="C968" s="65"/>
      <c r="D968" s="32"/>
      <c r="E968" s="32"/>
      <c r="F968" s="32"/>
      <c r="G968" s="65"/>
      <c r="H968" s="67"/>
      <c r="I968" s="118"/>
      <c r="J968" s="32"/>
      <c r="K968" s="68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</row>
    <row r="969" ht="15.75" customHeight="1">
      <c r="A969" s="32"/>
      <c r="B969" s="65"/>
      <c r="C969" s="65"/>
      <c r="D969" s="32"/>
      <c r="E969" s="32"/>
      <c r="F969" s="32"/>
      <c r="G969" s="65"/>
      <c r="H969" s="67"/>
      <c r="I969" s="118"/>
      <c r="J969" s="32"/>
      <c r="K969" s="68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</row>
    <row r="970" ht="15.75" customHeight="1">
      <c r="A970" s="32"/>
      <c r="B970" s="65"/>
      <c r="C970" s="65"/>
      <c r="D970" s="32"/>
      <c r="E970" s="32"/>
      <c r="F970" s="32"/>
      <c r="G970" s="65"/>
      <c r="H970" s="67"/>
      <c r="I970" s="118"/>
      <c r="J970" s="32"/>
      <c r="K970" s="68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</row>
    <row r="971" ht="15.75" customHeight="1">
      <c r="A971" s="32"/>
      <c r="B971" s="65"/>
      <c r="C971" s="65"/>
      <c r="D971" s="32"/>
      <c r="E971" s="32"/>
      <c r="F971" s="32"/>
      <c r="G971" s="65"/>
      <c r="H971" s="67"/>
      <c r="I971" s="118"/>
      <c r="J971" s="32"/>
      <c r="K971" s="68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</row>
    <row r="972" ht="15.75" customHeight="1">
      <c r="A972" s="32"/>
      <c r="B972" s="65"/>
      <c r="C972" s="65"/>
      <c r="D972" s="32"/>
      <c r="E972" s="32"/>
      <c r="F972" s="32"/>
      <c r="G972" s="65"/>
      <c r="H972" s="67"/>
      <c r="I972" s="118"/>
      <c r="J972" s="32"/>
      <c r="K972" s="68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</row>
    <row r="973" ht="15.75" customHeight="1">
      <c r="A973" s="32"/>
      <c r="B973" s="65"/>
      <c r="C973" s="65"/>
      <c r="D973" s="32"/>
      <c r="E973" s="32"/>
      <c r="F973" s="32"/>
      <c r="G973" s="65"/>
      <c r="H973" s="67"/>
      <c r="I973" s="118"/>
      <c r="J973" s="32"/>
      <c r="K973" s="68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</row>
    <row r="974" ht="15.75" customHeight="1">
      <c r="A974" s="32"/>
      <c r="B974" s="65"/>
      <c r="C974" s="65"/>
      <c r="D974" s="32"/>
      <c r="E974" s="32"/>
      <c r="F974" s="32"/>
      <c r="G974" s="65"/>
      <c r="H974" s="67"/>
      <c r="I974" s="118"/>
      <c r="J974" s="32"/>
      <c r="K974" s="68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</row>
    <row r="975" ht="15.75" customHeight="1">
      <c r="A975" s="32"/>
      <c r="B975" s="65"/>
      <c r="C975" s="65"/>
      <c r="D975" s="32"/>
      <c r="E975" s="32"/>
      <c r="F975" s="32"/>
      <c r="G975" s="65"/>
      <c r="H975" s="67"/>
      <c r="I975" s="118"/>
      <c r="J975" s="32"/>
      <c r="K975" s="68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</row>
    <row r="976" ht="15.75" customHeight="1">
      <c r="A976" s="32"/>
      <c r="B976" s="65"/>
      <c r="C976" s="65"/>
      <c r="D976" s="32"/>
      <c r="E976" s="32"/>
      <c r="F976" s="32"/>
      <c r="G976" s="65"/>
      <c r="H976" s="67"/>
      <c r="I976" s="118"/>
      <c r="J976" s="32"/>
      <c r="K976" s="68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</row>
    <row r="977" ht="15.75" customHeight="1">
      <c r="A977" s="32"/>
      <c r="B977" s="65"/>
      <c r="C977" s="65"/>
      <c r="D977" s="32"/>
      <c r="E977" s="32"/>
      <c r="F977" s="32"/>
      <c r="G977" s="65"/>
      <c r="H977" s="67"/>
      <c r="I977" s="118"/>
      <c r="J977" s="32"/>
      <c r="K977" s="68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</row>
    <row r="978" ht="15.75" customHeight="1">
      <c r="A978" s="32"/>
      <c r="B978" s="65"/>
      <c r="C978" s="65"/>
      <c r="D978" s="32"/>
      <c r="E978" s="32"/>
      <c r="F978" s="32"/>
      <c r="G978" s="65"/>
      <c r="H978" s="67"/>
      <c r="I978" s="118"/>
      <c r="J978" s="32"/>
      <c r="K978" s="68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</row>
    <row r="979" ht="15.75" customHeight="1">
      <c r="A979" s="32"/>
      <c r="B979" s="65"/>
      <c r="C979" s="65"/>
      <c r="D979" s="32"/>
      <c r="E979" s="32"/>
      <c r="F979" s="32"/>
      <c r="G979" s="65"/>
      <c r="H979" s="67"/>
      <c r="I979" s="118"/>
      <c r="J979" s="32"/>
      <c r="K979" s="68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</row>
    <row r="980" ht="15.75" customHeight="1">
      <c r="A980" s="32"/>
      <c r="B980" s="65"/>
      <c r="C980" s="65"/>
      <c r="D980" s="32"/>
      <c r="E980" s="32"/>
      <c r="F980" s="32"/>
      <c r="G980" s="65"/>
      <c r="H980" s="67"/>
      <c r="I980" s="118"/>
      <c r="J980" s="32"/>
      <c r="K980" s="68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</row>
    <row r="981" ht="15.75" customHeight="1">
      <c r="A981" s="32"/>
      <c r="B981" s="65"/>
      <c r="C981" s="65"/>
      <c r="D981" s="32"/>
      <c r="E981" s="32"/>
      <c r="F981" s="32"/>
      <c r="G981" s="65"/>
      <c r="H981" s="67"/>
      <c r="I981" s="118"/>
      <c r="J981" s="32"/>
      <c r="K981" s="68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</row>
    <row r="982" ht="15.75" customHeight="1">
      <c r="A982" s="32"/>
      <c r="B982" s="65"/>
      <c r="C982" s="65"/>
      <c r="D982" s="32"/>
      <c r="E982" s="32"/>
      <c r="F982" s="32"/>
      <c r="G982" s="65"/>
      <c r="H982" s="67"/>
      <c r="I982" s="118"/>
      <c r="J982" s="32"/>
      <c r="K982" s="68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</row>
    <row r="983" ht="15.75" customHeight="1">
      <c r="A983" s="32"/>
      <c r="B983" s="65"/>
      <c r="C983" s="65"/>
      <c r="D983" s="32"/>
      <c r="E983" s="32"/>
      <c r="F983" s="32"/>
      <c r="G983" s="65"/>
      <c r="H983" s="67"/>
      <c r="I983" s="118"/>
      <c r="J983" s="32"/>
      <c r="K983" s="68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</row>
    <row r="984" ht="15.75" customHeight="1">
      <c r="A984" s="32"/>
      <c r="B984" s="65"/>
      <c r="C984" s="65"/>
      <c r="D984" s="32"/>
      <c r="E984" s="32"/>
      <c r="F984" s="32"/>
      <c r="G984" s="65"/>
      <c r="H984" s="67"/>
      <c r="I984" s="118"/>
      <c r="J984" s="32"/>
      <c r="K984" s="68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 ht="15.75" customHeight="1">
      <c r="A985" s="32"/>
      <c r="B985" s="65"/>
      <c r="C985" s="65"/>
      <c r="D985" s="32"/>
      <c r="E985" s="32"/>
      <c r="F985" s="32"/>
      <c r="G985" s="65"/>
      <c r="H985" s="67"/>
      <c r="I985" s="118"/>
      <c r="J985" s="32"/>
      <c r="K985" s="68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</row>
    <row r="986" ht="15.75" customHeight="1">
      <c r="A986" s="32"/>
      <c r="B986" s="65"/>
      <c r="C986" s="65"/>
      <c r="D986" s="32"/>
      <c r="E986" s="32"/>
      <c r="F986" s="32"/>
      <c r="G986" s="65"/>
      <c r="H986" s="67"/>
      <c r="I986" s="118"/>
      <c r="J986" s="32"/>
      <c r="K986" s="68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</row>
    <row r="987" ht="15.75" customHeight="1">
      <c r="A987" s="32"/>
      <c r="B987" s="65"/>
      <c r="C987" s="65"/>
      <c r="D987" s="32"/>
      <c r="E987" s="32"/>
      <c r="F987" s="32"/>
      <c r="G987" s="65"/>
      <c r="H987" s="67"/>
      <c r="I987" s="118"/>
      <c r="J987" s="32"/>
      <c r="K987" s="68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</row>
    <row r="988" ht="15.75" customHeight="1">
      <c r="A988" s="32"/>
      <c r="B988" s="65"/>
      <c r="C988" s="65"/>
      <c r="D988" s="32"/>
      <c r="E988" s="32"/>
      <c r="F988" s="32"/>
      <c r="G988" s="65"/>
      <c r="H988" s="67"/>
      <c r="I988" s="118"/>
      <c r="J988" s="32"/>
      <c r="K988" s="68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</row>
    <row r="989" ht="15.75" customHeight="1">
      <c r="A989" s="32"/>
      <c r="B989" s="65"/>
      <c r="C989" s="65"/>
      <c r="D989" s="32"/>
      <c r="E989" s="32"/>
      <c r="F989" s="32"/>
      <c r="G989" s="65"/>
      <c r="H989" s="67"/>
      <c r="I989" s="118"/>
      <c r="J989" s="32"/>
      <c r="K989" s="68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</row>
    <row r="990" ht="15.75" customHeight="1">
      <c r="A990" s="32"/>
      <c r="B990" s="65"/>
      <c r="C990" s="65"/>
      <c r="D990" s="32"/>
      <c r="E990" s="32"/>
      <c r="F990" s="32"/>
      <c r="G990" s="65"/>
      <c r="H990" s="67"/>
      <c r="I990" s="118"/>
      <c r="J990" s="32"/>
      <c r="K990" s="68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</row>
    <row r="991" ht="15.75" customHeight="1">
      <c r="A991" s="32"/>
      <c r="B991" s="65"/>
      <c r="C991" s="65"/>
      <c r="D991" s="32"/>
      <c r="E991" s="32"/>
      <c r="F991" s="32"/>
      <c r="G991" s="65"/>
      <c r="H991" s="67"/>
      <c r="I991" s="118"/>
      <c r="J991" s="32"/>
      <c r="K991" s="68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</row>
    <row r="992" ht="15.75" customHeight="1">
      <c r="A992" s="32"/>
      <c r="B992" s="65"/>
      <c r="C992" s="65"/>
      <c r="D992" s="32"/>
      <c r="E992" s="32"/>
      <c r="F992" s="32"/>
      <c r="G992" s="65"/>
      <c r="H992" s="67"/>
      <c r="I992" s="118"/>
      <c r="J992" s="32"/>
      <c r="K992" s="68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</row>
    <row r="993" ht="15.75" customHeight="1">
      <c r="A993" s="32"/>
      <c r="B993" s="65"/>
      <c r="C993" s="65"/>
      <c r="D993" s="32"/>
      <c r="E993" s="32"/>
      <c r="F993" s="32"/>
      <c r="G993" s="65"/>
      <c r="H993" s="67"/>
      <c r="I993" s="118"/>
      <c r="J993" s="32"/>
      <c r="K993" s="68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</row>
    <row r="994" ht="15.75" customHeight="1">
      <c r="A994" s="32"/>
      <c r="B994" s="65"/>
      <c r="C994" s="65"/>
      <c r="D994" s="32"/>
      <c r="E994" s="32"/>
      <c r="F994" s="32"/>
      <c r="G994" s="65"/>
      <c r="H994" s="67"/>
      <c r="I994" s="118"/>
      <c r="J994" s="32"/>
      <c r="K994" s="68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</row>
    <row r="995" ht="15.75" customHeight="1">
      <c r="A995" s="32"/>
      <c r="B995" s="65"/>
      <c r="C995" s="65"/>
      <c r="D995" s="32"/>
      <c r="E995" s="32"/>
      <c r="F995" s="32"/>
      <c r="G995" s="65"/>
      <c r="H995" s="67"/>
      <c r="I995" s="118"/>
      <c r="J995" s="32"/>
      <c r="K995" s="68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</row>
    <row r="996" ht="15.75" customHeight="1">
      <c r="A996" s="32"/>
      <c r="B996" s="65"/>
      <c r="C996" s="65"/>
      <c r="D996" s="32"/>
      <c r="E996" s="32"/>
      <c r="F996" s="32"/>
      <c r="G996" s="65"/>
      <c r="H996" s="67"/>
      <c r="I996" s="118"/>
      <c r="J996" s="32"/>
      <c r="K996" s="68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</row>
    <row r="997" ht="15.75" customHeight="1">
      <c r="A997" s="32"/>
      <c r="B997" s="65"/>
      <c r="C997" s="65"/>
      <c r="D997" s="32"/>
      <c r="E997" s="32"/>
      <c r="F997" s="32"/>
      <c r="G997" s="65"/>
      <c r="H997" s="67"/>
      <c r="I997" s="118"/>
      <c r="J997" s="32"/>
      <c r="K997" s="68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</row>
  </sheetData>
  <mergeCells count="32">
    <mergeCell ref="K6:K7"/>
    <mergeCell ref="K8:K9"/>
    <mergeCell ref="K10:K11"/>
    <mergeCell ref="K12:K13"/>
    <mergeCell ref="K14:K15"/>
    <mergeCell ref="K16:K17"/>
    <mergeCell ref="K18:K19"/>
    <mergeCell ref="K20:K21"/>
    <mergeCell ref="B4:B5"/>
    <mergeCell ref="C4:C5"/>
    <mergeCell ref="K4:K5"/>
    <mergeCell ref="B6:B7"/>
    <mergeCell ref="C6:C7"/>
    <mergeCell ref="B8:B9"/>
    <mergeCell ref="C8:C9"/>
    <mergeCell ref="B16:B17"/>
    <mergeCell ref="B18:B19"/>
    <mergeCell ref="B20:B21"/>
    <mergeCell ref="B22:B23"/>
    <mergeCell ref="C18:C19"/>
    <mergeCell ref="C20:C21"/>
    <mergeCell ref="B30:F30"/>
    <mergeCell ref="D31:F31"/>
    <mergeCell ref="D32:F32"/>
    <mergeCell ref="D33:F33"/>
    <mergeCell ref="B10:B11"/>
    <mergeCell ref="C10:C11"/>
    <mergeCell ref="B12:B13"/>
    <mergeCell ref="C12:C13"/>
    <mergeCell ref="B14:B15"/>
    <mergeCell ref="C14:C15"/>
    <mergeCell ref="C16:C17"/>
  </mergeCells>
  <hyperlinks>
    <hyperlink r:id="rId1" ref="K4"/>
    <hyperlink r:id="rId2" ref="K6"/>
    <hyperlink r:id="rId3" ref="K8"/>
    <hyperlink r:id="rId4" ref="K10"/>
    <hyperlink r:id="rId5" ref="K12"/>
    <hyperlink r:id="rId6" ref="K14"/>
    <hyperlink r:id="rId7" ref="K16"/>
    <hyperlink r:id="rId8" ref="K18"/>
    <hyperlink r:id="rId9" ref="K20"/>
  </hyperlinks>
  <printOptions/>
  <pageMargins bottom="1.0" footer="0.0" header="0.0" left="0.75" right="0.75" top="1.0"/>
  <pageSetup orientation="landscape"/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11.63"/>
    <col customWidth="1" min="3" max="3" width="10.5"/>
    <col customWidth="1" hidden="1" min="4" max="4" width="21.0"/>
    <col customWidth="1" hidden="1" min="5" max="5" width="29.63"/>
    <col customWidth="1" min="6" max="6" width="31.25"/>
    <col customWidth="1" min="7" max="7" width="8.63"/>
    <col customWidth="1" min="8" max="8" width="13.5"/>
    <col customWidth="1" min="9" max="9" width="9.0"/>
    <col customWidth="1" min="10" max="10" width="42.63"/>
    <col customWidth="1" min="11" max="11" width="30.25"/>
    <col customWidth="1" min="12" max="12" width="17.38"/>
    <col customWidth="1" min="13" max="29" width="7.63"/>
  </cols>
  <sheetData>
    <row r="1">
      <c r="A1" s="4"/>
      <c r="B1" s="25"/>
      <c r="C1" s="25"/>
      <c r="D1" s="189"/>
      <c r="E1" s="4"/>
      <c r="F1" s="4"/>
      <c r="G1" s="187"/>
      <c r="H1" s="190"/>
      <c r="I1" s="280"/>
      <c r="J1" s="74"/>
      <c r="K1" s="281"/>
      <c r="L1" s="2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4"/>
      <c r="B2" s="188"/>
      <c r="C2" s="188"/>
      <c r="D2" s="189"/>
      <c r="E2" s="4"/>
      <c r="F2" s="4"/>
      <c r="G2" s="187"/>
      <c r="H2" s="279"/>
      <c r="I2" s="72"/>
      <c r="J2" s="74"/>
      <c r="K2" s="281"/>
      <c r="L2" s="2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4"/>
      <c r="B3" s="75" t="s">
        <v>389</v>
      </c>
      <c r="C3" s="75"/>
      <c r="D3" s="4"/>
      <c r="E3" s="4"/>
      <c r="F3" s="4"/>
      <c r="G3" s="4"/>
      <c r="H3" s="72"/>
      <c r="I3" s="73"/>
      <c r="J3" s="74"/>
      <c r="K3" s="7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76"/>
      <c r="B4" s="77" t="s">
        <v>20</v>
      </c>
      <c r="C4" s="78" t="s">
        <v>22</v>
      </c>
      <c r="D4" s="77" t="s">
        <v>24</v>
      </c>
      <c r="E4" s="77" t="s">
        <v>26</v>
      </c>
      <c r="F4" s="79" t="s">
        <v>28</v>
      </c>
      <c r="G4" s="77" t="s">
        <v>30</v>
      </c>
      <c r="H4" s="80" t="s">
        <v>33</v>
      </c>
      <c r="I4" s="80" t="s">
        <v>36</v>
      </c>
      <c r="J4" s="81" t="s">
        <v>279</v>
      </c>
      <c r="K4" s="81" t="s">
        <v>41</v>
      </c>
      <c r="L4" s="77" t="s">
        <v>16</v>
      </c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</row>
    <row r="5">
      <c r="A5" s="4"/>
      <c r="B5" s="193">
        <v>1.0</v>
      </c>
      <c r="C5" s="193" t="str">
        <f t="shared" ref="C5:C23" si="1">IF(ISNUMBER(B5), "P09" &amp; TEXT(B5, "00"), "")</f>
        <v>P0901</v>
      </c>
      <c r="D5" s="83" t="s">
        <v>390</v>
      </c>
      <c r="E5" s="83" t="s">
        <v>391</v>
      </c>
      <c r="F5" s="84" t="str">
        <f t="shared" ref="F5:F17" si="2">CONCATENATE(E5," - ",D5)</f>
        <v>Smashed Durian - Sầu Riêng Dầm</v>
      </c>
      <c r="G5" s="84"/>
      <c r="H5" s="87">
        <v>16.5</v>
      </c>
      <c r="I5" s="88">
        <f t="shared" ref="I5:I23" si="3">LET(v,H5*1.15,
i,INT(v),
d,v-i,
IF(d&lt;=0.2,
i-0.1,
IF(d&lt;=0.7,
i+0.5,
i+0.9)))
</f>
        <v>18.9</v>
      </c>
      <c r="J5" s="89" t="s">
        <v>392</v>
      </c>
      <c r="K5" s="90" t="s">
        <v>393</v>
      </c>
      <c r="L5" s="84" t="s">
        <v>394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193">
        <v>2.0</v>
      </c>
      <c r="C6" s="193" t="str">
        <f t="shared" si="1"/>
        <v>P0902</v>
      </c>
      <c r="D6" s="83" t="s">
        <v>395</v>
      </c>
      <c r="E6" s="83" t="s">
        <v>396</v>
      </c>
      <c r="F6" s="84" t="str">
        <f t="shared" si="2"/>
        <v>Smashed Mix Fruit - Trái Cây Dầm</v>
      </c>
      <c r="G6" s="84"/>
      <c r="H6" s="87">
        <v>13.9</v>
      </c>
      <c r="I6" s="88">
        <f t="shared" si="3"/>
        <v>15.9</v>
      </c>
      <c r="J6" s="89" t="s">
        <v>397</v>
      </c>
      <c r="K6" s="90" t="s">
        <v>393</v>
      </c>
      <c r="L6" s="282" t="s">
        <v>398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193">
        <v>3.0</v>
      </c>
      <c r="C7" s="193" t="str">
        <f t="shared" si="1"/>
        <v>P0903</v>
      </c>
      <c r="D7" s="83" t="s">
        <v>399</v>
      </c>
      <c r="E7" s="83" t="s">
        <v>400</v>
      </c>
      <c r="F7" s="84" t="str">
        <f t="shared" si="2"/>
        <v>Avocado Coconut - Bơ Dừa Dầm</v>
      </c>
      <c r="G7" s="84"/>
      <c r="H7" s="87">
        <v>13.9</v>
      </c>
      <c r="I7" s="88">
        <f t="shared" si="3"/>
        <v>15.9</v>
      </c>
      <c r="J7" s="89" t="s">
        <v>401</v>
      </c>
      <c r="K7" s="90" t="s">
        <v>402</v>
      </c>
      <c r="L7" s="8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193">
        <v>4.0</v>
      </c>
      <c r="C8" s="193" t="str">
        <f t="shared" si="1"/>
        <v>P0904</v>
      </c>
      <c r="D8" s="83" t="s">
        <v>403</v>
      </c>
      <c r="E8" s="83" t="s">
        <v>404</v>
      </c>
      <c r="F8" s="84" t="str">
        <f t="shared" si="2"/>
        <v>Smashed Avocado - Bơ Dầm</v>
      </c>
      <c r="G8" s="84"/>
      <c r="H8" s="88">
        <v>12.9</v>
      </c>
      <c r="I8" s="88">
        <f t="shared" si="3"/>
        <v>14.9</v>
      </c>
      <c r="J8" s="89" t="s">
        <v>405</v>
      </c>
      <c r="K8" s="90" t="s">
        <v>406</v>
      </c>
      <c r="L8" s="8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193">
        <v>5.0</v>
      </c>
      <c r="C9" s="193" t="str">
        <f t="shared" si="1"/>
        <v>P0905</v>
      </c>
      <c r="D9" s="83" t="s">
        <v>407</v>
      </c>
      <c r="E9" s="83" t="s">
        <v>408</v>
      </c>
      <c r="F9" s="84" t="str">
        <f t="shared" si="2"/>
        <v>Smashed Coconut - Dừa Non Dầm</v>
      </c>
      <c r="G9" s="84"/>
      <c r="H9" s="87">
        <v>13.5</v>
      </c>
      <c r="I9" s="88">
        <f t="shared" si="3"/>
        <v>15.5</v>
      </c>
      <c r="J9" s="89" t="s">
        <v>409</v>
      </c>
      <c r="K9" s="90" t="s">
        <v>410</v>
      </c>
      <c r="L9" s="8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193">
        <v>6.0</v>
      </c>
      <c r="C10" s="193" t="str">
        <f t="shared" si="1"/>
        <v>P0906</v>
      </c>
      <c r="D10" s="83" t="s">
        <v>411</v>
      </c>
      <c r="E10" s="83" t="s">
        <v>412</v>
      </c>
      <c r="F10" s="84" t="str">
        <f t="shared" si="2"/>
        <v>Smashed Soursop - Mãng Cầu Dầm</v>
      </c>
      <c r="G10" s="84"/>
      <c r="H10" s="87">
        <v>12.9</v>
      </c>
      <c r="I10" s="88">
        <f t="shared" si="3"/>
        <v>14.9</v>
      </c>
      <c r="J10" s="89" t="s">
        <v>413</v>
      </c>
      <c r="K10" s="90" t="s">
        <v>414</v>
      </c>
      <c r="L10" s="8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193">
        <v>7.0</v>
      </c>
      <c r="C11" s="193" t="str">
        <f t="shared" si="1"/>
        <v>P0907</v>
      </c>
      <c r="D11" s="83" t="s">
        <v>415</v>
      </c>
      <c r="E11" s="83" t="s">
        <v>416</v>
      </c>
      <c r="F11" s="84" t="str">
        <f t="shared" si="2"/>
        <v>Flan - Bánh Flan</v>
      </c>
      <c r="G11" s="84"/>
      <c r="H11" s="87">
        <v>10.5</v>
      </c>
      <c r="I11" s="88">
        <f t="shared" si="3"/>
        <v>11.9</v>
      </c>
      <c r="J11" s="89"/>
      <c r="K11" s="90" t="s">
        <v>417</v>
      </c>
      <c r="L11" s="8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193">
        <v>8.0</v>
      </c>
      <c r="C12" s="193" t="str">
        <f t="shared" si="1"/>
        <v>P0908</v>
      </c>
      <c r="D12" s="83" t="s">
        <v>418</v>
      </c>
      <c r="E12" s="83" t="s">
        <v>419</v>
      </c>
      <c r="F12" s="84" t="str">
        <f t="shared" si="2"/>
        <v>Avocado Mix Sweeted - Chè Bơ Thập Cẩm</v>
      </c>
      <c r="G12" s="84"/>
      <c r="H12" s="87">
        <v>14.9</v>
      </c>
      <c r="I12" s="88">
        <f t="shared" si="3"/>
        <v>16.9</v>
      </c>
      <c r="J12" s="89" t="s">
        <v>420</v>
      </c>
      <c r="K12" s="90" t="s">
        <v>421</v>
      </c>
      <c r="L12" s="8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193">
        <v>9.0</v>
      </c>
      <c r="C13" s="193" t="str">
        <f t="shared" si="1"/>
        <v>P0909</v>
      </c>
      <c r="D13" s="83" t="s">
        <v>422</v>
      </c>
      <c r="E13" s="83" t="s">
        <v>423</v>
      </c>
      <c r="F13" s="84" t="str">
        <f t="shared" si="2"/>
        <v>Mixed Flan &amp; Fruit &amp; Coco Cream - Trái Cây, Bánh Flan &amp; Coco Cream</v>
      </c>
      <c r="G13" s="84"/>
      <c r="H13" s="87">
        <v>16.9</v>
      </c>
      <c r="I13" s="88">
        <f t="shared" si="3"/>
        <v>19.5</v>
      </c>
      <c r="J13" s="89" t="s">
        <v>424</v>
      </c>
      <c r="K13" s="90" t="s">
        <v>425</v>
      </c>
      <c r="L13" s="8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9"/>
      <c r="B14" s="193">
        <v>10.0</v>
      </c>
      <c r="C14" s="193" t="str">
        <f t="shared" si="1"/>
        <v>P0910</v>
      </c>
      <c r="D14" s="283" t="s">
        <v>426</v>
      </c>
      <c r="E14" s="237" t="s">
        <v>423</v>
      </c>
      <c r="F14" s="284" t="str">
        <f t="shared" si="2"/>
        <v>Mixed Flan &amp; Fruit &amp; Coco Cream - Trái Cây Dầm &amp; Kem</v>
      </c>
      <c r="G14" s="284"/>
      <c r="H14" s="285">
        <v>16.9</v>
      </c>
      <c r="I14" s="285">
        <f t="shared" si="3"/>
        <v>19.5</v>
      </c>
      <c r="J14" s="286" t="s">
        <v>424</v>
      </c>
      <c r="K14" s="90" t="s">
        <v>427</v>
      </c>
      <c r="L14" s="287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>
      <c r="A15" s="4"/>
      <c r="B15" s="193">
        <v>11.0</v>
      </c>
      <c r="C15" s="193" t="str">
        <f t="shared" si="1"/>
        <v>P0911</v>
      </c>
      <c r="D15" s="83" t="s">
        <v>428</v>
      </c>
      <c r="E15" s="83" t="s">
        <v>429</v>
      </c>
      <c r="F15" s="84" t="str">
        <f t="shared" si="2"/>
        <v>Avocado Gelato - Kem Bơ Đà Lạt</v>
      </c>
      <c r="G15" s="84"/>
      <c r="H15" s="88">
        <v>10.5</v>
      </c>
      <c r="I15" s="88">
        <f t="shared" si="3"/>
        <v>11.9</v>
      </c>
      <c r="J15" s="89" t="s">
        <v>430</v>
      </c>
      <c r="K15" s="90" t="s">
        <v>431</v>
      </c>
      <c r="L15" s="282" t="s">
        <v>432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193">
        <v>12.0</v>
      </c>
      <c r="C16" s="193" t="str">
        <f t="shared" si="1"/>
        <v>P0912</v>
      </c>
      <c r="D16" s="83" t="s">
        <v>433</v>
      </c>
      <c r="E16" s="83" t="s">
        <v>434</v>
      </c>
      <c r="F16" s="84" t="str">
        <f t="shared" si="2"/>
        <v>Traditional Singapore Tofu Pudding - Tàu Hũ Singapore Truyền Thống</v>
      </c>
      <c r="G16" s="84"/>
      <c r="H16" s="88">
        <v>9.9</v>
      </c>
      <c r="I16" s="88">
        <f t="shared" si="3"/>
        <v>11.5</v>
      </c>
      <c r="J16" s="89" t="s">
        <v>435</v>
      </c>
      <c r="K16" s="90" t="s">
        <v>436</v>
      </c>
      <c r="L16" s="8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193">
        <v>13.0</v>
      </c>
      <c r="C17" s="193" t="str">
        <f t="shared" si="1"/>
        <v>P0913</v>
      </c>
      <c r="D17" s="83" t="s">
        <v>437</v>
      </c>
      <c r="E17" s="83" t="s">
        <v>438</v>
      </c>
      <c r="F17" s="84" t="str">
        <f t="shared" si="2"/>
        <v>Singapore Tofu Pudding (Matcha/Taro/Pandan) - Tàu Hũ Singapore Matcha/Taro/Pandan</v>
      </c>
      <c r="G17" s="84"/>
      <c r="H17" s="88">
        <v>9.9</v>
      </c>
      <c r="I17" s="88">
        <f t="shared" si="3"/>
        <v>11.5</v>
      </c>
      <c r="J17" s="89" t="s">
        <v>439</v>
      </c>
      <c r="K17" s="90" t="s">
        <v>436</v>
      </c>
      <c r="L17" s="8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30.0" customHeight="1">
      <c r="A18" s="4"/>
      <c r="B18" s="91">
        <v>18.0</v>
      </c>
      <c r="C18" s="21" t="str">
        <f t="shared" si="1"/>
        <v>P0918</v>
      </c>
      <c r="D18" s="288" t="s">
        <v>440</v>
      </c>
      <c r="E18" s="288" t="s">
        <v>441</v>
      </c>
      <c r="F18" s="110" t="str">
        <f t="shared" ref="F18:F19" si="4">CONCATENATE(D18," - ",E18)</f>
        <v>Sữa chua nếp cẩm - PPURPLERICE YOGURT</v>
      </c>
      <c r="G18" s="107"/>
      <c r="H18" s="289">
        <v>10.9</v>
      </c>
      <c r="I18" s="88">
        <f t="shared" si="3"/>
        <v>12.5</v>
      </c>
      <c r="J18" s="290" t="s">
        <v>442</v>
      </c>
      <c r="K18" s="90" t="s">
        <v>443</v>
      </c>
      <c r="L18" s="291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6.25" customHeight="1">
      <c r="A19" s="4"/>
      <c r="B19" s="270">
        <v>19.0</v>
      </c>
      <c r="C19" s="270" t="str">
        <f t="shared" si="1"/>
        <v>P0919</v>
      </c>
      <c r="D19" s="288" t="s">
        <v>444</v>
      </c>
      <c r="E19" s="288" t="s">
        <v>445</v>
      </c>
      <c r="F19" s="110" t="str">
        <f t="shared" si="4"/>
        <v>Tàu hủ bánh lọt - Tofu Puddding With Pandan Jelly</v>
      </c>
      <c r="G19" s="107"/>
      <c r="H19" s="289">
        <v>8.9</v>
      </c>
      <c r="I19" s="88">
        <f t="shared" si="3"/>
        <v>10.5</v>
      </c>
      <c r="J19" s="290" t="s">
        <v>446</v>
      </c>
      <c r="K19" s="90" t="s">
        <v>447</v>
      </c>
      <c r="L19" s="29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5.5" customHeight="1">
      <c r="A20" s="4"/>
      <c r="B20" s="91">
        <v>20.0</v>
      </c>
      <c r="C20" s="21" t="str">
        <f t="shared" si="1"/>
        <v>P0920</v>
      </c>
      <c r="D20" s="288" t="s">
        <v>448</v>
      </c>
      <c r="E20" s="288" t="s">
        <v>449</v>
      </c>
      <c r="F20" s="107" t="str">
        <f t="shared" ref="F20:F23" si="5">CONCATENATE(E20," - ",D20)</f>
        <v>Black Sesame - Chè mè đen</v>
      </c>
      <c r="G20" s="107"/>
      <c r="H20" s="289">
        <v>9.9</v>
      </c>
      <c r="I20" s="88">
        <f t="shared" si="3"/>
        <v>11.5</v>
      </c>
      <c r="J20" s="290" t="s">
        <v>450</v>
      </c>
      <c r="K20" s="90" t="s">
        <v>451</v>
      </c>
      <c r="L20" s="291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7.0" customHeight="1">
      <c r="A21" s="4"/>
      <c r="B21" s="270">
        <v>21.0</v>
      </c>
      <c r="C21" s="270" t="str">
        <f t="shared" si="1"/>
        <v>P0921</v>
      </c>
      <c r="D21" s="288" t="s">
        <v>452</v>
      </c>
      <c r="E21" s="288" t="s">
        <v>453</v>
      </c>
      <c r="F21" s="107" t="str">
        <f t="shared" si="5"/>
        <v>Pitaschio Sweet - CHÈ HẠT DẺ CƯỜI</v>
      </c>
      <c r="G21" s="107"/>
      <c r="H21" s="289">
        <v>10.9</v>
      </c>
      <c r="I21" s="88">
        <f t="shared" si="3"/>
        <v>12.5</v>
      </c>
      <c r="J21" s="290" t="s">
        <v>454</v>
      </c>
      <c r="K21" s="90" t="s">
        <v>443</v>
      </c>
      <c r="L21" s="29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30.75" customHeight="1">
      <c r="A22" s="4"/>
      <c r="B22" s="91">
        <v>22.0</v>
      </c>
      <c r="C22" s="21" t="str">
        <f t="shared" si="1"/>
        <v>P0922</v>
      </c>
      <c r="D22" s="288" t="s">
        <v>455</v>
      </c>
      <c r="E22" s="288" t="s">
        <v>456</v>
      </c>
      <c r="F22" s="107" t="str">
        <f t="shared" si="5"/>
        <v>Bubur Chacha - CHÈ ĐẬU PHỘNG KHOAI MÔN</v>
      </c>
      <c r="G22" s="107"/>
      <c r="H22" s="289">
        <v>11.5</v>
      </c>
      <c r="I22" s="88">
        <f t="shared" si="3"/>
        <v>13.5</v>
      </c>
      <c r="J22" s="290" t="s">
        <v>457</v>
      </c>
      <c r="K22" s="90" t="s">
        <v>458</v>
      </c>
      <c r="L22" s="11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4.0" customHeight="1">
      <c r="A23" s="4"/>
      <c r="B23" s="270">
        <v>23.0</v>
      </c>
      <c r="C23" s="270" t="str">
        <f t="shared" si="1"/>
        <v>P0923</v>
      </c>
      <c r="D23" s="288" t="s">
        <v>459</v>
      </c>
      <c r="E23" s="288" t="s">
        <v>460</v>
      </c>
      <c r="F23" s="107" t="str">
        <f t="shared" si="5"/>
        <v>Bobo Bạch Quả - BOBO BẠCH QUẢ</v>
      </c>
      <c r="G23" s="107"/>
      <c r="H23" s="289">
        <v>9.9</v>
      </c>
      <c r="I23" s="88">
        <f t="shared" si="3"/>
        <v>11.5</v>
      </c>
      <c r="J23" s="290" t="s">
        <v>461</v>
      </c>
      <c r="K23" s="90" t="s">
        <v>462</v>
      </c>
      <c r="L23" s="29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4"/>
      <c r="B24" s="25"/>
      <c r="C24" s="25"/>
      <c r="D24" s="4"/>
      <c r="F24" s="4"/>
      <c r="G24" s="4"/>
      <c r="H24" s="72"/>
      <c r="I24" s="73"/>
      <c r="J24" s="74"/>
      <c r="K24" s="7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4"/>
      <c r="B25" s="25"/>
      <c r="C25" s="25"/>
      <c r="D25" s="4"/>
      <c r="F25" s="4"/>
      <c r="G25" s="4"/>
      <c r="H25" s="72"/>
      <c r="I25" s="73"/>
      <c r="J25" s="74"/>
      <c r="K25" s="7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4"/>
      <c r="B26" s="25"/>
      <c r="C26" s="25"/>
      <c r="D26" s="4"/>
      <c r="E26" s="4"/>
      <c r="F26" s="4"/>
      <c r="G26" s="4"/>
      <c r="H26" s="72"/>
      <c r="J26" s="74"/>
      <c r="K26" s="7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4"/>
      <c r="B27" s="69"/>
      <c r="G27" s="4"/>
      <c r="H27" s="72"/>
      <c r="J27" s="74"/>
      <c r="K27" s="7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4"/>
      <c r="B28" s="70"/>
      <c r="C28" s="70"/>
      <c r="D28" s="71"/>
      <c r="G28" s="4"/>
      <c r="H28" s="72"/>
      <c r="J28" s="74"/>
      <c r="K28" s="7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4"/>
      <c r="B29" s="70"/>
      <c r="C29" s="70"/>
      <c r="D29" s="71"/>
      <c r="G29" s="4"/>
      <c r="H29" s="72"/>
      <c r="J29" s="74"/>
      <c r="K29" s="7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4"/>
      <c r="B30" s="25"/>
      <c r="C30" s="25"/>
      <c r="D30" s="117"/>
      <c r="G30" s="4"/>
      <c r="H30" s="72"/>
      <c r="J30" s="74"/>
      <c r="K30" s="7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"/>
      <c r="B31" s="25"/>
      <c r="C31" s="25"/>
      <c r="D31" s="20"/>
      <c r="E31" s="4"/>
      <c r="F31" s="4"/>
      <c r="G31" s="4"/>
      <c r="H31" s="72"/>
      <c r="I31" s="73"/>
      <c r="J31" s="74"/>
      <c r="K31" s="7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"/>
      <c r="B32" s="25"/>
      <c r="C32" s="25"/>
      <c r="D32" s="4"/>
      <c r="E32" s="4"/>
      <c r="F32" s="4"/>
      <c r="G32" s="4"/>
      <c r="H32" s="72"/>
      <c r="I32" s="73"/>
      <c r="J32" s="74"/>
      <c r="K32" s="7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/>
      <c r="B33" s="25"/>
      <c r="C33" s="25"/>
      <c r="D33" s="4"/>
      <c r="E33" s="4"/>
      <c r="F33" s="4"/>
      <c r="G33" s="4"/>
      <c r="H33" s="72"/>
      <c r="I33" s="73"/>
      <c r="J33" s="74"/>
      <c r="K33" s="7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/>
      <c r="B34" s="25"/>
      <c r="C34" s="25"/>
      <c r="D34" s="4"/>
      <c r="E34" s="4"/>
      <c r="F34" s="4"/>
      <c r="G34" s="4"/>
      <c r="H34" s="72"/>
      <c r="I34" s="73"/>
      <c r="J34" s="74"/>
      <c r="K34" s="7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25"/>
      <c r="C35" s="25"/>
      <c r="D35" s="4"/>
      <c r="E35" s="4"/>
      <c r="F35" s="4"/>
      <c r="G35" s="4"/>
      <c r="H35" s="72"/>
      <c r="I35" s="73"/>
      <c r="J35" s="74"/>
      <c r="K35" s="7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/>
      <c r="B36" s="25"/>
      <c r="C36" s="25"/>
      <c r="D36" s="4"/>
      <c r="E36" s="4"/>
      <c r="F36" s="4"/>
      <c r="G36" s="4"/>
      <c r="H36" s="72"/>
      <c r="I36" s="73"/>
      <c r="J36" s="74"/>
      <c r="K36" s="7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25"/>
      <c r="C37" s="25"/>
      <c r="D37" s="4"/>
      <c r="E37" s="4"/>
      <c r="F37" s="4"/>
      <c r="G37" s="4"/>
      <c r="H37" s="72"/>
      <c r="I37" s="73"/>
      <c r="J37" s="74"/>
      <c r="K37" s="7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25"/>
      <c r="C38" s="25"/>
      <c r="D38" s="4"/>
      <c r="E38" s="4"/>
      <c r="F38" s="4"/>
      <c r="G38" s="4"/>
      <c r="H38" s="72"/>
      <c r="I38" s="73"/>
      <c r="J38" s="74"/>
      <c r="K38" s="7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25"/>
      <c r="C39" s="25"/>
      <c r="D39" s="4"/>
      <c r="E39" s="4"/>
      <c r="F39" s="4"/>
      <c r="G39" s="4"/>
      <c r="H39" s="72"/>
      <c r="I39" s="73"/>
      <c r="J39" s="74"/>
      <c r="K39" s="7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25"/>
      <c r="C40" s="25"/>
      <c r="D40" s="4"/>
      <c r="E40" s="4"/>
      <c r="F40" s="4"/>
      <c r="G40" s="4"/>
      <c r="H40" s="72"/>
      <c r="I40" s="73"/>
      <c r="J40" s="74"/>
      <c r="K40" s="7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25"/>
      <c r="C41" s="25"/>
      <c r="D41" s="4"/>
      <c r="E41" s="4"/>
      <c r="F41" s="4"/>
      <c r="G41" s="4"/>
      <c r="H41" s="72"/>
      <c r="I41" s="73"/>
      <c r="J41" s="74"/>
      <c r="K41" s="7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25"/>
      <c r="C42" s="25"/>
      <c r="D42" s="4"/>
      <c r="E42" s="4"/>
      <c r="F42" s="4"/>
      <c r="G42" s="4"/>
      <c r="H42" s="72"/>
      <c r="I42" s="73"/>
      <c r="J42" s="74"/>
      <c r="K42" s="7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25"/>
      <c r="C43" s="25"/>
      <c r="D43" s="4"/>
      <c r="E43" s="4"/>
      <c r="F43" s="4"/>
      <c r="G43" s="4"/>
      <c r="H43" s="72"/>
      <c r="I43" s="73"/>
      <c r="J43" s="74"/>
      <c r="K43" s="7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25"/>
      <c r="C44" s="25"/>
      <c r="D44" s="4"/>
      <c r="E44" s="4"/>
      <c r="F44" s="4"/>
      <c r="G44" s="4"/>
      <c r="H44" s="72"/>
      <c r="I44" s="73"/>
      <c r="J44" s="74"/>
      <c r="K44" s="7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25"/>
      <c r="C45" s="25"/>
      <c r="D45" s="4"/>
      <c r="E45" s="4"/>
      <c r="F45" s="4"/>
      <c r="G45" s="4"/>
      <c r="H45" s="72"/>
      <c r="I45" s="73"/>
      <c r="J45" s="74"/>
      <c r="K45" s="7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25"/>
      <c r="C46" s="25"/>
      <c r="D46" s="4"/>
      <c r="E46" s="4"/>
      <c r="F46" s="4"/>
      <c r="G46" s="4"/>
      <c r="H46" s="72"/>
      <c r="I46" s="73"/>
      <c r="J46" s="74"/>
      <c r="K46" s="7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25"/>
      <c r="C47" s="25"/>
      <c r="D47" s="4"/>
      <c r="E47" s="4"/>
      <c r="F47" s="4"/>
      <c r="G47" s="4"/>
      <c r="H47" s="72"/>
      <c r="I47" s="73"/>
      <c r="J47" s="74"/>
      <c r="K47" s="7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25"/>
      <c r="C48" s="25"/>
      <c r="D48" s="4"/>
      <c r="E48" s="4"/>
      <c r="F48" s="4"/>
      <c r="G48" s="4"/>
      <c r="H48" s="72"/>
      <c r="I48" s="73"/>
      <c r="J48" s="74"/>
      <c r="K48" s="7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25"/>
      <c r="C49" s="25"/>
      <c r="D49" s="4"/>
      <c r="E49" s="4"/>
      <c r="F49" s="4"/>
      <c r="G49" s="4"/>
      <c r="H49" s="72"/>
      <c r="I49" s="73"/>
      <c r="J49" s="74"/>
      <c r="K49" s="7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25"/>
      <c r="C50" s="25"/>
      <c r="D50" s="4"/>
      <c r="E50" s="4"/>
      <c r="F50" s="4"/>
      <c r="G50" s="4"/>
      <c r="H50" s="72"/>
      <c r="I50" s="73"/>
      <c r="J50" s="74"/>
      <c r="K50" s="7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25"/>
      <c r="C51" s="25"/>
      <c r="D51" s="4"/>
      <c r="E51" s="4"/>
      <c r="F51" s="4"/>
      <c r="G51" s="4"/>
      <c r="H51" s="72"/>
      <c r="I51" s="73"/>
      <c r="J51" s="74"/>
      <c r="K51" s="7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25"/>
      <c r="C52" s="25"/>
      <c r="D52" s="4"/>
      <c r="E52" s="4"/>
      <c r="F52" s="4"/>
      <c r="G52" s="4"/>
      <c r="H52" s="72"/>
      <c r="I52" s="73"/>
      <c r="J52" s="74"/>
      <c r="K52" s="7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25"/>
      <c r="C53" s="25"/>
      <c r="D53" s="4"/>
      <c r="E53" s="4"/>
      <c r="F53" s="4"/>
      <c r="G53" s="4"/>
      <c r="H53" s="72"/>
      <c r="I53" s="73"/>
      <c r="J53" s="74"/>
      <c r="K53" s="7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25"/>
      <c r="C54" s="25"/>
      <c r="D54" s="4"/>
      <c r="E54" s="4"/>
      <c r="F54" s="4"/>
      <c r="G54" s="4"/>
      <c r="H54" s="72"/>
      <c r="I54" s="73"/>
      <c r="J54" s="74"/>
      <c r="K54" s="7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25"/>
      <c r="C55" s="25"/>
      <c r="D55" s="4"/>
      <c r="E55" s="4"/>
      <c r="F55" s="4"/>
      <c r="G55" s="4"/>
      <c r="H55" s="72"/>
      <c r="I55" s="73"/>
      <c r="J55" s="74"/>
      <c r="K55" s="7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25"/>
      <c r="C56" s="25"/>
      <c r="D56" s="4"/>
      <c r="E56" s="4"/>
      <c r="F56" s="4"/>
      <c r="G56" s="4"/>
      <c r="H56" s="72"/>
      <c r="I56" s="73"/>
      <c r="J56" s="74"/>
      <c r="K56" s="7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25"/>
      <c r="C57" s="25"/>
      <c r="D57" s="4"/>
      <c r="E57" s="4"/>
      <c r="F57" s="4"/>
      <c r="G57" s="4"/>
      <c r="H57" s="72"/>
      <c r="I57" s="73"/>
      <c r="J57" s="74"/>
      <c r="K57" s="7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25"/>
      <c r="C58" s="25"/>
      <c r="D58" s="4"/>
      <c r="E58" s="4"/>
      <c r="F58" s="4"/>
      <c r="G58" s="4"/>
      <c r="H58" s="72"/>
      <c r="I58" s="73"/>
      <c r="J58" s="74"/>
      <c r="K58" s="7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25"/>
      <c r="C59" s="25"/>
      <c r="D59" s="4"/>
      <c r="E59" s="4"/>
      <c r="F59" s="4"/>
      <c r="G59" s="4"/>
      <c r="H59" s="72"/>
      <c r="I59" s="73"/>
      <c r="J59" s="74"/>
      <c r="K59" s="7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25"/>
      <c r="C60" s="25"/>
      <c r="D60" s="4"/>
      <c r="E60" s="4"/>
      <c r="F60" s="4"/>
      <c r="G60" s="4"/>
      <c r="H60" s="72"/>
      <c r="I60" s="73"/>
      <c r="J60" s="74"/>
      <c r="K60" s="7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25"/>
      <c r="C61" s="25"/>
      <c r="D61" s="4"/>
      <c r="E61" s="4"/>
      <c r="F61" s="4"/>
      <c r="G61" s="4"/>
      <c r="H61" s="72"/>
      <c r="I61" s="73"/>
      <c r="J61" s="74"/>
      <c r="K61" s="7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25"/>
      <c r="C62" s="25"/>
      <c r="D62" s="4"/>
      <c r="E62" s="4"/>
      <c r="F62" s="4"/>
      <c r="G62" s="4"/>
      <c r="H62" s="72"/>
      <c r="I62" s="73"/>
      <c r="J62" s="74"/>
      <c r="K62" s="7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25"/>
      <c r="C63" s="25"/>
      <c r="D63" s="4"/>
      <c r="E63" s="4"/>
      <c r="F63" s="4"/>
      <c r="G63" s="4"/>
      <c r="H63" s="72"/>
      <c r="I63" s="73"/>
      <c r="J63" s="74"/>
      <c r="K63" s="7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25"/>
      <c r="C64" s="25"/>
      <c r="D64" s="4"/>
      <c r="E64" s="4"/>
      <c r="F64" s="4"/>
      <c r="G64" s="4"/>
      <c r="H64" s="72"/>
      <c r="I64" s="73"/>
      <c r="J64" s="74"/>
      <c r="K64" s="7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25"/>
      <c r="C65" s="25"/>
      <c r="D65" s="4"/>
      <c r="E65" s="4"/>
      <c r="F65" s="4"/>
      <c r="G65" s="4"/>
      <c r="H65" s="72"/>
      <c r="I65" s="73"/>
      <c r="J65" s="74"/>
      <c r="K65" s="7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25"/>
      <c r="C66" s="25"/>
      <c r="D66" s="4"/>
      <c r="E66" s="4"/>
      <c r="F66" s="4"/>
      <c r="G66" s="4"/>
      <c r="H66" s="72"/>
      <c r="I66" s="73"/>
      <c r="J66" s="74"/>
      <c r="K66" s="7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25"/>
      <c r="C67" s="25"/>
      <c r="D67" s="4"/>
      <c r="E67" s="4"/>
      <c r="F67" s="4"/>
      <c r="G67" s="4"/>
      <c r="H67" s="72"/>
      <c r="I67" s="73"/>
      <c r="J67" s="74"/>
      <c r="K67" s="7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25"/>
      <c r="C68" s="25"/>
      <c r="D68" s="4"/>
      <c r="E68" s="4"/>
      <c r="F68" s="4"/>
      <c r="G68" s="4"/>
      <c r="H68" s="72"/>
      <c r="I68" s="73"/>
      <c r="J68" s="74"/>
      <c r="K68" s="7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25"/>
      <c r="C69" s="25"/>
      <c r="D69" s="4"/>
      <c r="E69" s="4"/>
      <c r="F69" s="4"/>
      <c r="G69" s="4"/>
      <c r="H69" s="72"/>
      <c r="I69" s="73"/>
      <c r="J69" s="74"/>
      <c r="K69" s="7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25"/>
      <c r="C70" s="25"/>
      <c r="D70" s="4"/>
      <c r="E70" s="4"/>
      <c r="F70" s="4"/>
      <c r="G70" s="4"/>
      <c r="H70" s="72"/>
      <c r="I70" s="73"/>
      <c r="J70" s="74"/>
      <c r="K70" s="7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25"/>
      <c r="C71" s="25"/>
      <c r="D71" s="4"/>
      <c r="E71" s="4"/>
      <c r="F71" s="4"/>
      <c r="G71" s="4"/>
      <c r="H71" s="72"/>
      <c r="I71" s="73"/>
      <c r="J71" s="74"/>
      <c r="K71" s="7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25"/>
      <c r="C72" s="25"/>
      <c r="D72" s="4"/>
      <c r="E72" s="4"/>
      <c r="F72" s="4"/>
      <c r="G72" s="4"/>
      <c r="H72" s="72"/>
      <c r="I72" s="73"/>
      <c r="J72" s="74"/>
      <c r="K72" s="7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25"/>
      <c r="C73" s="25"/>
      <c r="D73" s="4"/>
      <c r="E73" s="4"/>
      <c r="F73" s="4"/>
      <c r="G73" s="4"/>
      <c r="H73" s="72"/>
      <c r="I73" s="73"/>
      <c r="J73" s="74"/>
      <c r="K73" s="7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25"/>
      <c r="C74" s="25"/>
      <c r="D74" s="4"/>
      <c r="E74" s="4"/>
      <c r="F74" s="4"/>
      <c r="G74" s="4"/>
      <c r="H74" s="72"/>
      <c r="I74" s="73"/>
      <c r="J74" s="74"/>
      <c r="K74" s="7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25"/>
      <c r="C75" s="25"/>
      <c r="D75" s="4"/>
      <c r="E75" s="4"/>
      <c r="F75" s="4"/>
      <c r="G75" s="4"/>
      <c r="H75" s="72"/>
      <c r="I75" s="73"/>
      <c r="J75" s="74"/>
      <c r="K75" s="7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25"/>
      <c r="C76" s="25"/>
      <c r="D76" s="4"/>
      <c r="E76" s="4"/>
      <c r="F76" s="4"/>
      <c r="G76" s="4"/>
      <c r="H76" s="72"/>
      <c r="I76" s="73"/>
      <c r="J76" s="74"/>
      <c r="K76" s="7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25"/>
      <c r="C77" s="25"/>
      <c r="D77" s="4"/>
      <c r="E77" s="4"/>
      <c r="F77" s="4"/>
      <c r="G77" s="4"/>
      <c r="H77" s="72"/>
      <c r="I77" s="73"/>
      <c r="J77" s="74"/>
      <c r="K77" s="7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25"/>
      <c r="C78" s="25"/>
      <c r="D78" s="4"/>
      <c r="E78" s="4"/>
      <c r="F78" s="4"/>
      <c r="G78" s="4"/>
      <c r="H78" s="72"/>
      <c r="I78" s="73"/>
      <c r="J78" s="74"/>
      <c r="K78" s="7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25"/>
      <c r="C79" s="25"/>
      <c r="D79" s="4"/>
      <c r="E79" s="4"/>
      <c r="F79" s="4"/>
      <c r="G79" s="4"/>
      <c r="H79" s="72"/>
      <c r="I79" s="73"/>
      <c r="J79" s="74"/>
      <c r="K79" s="7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25"/>
      <c r="C80" s="25"/>
      <c r="D80" s="4"/>
      <c r="E80" s="4"/>
      <c r="F80" s="4"/>
      <c r="G80" s="4"/>
      <c r="H80" s="72"/>
      <c r="I80" s="73"/>
      <c r="J80" s="74"/>
      <c r="K80" s="7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25"/>
      <c r="C81" s="25"/>
      <c r="D81" s="4"/>
      <c r="E81" s="4"/>
      <c r="F81" s="4"/>
      <c r="G81" s="4"/>
      <c r="H81" s="72"/>
      <c r="I81" s="73"/>
      <c r="J81" s="74"/>
      <c r="K81" s="7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25"/>
      <c r="C82" s="25"/>
      <c r="D82" s="4"/>
      <c r="E82" s="4"/>
      <c r="F82" s="4"/>
      <c r="G82" s="4"/>
      <c r="H82" s="72"/>
      <c r="I82" s="73"/>
      <c r="J82" s="74"/>
      <c r="K82" s="7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25"/>
      <c r="C83" s="25"/>
      <c r="D83" s="4"/>
      <c r="E83" s="4"/>
      <c r="F83" s="4"/>
      <c r="G83" s="4"/>
      <c r="H83" s="72"/>
      <c r="I83" s="73"/>
      <c r="J83" s="74"/>
      <c r="K83" s="7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25"/>
      <c r="C84" s="25"/>
      <c r="D84" s="4"/>
      <c r="E84" s="4"/>
      <c r="F84" s="4"/>
      <c r="G84" s="4"/>
      <c r="H84" s="72"/>
      <c r="I84" s="73"/>
      <c r="J84" s="74"/>
      <c r="K84" s="7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25"/>
      <c r="C85" s="25"/>
      <c r="D85" s="4"/>
      <c r="E85" s="4"/>
      <c r="F85" s="4"/>
      <c r="G85" s="4"/>
      <c r="H85" s="72"/>
      <c r="I85" s="73"/>
      <c r="J85" s="74"/>
      <c r="K85" s="7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25"/>
      <c r="C86" s="25"/>
      <c r="D86" s="4"/>
      <c r="E86" s="4"/>
      <c r="F86" s="4"/>
      <c r="G86" s="4"/>
      <c r="H86" s="72"/>
      <c r="I86" s="73"/>
      <c r="J86" s="74"/>
      <c r="K86" s="7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25"/>
      <c r="C87" s="25"/>
      <c r="D87" s="4"/>
      <c r="E87" s="4"/>
      <c r="F87" s="4"/>
      <c r="G87" s="4"/>
      <c r="H87" s="72"/>
      <c r="I87" s="73"/>
      <c r="J87" s="74"/>
      <c r="K87" s="7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25"/>
      <c r="C88" s="25"/>
      <c r="D88" s="4"/>
      <c r="E88" s="4"/>
      <c r="F88" s="4"/>
      <c r="G88" s="4"/>
      <c r="H88" s="72"/>
      <c r="I88" s="73"/>
      <c r="J88" s="74"/>
      <c r="K88" s="7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25"/>
      <c r="C89" s="25"/>
      <c r="D89" s="4"/>
      <c r="E89" s="4"/>
      <c r="F89" s="4"/>
      <c r="G89" s="4"/>
      <c r="H89" s="72"/>
      <c r="I89" s="73"/>
      <c r="J89" s="74"/>
      <c r="K89" s="7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25"/>
      <c r="C90" s="25"/>
      <c r="D90" s="4"/>
      <c r="E90" s="4"/>
      <c r="F90" s="4"/>
      <c r="G90" s="4"/>
      <c r="H90" s="72"/>
      <c r="I90" s="73"/>
      <c r="J90" s="74"/>
      <c r="K90" s="7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25"/>
      <c r="C91" s="25"/>
      <c r="D91" s="4"/>
      <c r="E91" s="4"/>
      <c r="F91" s="4"/>
      <c r="G91" s="4"/>
      <c r="H91" s="72"/>
      <c r="I91" s="73"/>
      <c r="J91" s="74"/>
      <c r="K91" s="7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25"/>
      <c r="C92" s="25"/>
      <c r="D92" s="4"/>
      <c r="E92" s="4"/>
      <c r="F92" s="4"/>
      <c r="G92" s="4"/>
      <c r="H92" s="72"/>
      <c r="I92" s="73"/>
      <c r="J92" s="74"/>
      <c r="K92" s="7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25"/>
      <c r="C93" s="25"/>
      <c r="D93" s="4"/>
      <c r="E93" s="4"/>
      <c r="F93" s="4"/>
      <c r="G93" s="4"/>
      <c r="H93" s="72"/>
      <c r="I93" s="73"/>
      <c r="J93" s="74"/>
      <c r="K93" s="7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25"/>
      <c r="C94" s="25"/>
      <c r="D94" s="4"/>
      <c r="E94" s="4"/>
      <c r="F94" s="4"/>
      <c r="G94" s="4"/>
      <c r="H94" s="72"/>
      <c r="I94" s="73"/>
      <c r="J94" s="74"/>
      <c r="K94" s="7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25"/>
      <c r="C95" s="25"/>
      <c r="D95" s="4"/>
      <c r="E95" s="4"/>
      <c r="F95" s="4"/>
      <c r="G95" s="4"/>
      <c r="H95" s="72"/>
      <c r="I95" s="73"/>
      <c r="J95" s="74"/>
      <c r="K95" s="7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25"/>
      <c r="C96" s="25"/>
      <c r="D96" s="4"/>
      <c r="E96" s="4"/>
      <c r="F96" s="4"/>
      <c r="G96" s="4"/>
      <c r="H96" s="72"/>
      <c r="I96" s="73"/>
      <c r="J96" s="74"/>
      <c r="K96" s="7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25"/>
      <c r="C97" s="25"/>
      <c r="D97" s="4"/>
      <c r="E97" s="4"/>
      <c r="F97" s="4"/>
      <c r="G97" s="4"/>
      <c r="H97" s="72"/>
      <c r="I97" s="73"/>
      <c r="J97" s="74"/>
      <c r="K97" s="7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25"/>
      <c r="C98" s="25"/>
      <c r="D98" s="4"/>
      <c r="E98" s="4"/>
      <c r="F98" s="4"/>
      <c r="G98" s="4"/>
      <c r="H98" s="72"/>
      <c r="I98" s="73"/>
      <c r="J98" s="74"/>
      <c r="K98" s="7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25"/>
      <c r="C99" s="25"/>
      <c r="D99" s="4"/>
      <c r="E99" s="4"/>
      <c r="F99" s="4"/>
      <c r="G99" s="4"/>
      <c r="H99" s="72"/>
      <c r="I99" s="73"/>
      <c r="J99" s="74"/>
      <c r="K99" s="7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25"/>
      <c r="C100" s="25"/>
      <c r="D100" s="4"/>
      <c r="E100" s="4"/>
      <c r="F100" s="4"/>
      <c r="G100" s="4"/>
      <c r="H100" s="72"/>
      <c r="I100" s="73"/>
      <c r="J100" s="74"/>
      <c r="K100" s="7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25"/>
      <c r="C101" s="25"/>
      <c r="D101" s="4"/>
      <c r="E101" s="4"/>
      <c r="F101" s="4"/>
      <c r="G101" s="4"/>
      <c r="H101" s="72"/>
      <c r="I101" s="73"/>
      <c r="J101" s="74"/>
      <c r="K101" s="7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25"/>
      <c r="C102" s="25"/>
      <c r="D102" s="4"/>
      <c r="E102" s="4"/>
      <c r="F102" s="4"/>
      <c r="G102" s="4"/>
      <c r="H102" s="72"/>
      <c r="I102" s="73"/>
      <c r="J102" s="74"/>
      <c r="K102" s="7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25"/>
      <c r="C103" s="25"/>
      <c r="D103" s="4"/>
      <c r="E103" s="4"/>
      <c r="F103" s="4"/>
      <c r="G103" s="4"/>
      <c r="H103" s="72"/>
      <c r="I103" s="73"/>
      <c r="J103" s="74"/>
      <c r="K103" s="7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25"/>
      <c r="C104" s="25"/>
      <c r="D104" s="4"/>
      <c r="E104" s="4"/>
      <c r="F104" s="4"/>
      <c r="G104" s="4"/>
      <c r="H104" s="72"/>
      <c r="I104" s="73"/>
      <c r="J104" s="74"/>
      <c r="K104" s="7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25"/>
      <c r="C105" s="25"/>
      <c r="D105" s="4"/>
      <c r="E105" s="4"/>
      <c r="F105" s="4"/>
      <c r="G105" s="4"/>
      <c r="H105" s="72"/>
      <c r="I105" s="73"/>
      <c r="J105" s="74"/>
      <c r="K105" s="7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25"/>
      <c r="C106" s="25"/>
      <c r="D106" s="4"/>
      <c r="E106" s="4"/>
      <c r="F106" s="4"/>
      <c r="G106" s="4"/>
      <c r="H106" s="72"/>
      <c r="I106" s="73"/>
      <c r="J106" s="74"/>
      <c r="K106" s="7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25"/>
      <c r="C107" s="25"/>
      <c r="D107" s="4"/>
      <c r="E107" s="4"/>
      <c r="F107" s="4"/>
      <c r="G107" s="4"/>
      <c r="H107" s="72"/>
      <c r="I107" s="73"/>
      <c r="J107" s="74"/>
      <c r="K107" s="7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25"/>
      <c r="C108" s="25"/>
      <c r="D108" s="4"/>
      <c r="E108" s="4"/>
      <c r="F108" s="4"/>
      <c r="G108" s="4"/>
      <c r="H108" s="72"/>
      <c r="I108" s="73"/>
      <c r="J108" s="74"/>
      <c r="K108" s="7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25"/>
      <c r="C109" s="25"/>
      <c r="D109" s="4"/>
      <c r="E109" s="4"/>
      <c r="F109" s="4"/>
      <c r="G109" s="4"/>
      <c r="H109" s="72"/>
      <c r="I109" s="73"/>
      <c r="J109" s="74"/>
      <c r="K109" s="7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25"/>
      <c r="C110" s="25"/>
      <c r="D110" s="4"/>
      <c r="E110" s="4"/>
      <c r="F110" s="4"/>
      <c r="G110" s="4"/>
      <c r="H110" s="72"/>
      <c r="I110" s="73"/>
      <c r="J110" s="74"/>
      <c r="K110" s="7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25"/>
      <c r="C111" s="25"/>
      <c r="D111" s="4"/>
      <c r="E111" s="4"/>
      <c r="F111" s="4"/>
      <c r="G111" s="4"/>
      <c r="H111" s="72"/>
      <c r="I111" s="73"/>
      <c r="J111" s="74"/>
      <c r="K111" s="7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25"/>
      <c r="C112" s="25"/>
      <c r="D112" s="4"/>
      <c r="E112" s="4"/>
      <c r="F112" s="4"/>
      <c r="G112" s="4"/>
      <c r="H112" s="72"/>
      <c r="I112" s="73"/>
      <c r="J112" s="74"/>
      <c r="K112" s="7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25"/>
      <c r="C113" s="25"/>
      <c r="D113" s="4"/>
      <c r="E113" s="4"/>
      <c r="F113" s="4"/>
      <c r="G113" s="4"/>
      <c r="H113" s="72"/>
      <c r="I113" s="73"/>
      <c r="J113" s="74"/>
      <c r="K113" s="7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25"/>
      <c r="C114" s="25"/>
      <c r="D114" s="4"/>
      <c r="E114" s="4"/>
      <c r="F114" s="4"/>
      <c r="G114" s="4"/>
      <c r="H114" s="72"/>
      <c r="I114" s="73"/>
      <c r="J114" s="74"/>
      <c r="K114" s="7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25"/>
      <c r="C115" s="25"/>
      <c r="D115" s="4"/>
      <c r="E115" s="4"/>
      <c r="F115" s="4"/>
      <c r="G115" s="4"/>
      <c r="H115" s="72"/>
      <c r="I115" s="73"/>
      <c r="J115" s="74"/>
      <c r="K115" s="7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25"/>
      <c r="C116" s="25"/>
      <c r="D116" s="4"/>
      <c r="E116" s="4"/>
      <c r="F116" s="4"/>
      <c r="G116" s="4"/>
      <c r="H116" s="72"/>
      <c r="I116" s="73"/>
      <c r="J116" s="74"/>
      <c r="K116" s="7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25"/>
      <c r="C117" s="25"/>
      <c r="D117" s="4"/>
      <c r="E117" s="4"/>
      <c r="F117" s="4"/>
      <c r="G117" s="4"/>
      <c r="H117" s="72"/>
      <c r="I117" s="73"/>
      <c r="J117" s="74"/>
      <c r="K117" s="7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25"/>
      <c r="C118" s="25"/>
      <c r="D118" s="4"/>
      <c r="E118" s="4"/>
      <c r="F118" s="4"/>
      <c r="G118" s="4"/>
      <c r="H118" s="72"/>
      <c r="I118" s="73"/>
      <c r="J118" s="74"/>
      <c r="K118" s="7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25"/>
      <c r="C119" s="25"/>
      <c r="D119" s="4"/>
      <c r="E119" s="4"/>
      <c r="F119" s="4"/>
      <c r="G119" s="4"/>
      <c r="H119" s="72"/>
      <c r="I119" s="73"/>
      <c r="J119" s="74"/>
      <c r="K119" s="7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25"/>
      <c r="C120" s="25"/>
      <c r="D120" s="4"/>
      <c r="E120" s="4"/>
      <c r="F120" s="4"/>
      <c r="G120" s="4"/>
      <c r="H120" s="72"/>
      <c r="I120" s="73"/>
      <c r="J120" s="74"/>
      <c r="K120" s="7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25"/>
      <c r="C121" s="25"/>
      <c r="D121" s="4"/>
      <c r="E121" s="4"/>
      <c r="F121" s="4"/>
      <c r="G121" s="4"/>
      <c r="H121" s="72"/>
      <c r="I121" s="73"/>
      <c r="J121" s="74"/>
      <c r="K121" s="7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25"/>
      <c r="C122" s="25"/>
      <c r="D122" s="4"/>
      <c r="E122" s="4"/>
      <c r="F122" s="4"/>
      <c r="G122" s="4"/>
      <c r="H122" s="72"/>
      <c r="I122" s="73"/>
      <c r="J122" s="74"/>
      <c r="K122" s="7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25"/>
      <c r="C123" s="25"/>
      <c r="D123" s="4"/>
      <c r="E123" s="4"/>
      <c r="F123" s="4"/>
      <c r="G123" s="4"/>
      <c r="H123" s="72"/>
      <c r="I123" s="73"/>
      <c r="J123" s="74"/>
      <c r="K123" s="7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25"/>
      <c r="C124" s="25"/>
      <c r="D124" s="4"/>
      <c r="E124" s="4"/>
      <c r="F124" s="4"/>
      <c r="G124" s="4"/>
      <c r="H124" s="72"/>
      <c r="I124" s="73"/>
      <c r="J124" s="74"/>
      <c r="K124" s="7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25"/>
      <c r="C125" s="25"/>
      <c r="D125" s="4"/>
      <c r="E125" s="4"/>
      <c r="F125" s="4"/>
      <c r="G125" s="4"/>
      <c r="H125" s="72"/>
      <c r="I125" s="73"/>
      <c r="J125" s="74"/>
      <c r="K125" s="7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25"/>
      <c r="C126" s="25"/>
      <c r="D126" s="4"/>
      <c r="E126" s="4"/>
      <c r="F126" s="4"/>
      <c r="G126" s="4"/>
      <c r="H126" s="72"/>
      <c r="I126" s="73"/>
      <c r="J126" s="74"/>
      <c r="K126" s="7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25"/>
      <c r="C127" s="25"/>
      <c r="D127" s="4"/>
      <c r="E127" s="4"/>
      <c r="F127" s="4"/>
      <c r="G127" s="4"/>
      <c r="H127" s="72"/>
      <c r="I127" s="73"/>
      <c r="J127" s="74"/>
      <c r="K127" s="7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25"/>
      <c r="C128" s="25"/>
      <c r="D128" s="4"/>
      <c r="E128" s="4"/>
      <c r="F128" s="4"/>
      <c r="G128" s="4"/>
      <c r="H128" s="72"/>
      <c r="I128" s="73"/>
      <c r="J128" s="74"/>
      <c r="K128" s="7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25"/>
      <c r="C129" s="25"/>
      <c r="D129" s="4"/>
      <c r="E129" s="4"/>
      <c r="F129" s="4"/>
      <c r="G129" s="4"/>
      <c r="H129" s="72"/>
      <c r="I129" s="73"/>
      <c r="J129" s="74"/>
      <c r="K129" s="7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25"/>
      <c r="C130" s="25"/>
      <c r="D130" s="4"/>
      <c r="E130" s="4"/>
      <c r="F130" s="4"/>
      <c r="G130" s="4"/>
      <c r="H130" s="72"/>
      <c r="I130" s="73"/>
      <c r="J130" s="74"/>
      <c r="K130" s="7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25"/>
      <c r="C131" s="25"/>
      <c r="D131" s="4"/>
      <c r="E131" s="4"/>
      <c r="F131" s="4"/>
      <c r="G131" s="4"/>
      <c r="H131" s="72"/>
      <c r="I131" s="73"/>
      <c r="J131" s="74"/>
      <c r="K131" s="7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25"/>
      <c r="C132" s="25"/>
      <c r="D132" s="4"/>
      <c r="E132" s="4"/>
      <c r="F132" s="4"/>
      <c r="G132" s="4"/>
      <c r="H132" s="72"/>
      <c r="I132" s="73"/>
      <c r="J132" s="74"/>
      <c r="K132" s="7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25"/>
      <c r="C133" s="25"/>
      <c r="D133" s="4"/>
      <c r="E133" s="4"/>
      <c r="F133" s="4"/>
      <c r="G133" s="4"/>
      <c r="H133" s="72"/>
      <c r="I133" s="73"/>
      <c r="J133" s="74"/>
      <c r="K133" s="7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25"/>
      <c r="C134" s="25"/>
      <c r="D134" s="4"/>
      <c r="E134" s="4"/>
      <c r="F134" s="4"/>
      <c r="G134" s="4"/>
      <c r="H134" s="72"/>
      <c r="I134" s="73"/>
      <c r="J134" s="74"/>
      <c r="K134" s="7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25"/>
      <c r="C135" s="25"/>
      <c r="D135" s="4"/>
      <c r="E135" s="4"/>
      <c r="F135" s="4"/>
      <c r="G135" s="4"/>
      <c r="H135" s="72"/>
      <c r="I135" s="73"/>
      <c r="J135" s="74"/>
      <c r="K135" s="7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25"/>
      <c r="C136" s="25"/>
      <c r="D136" s="4"/>
      <c r="E136" s="4"/>
      <c r="F136" s="4"/>
      <c r="G136" s="4"/>
      <c r="H136" s="72"/>
      <c r="I136" s="73"/>
      <c r="J136" s="74"/>
      <c r="K136" s="7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25"/>
      <c r="C137" s="25"/>
      <c r="D137" s="4"/>
      <c r="E137" s="4"/>
      <c r="F137" s="4"/>
      <c r="G137" s="4"/>
      <c r="H137" s="72"/>
      <c r="I137" s="73"/>
      <c r="J137" s="74"/>
      <c r="K137" s="7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25"/>
      <c r="C138" s="25"/>
      <c r="D138" s="4"/>
      <c r="E138" s="4"/>
      <c r="F138" s="4"/>
      <c r="G138" s="4"/>
      <c r="H138" s="72"/>
      <c r="I138" s="73"/>
      <c r="J138" s="74"/>
      <c r="K138" s="7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25"/>
      <c r="C139" s="25"/>
      <c r="D139" s="4"/>
      <c r="E139" s="4"/>
      <c r="F139" s="4"/>
      <c r="G139" s="4"/>
      <c r="H139" s="72"/>
      <c r="I139" s="73"/>
      <c r="J139" s="74"/>
      <c r="K139" s="7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25"/>
      <c r="C140" s="25"/>
      <c r="D140" s="4"/>
      <c r="E140" s="4"/>
      <c r="F140" s="4"/>
      <c r="G140" s="4"/>
      <c r="H140" s="72"/>
      <c r="I140" s="73"/>
      <c r="J140" s="74"/>
      <c r="K140" s="7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25"/>
      <c r="C141" s="25"/>
      <c r="D141" s="4"/>
      <c r="E141" s="4"/>
      <c r="F141" s="4"/>
      <c r="G141" s="4"/>
      <c r="H141" s="72"/>
      <c r="I141" s="73"/>
      <c r="J141" s="74"/>
      <c r="K141" s="7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25"/>
      <c r="C142" s="25"/>
      <c r="D142" s="4"/>
      <c r="E142" s="4"/>
      <c r="F142" s="4"/>
      <c r="G142" s="4"/>
      <c r="H142" s="72"/>
      <c r="I142" s="73"/>
      <c r="J142" s="74"/>
      <c r="K142" s="7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25"/>
      <c r="C143" s="25"/>
      <c r="D143" s="4"/>
      <c r="E143" s="4"/>
      <c r="F143" s="4"/>
      <c r="G143" s="4"/>
      <c r="H143" s="72"/>
      <c r="I143" s="73"/>
      <c r="J143" s="74"/>
      <c r="K143" s="7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25"/>
      <c r="C144" s="25"/>
      <c r="D144" s="4"/>
      <c r="E144" s="4"/>
      <c r="F144" s="4"/>
      <c r="G144" s="4"/>
      <c r="H144" s="72"/>
      <c r="I144" s="73"/>
      <c r="J144" s="74"/>
      <c r="K144" s="7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25"/>
      <c r="C145" s="25"/>
      <c r="D145" s="4"/>
      <c r="E145" s="4"/>
      <c r="F145" s="4"/>
      <c r="G145" s="4"/>
      <c r="H145" s="72"/>
      <c r="I145" s="73"/>
      <c r="J145" s="74"/>
      <c r="K145" s="7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25"/>
      <c r="C146" s="25"/>
      <c r="D146" s="4"/>
      <c r="E146" s="4"/>
      <c r="F146" s="4"/>
      <c r="G146" s="4"/>
      <c r="H146" s="72"/>
      <c r="I146" s="73"/>
      <c r="J146" s="74"/>
      <c r="K146" s="7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25"/>
      <c r="C147" s="25"/>
      <c r="D147" s="4"/>
      <c r="E147" s="4"/>
      <c r="F147" s="4"/>
      <c r="G147" s="4"/>
      <c r="H147" s="72"/>
      <c r="I147" s="73"/>
      <c r="J147" s="74"/>
      <c r="K147" s="7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25"/>
      <c r="C148" s="25"/>
      <c r="D148" s="4"/>
      <c r="E148" s="4"/>
      <c r="F148" s="4"/>
      <c r="G148" s="4"/>
      <c r="H148" s="72"/>
      <c r="I148" s="73"/>
      <c r="J148" s="74"/>
      <c r="K148" s="7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25"/>
      <c r="C149" s="25"/>
      <c r="D149" s="4"/>
      <c r="E149" s="4"/>
      <c r="F149" s="4"/>
      <c r="G149" s="4"/>
      <c r="H149" s="72"/>
      <c r="I149" s="73"/>
      <c r="J149" s="74"/>
      <c r="K149" s="7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25"/>
      <c r="C150" s="25"/>
      <c r="D150" s="4"/>
      <c r="E150" s="4"/>
      <c r="F150" s="4"/>
      <c r="G150" s="4"/>
      <c r="H150" s="72"/>
      <c r="I150" s="73"/>
      <c r="J150" s="74"/>
      <c r="K150" s="7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25"/>
      <c r="C151" s="25"/>
      <c r="D151" s="4"/>
      <c r="E151" s="4"/>
      <c r="F151" s="4"/>
      <c r="G151" s="4"/>
      <c r="H151" s="72"/>
      <c r="I151" s="73"/>
      <c r="J151" s="74"/>
      <c r="K151" s="7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25"/>
      <c r="C152" s="25"/>
      <c r="D152" s="4"/>
      <c r="E152" s="4"/>
      <c r="F152" s="4"/>
      <c r="G152" s="4"/>
      <c r="H152" s="72"/>
      <c r="I152" s="73"/>
      <c r="J152" s="74"/>
      <c r="K152" s="7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25"/>
      <c r="C153" s="25"/>
      <c r="D153" s="4"/>
      <c r="E153" s="4"/>
      <c r="F153" s="4"/>
      <c r="G153" s="4"/>
      <c r="H153" s="72"/>
      <c r="I153" s="73"/>
      <c r="J153" s="74"/>
      <c r="K153" s="7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25"/>
      <c r="C154" s="25"/>
      <c r="D154" s="4"/>
      <c r="E154" s="4"/>
      <c r="F154" s="4"/>
      <c r="G154" s="4"/>
      <c r="H154" s="72"/>
      <c r="I154" s="73"/>
      <c r="J154" s="74"/>
      <c r="K154" s="7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25"/>
      <c r="C155" s="25"/>
      <c r="D155" s="4"/>
      <c r="E155" s="4"/>
      <c r="F155" s="4"/>
      <c r="G155" s="4"/>
      <c r="H155" s="72"/>
      <c r="I155" s="73"/>
      <c r="J155" s="74"/>
      <c r="K155" s="7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25"/>
      <c r="C156" s="25"/>
      <c r="D156" s="4"/>
      <c r="E156" s="4"/>
      <c r="F156" s="4"/>
      <c r="G156" s="4"/>
      <c r="H156" s="72"/>
      <c r="I156" s="73"/>
      <c r="J156" s="74"/>
      <c r="K156" s="7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25"/>
      <c r="C157" s="25"/>
      <c r="D157" s="4"/>
      <c r="E157" s="4"/>
      <c r="F157" s="4"/>
      <c r="G157" s="4"/>
      <c r="H157" s="72"/>
      <c r="I157" s="73"/>
      <c r="J157" s="74"/>
      <c r="K157" s="7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25"/>
      <c r="C158" s="25"/>
      <c r="D158" s="4"/>
      <c r="E158" s="4"/>
      <c r="F158" s="4"/>
      <c r="G158" s="4"/>
      <c r="H158" s="72"/>
      <c r="I158" s="73"/>
      <c r="J158" s="74"/>
      <c r="K158" s="7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25"/>
      <c r="C159" s="25"/>
      <c r="D159" s="4"/>
      <c r="E159" s="4"/>
      <c r="F159" s="4"/>
      <c r="G159" s="4"/>
      <c r="H159" s="72"/>
      <c r="I159" s="73"/>
      <c r="J159" s="74"/>
      <c r="K159" s="7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25"/>
      <c r="C160" s="25"/>
      <c r="D160" s="4"/>
      <c r="E160" s="4"/>
      <c r="F160" s="4"/>
      <c r="G160" s="4"/>
      <c r="H160" s="72"/>
      <c r="I160" s="73"/>
      <c r="J160" s="74"/>
      <c r="K160" s="7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25"/>
      <c r="C161" s="25"/>
      <c r="D161" s="4"/>
      <c r="E161" s="4"/>
      <c r="F161" s="4"/>
      <c r="G161" s="4"/>
      <c r="H161" s="72"/>
      <c r="I161" s="73"/>
      <c r="J161" s="74"/>
      <c r="K161" s="7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25"/>
      <c r="C162" s="25"/>
      <c r="D162" s="4"/>
      <c r="E162" s="4"/>
      <c r="F162" s="4"/>
      <c r="G162" s="4"/>
      <c r="H162" s="72"/>
      <c r="I162" s="73"/>
      <c r="J162" s="74"/>
      <c r="K162" s="7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25"/>
      <c r="C163" s="25"/>
      <c r="D163" s="4"/>
      <c r="E163" s="4"/>
      <c r="F163" s="4"/>
      <c r="G163" s="4"/>
      <c r="H163" s="72"/>
      <c r="I163" s="73"/>
      <c r="J163" s="74"/>
      <c r="K163" s="7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25"/>
      <c r="C164" s="25"/>
      <c r="D164" s="4"/>
      <c r="E164" s="4"/>
      <c r="F164" s="4"/>
      <c r="G164" s="4"/>
      <c r="H164" s="72"/>
      <c r="I164" s="73"/>
      <c r="J164" s="74"/>
      <c r="K164" s="7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25"/>
      <c r="C165" s="25"/>
      <c r="D165" s="4"/>
      <c r="E165" s="4"/>
      <c r="F165" s="4"/>
      <c r="G165" s="4"/>
      <c r="H165" s="72"/>
      <c r="I165" s="73"/>
      <c r="J165" s="74"/>
      <c r="K165" s="7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25"/>
      <c r="C166" s="25"/>
      <c r="D166" s="4"/>
      <c r="E166" s="4"/>
      <c r="F166" s="4"/>
      <c r="G166" s="4"/>
      <c r="H166" s="72"/>
      <c r="I166" s="73"/>
      <c r="J166" s="74"/>
      <c r="K166" s="7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25"/>
      <c r="C167" s="25"/>
      <c r="D167" s="4"/>
      <c r="E167" s="4"/>
      <c r="F167" s="4"/>
      <c r="G167" s="4"/>
      <c r="H167" s="72"/>
      <c r="I167" s="73"/>
      <c r="J167" s="74"/>
      <c r="K167" s="7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25"/>
      <c r="C168" s="25"/>
      <c r="D168" s="4"/>
      <c r="E168" s="4"/>
      <c r="F168" s="4"/>
      <c r="G168" s="4"/>
      <c r="H168" s="72"/>
      <c r="I168" s="73"/>
      <c r="J168" s="74"/>
      <c r="K168" s="7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25"/>
      <c r="C169" s="25"/>
      <c r="D169" s="4"/>
      <c r="E169" s="4"/>
      <c r="F169" s="4"/>
      <c r="G169" s="4"/>
      <c r="H169" s="72"/>
      <c r="I169" s="73"/>
      <c r="J169" s="74"/>
      <c r="K169" s="7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25"/>
      <c r="C170" s="25"/>
      <c r="D170" s="4"/>
      <c r="E170" s="4"/>
      <c r="F170" s="4"/>
      <c r="G170" s="4"/>
      <c r="H170" s="72"/>
      <c r="I170" s="73"/>
      <c r="J170" s="74"/>
      <c r="K170" s="7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25"/>
      <c r="C171" s="25"/>
      <c r="D171" s="4"/>
      <c r="E171" s="4"/>
      <c r="F171" s="4"/>
      <c r="G171" s="4"/>
      <c r="H171" s="72"/>
      <c r="I171" s="73"/>
      <c r="J171" s="74"/>
      <c r="K171" s="7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25"/>
      <c r="C172" s="25"/>
      <c r="D172" s="4"/>
      <c r="E172" s="4"/>
      <c r="F172" s="4"/>
      <c r="G172" s="4"/>
      <c r="H172" s="72"/>
      <c r="I172" s="73"/>
      <c r="J172" s="74"/>
      <c r="K172" s="7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25"/>
      <c r="C173" s="25"/>
      <c r="D173" s="4"/>
      <c r="E173" s="4"/>
      <c r="F173" s="4"/>
      <c r="G173" s="4"/>
      <c r="H173" s="72"/>
      <c r="I173" s="73"/>
      <c r="J173" s="74"/>
      <c r="K173" s="7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25"/>
      <c r="C174" s="25"/>
      <c r="D174" s="4"/>
      <c r="E174" s="4"/>
      <c r="F174" s="4"/>
      <c r="G174" s="4"/>
      <c r="H174" s="72"/>
      <c r="I174" s="73"/>
      <c r="J174" s="74"/>
      <c r="K174" s="7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25"/>
      <c r="C175" s="25"/>
      <c r="D175" s="4"/>
      <c r="E175" s="4"/>
      <c r="F175" s="4"/>
      <c r="G175" s="4"/>
      <c r="H175" s="72"/>
      <c r="I175" s="73"/>
      <c r="J175" s="74"/>
      <c r="K175" s="7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25"/>
      <c r="C176" s="25"/>
      <c r="D176" s="4"/>
      <c r="E176" s="4"/>
      <c r="F176" s="4"/>
      <c r="G176" s="4"/>
      <c r="H176" s="72"/>
      <c r="I176" s="73"/>
      <c r="J176" s="74"/>
      <c r="K176" s="7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25"/>
      <c r="C177" s="25"/>
      <c r="D177" s="4"/>
      <c r="E177" s="4"/>
      <c r="F177" s="4"/>
      <c r="G177" s="4"/>
      <c r="H177" s="72"/>
      <c r="I177" s="73"/>
      <c r="J177" s="74"/>
      <c r="K177" s="7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25"/>
      <c r="C178" s="25"/>
      <c r="D178" s="4"/>
      <c r="E178" s="4"/>
      <c r="F178" s="4"/>
      <c r="G178" s="4"/>
      <c r="H178" s="72"/>
      <c r="I178" s="73"/>
      <c r="J178" s="74"/>
      <c r="K178" s="7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25"/>
      <c r="C179" s="25"/>
      <c r="D179" s="4"/>
      <c r="E179" s="4"/>
      <c r="F179" s="4"/>
      <c r="G179" s="4"/>
      <c r="H179" s="72"/>
      <c r="I179" s="73"/>
      <c r="J179" s="74"/>
      <c r="K179" s="7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25"/>
      <c r="C180" s="25"/>
      <c r="D180" s="4"/>
      <c r="E180" s="4"/>
      <c r="F180" s="4"/>
      <c r="G180" s="4"/>
      <c r="H180" s="72"/>
      <c r="I180" s="73"/>
      <c r="J180" s="74"/>
      <c r="K180" s="7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25"/>
      <c r="C181" s="25"/>
      <c r="D181" s="4"/>
      <c r="E181" s="4"/>
      <c r="F181" s="4"/>
      <c r="G181" s="4"/>
      <c r="H181" s="72"/>
      <c r="I181" s="73"/>
      <c r="J181" s="74"/>
      <c r="K181" s="7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25"/>
      <c r="C182" s="25"/>
      <c r="D182" s="4"/>
      <c r="E182" s="4"/>
      <c r="F182" s="4"/>
      <c r="G182" s="4"/>
      <c r="H182" s="72"/>
      <c r="I182" s="73"/>
      <c r="J182" s="74"/>
      <c r="K182" s="7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25"/>
      <c r="C183" s="25"/>
      <c r="D183" s="4"/>
      <c r="E183" s="4"/>
      <c r="F183" s="4"/>
      <c r="G183" s="4"/>
      <c r="H183" s="72"/>
      <c r="I183" s="73"/>
      <c r="J183" s="74"/>
      <c r="K183" s="7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25"/>
      <c r="C184" s="25"/>
      <c r="D184" s="4"/>
      <c r="E184" s="4"/>
      <c r="F184" s="4"/>
      <c r="G184" s="4"/>
      <c r="H184" s="72"/>
      <c r="I184" s="73"/>
      <c r="J184" s="74"/>
      <c r="K184" s="7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25"/>
      <c r="C185" s="25"/>
      <c r="D185" s="4"/>
      <c r="E185" s="4"/>
      <c r="F185" s="4"/>
      <c r="G185" s="4"/>
      <c r="H185" s="72"/>
      <c r="I185" s="73"/>
      <c r="J185" s="74"/>
      <c r="K185" s="7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25"/>
      <c r="C186" s="25"/>
      <c r="D186" s="4"/>
      <c r="E186" s="4"/>
      <c r="F186" s="4"/>
      <c r="G186" s="4"/>
      <c r="H186" s="72"/>
      <c r="I186" s="73"/>
      <c r="J186" s="74"/>
      <c r="K186" s="7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25"/>
      <c r="C187" s="25"/>
      <c r="D187" s="4"/>
      <c r="E187" s="4"/>
      <c r="F187" s="4"/>
      <c r="G187" s="4"/>
      <c r="H187" s="72"/>
      <c r="I187" s="73"/>
      <c r="J187" s="74"/>
      <c r="K187" s="7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25"/>
      <c r="C188" s="25"/>
      <c r="D188" s="4"/>
      <c r="E188" s="4"/>
      <c r="F188" s="4"/>
      <c r="G188" s="4"/>
      <c r="H188" s="72"/>
      <c r="I188" s="73"/>
      <c r="J188" s="74"/>
      <c r="K188" s="7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25"/>
      <c r="C189" s="25"/>
      <c r="D189" s="4"/>
      <c r="E189" s="4"/>
      <c r="F189" s="4"/>
      <c r="G189" s="4"/>
      <c r="H189" s="72"/>
      <c r="I189" s="73"/>
      <c r="J189" s="74"/>
      <c r="K189" s="7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25"/>
      <c r="C190" s="25"/>
      <c r="D190" s="4"/>
      <c r="E190" s="4"/>
      <c r="F190" s="4"/>
      <c r="G190" s="4"/>
      <c r="H190" s="72"/>
      <c r="I190" s="73"/>
      <c r="J190" s="74"/>
      <c r="K190" s="7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25"/>
      <c r="C191" s="25"/>
      <c r="D191" s="4"/>
      <c r="E191" s="4"/>
      <c r="F191" s="4"/>
      <c r="G191" s="4"/>
      <c r="H191" s="72"/>
      <c r="I191" s="73"/>
      <c r="J191" s="74"/>
      <c r="K191" s="7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25"/>
      <c r="C192" s="25"/>
      <c r="D192" s="4"/>
      <c r="E192" s="4"/>
      <c r="F192" s="4"/>
      <c r="G192" s="4"/>
      <c r="H192" s="72"/>
      <c r="I192" s="73"/>
      <c r="J192" s="74"/>
      <c r="K192" s="7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25"/>
      <c r="C193" s="25"/>
      <c r="D193" s="4"/>
      <c r="E193" s="4"/>
      <c r="F193" s="4"/>
      <c r="G193" s="4"/>
      <c r="H193" s="72"/>
      <c r="I193" s="73"/>
      <c r="J193" s="74"/>
      <c r="K193" s="7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25"/>
      <c r="C194" s="25"/>
      <c r="D194" s="4"/>
      <c r="E194" s="4"/>
      <c r="F194" s="4"/>
      <c r="G194" s="4"/>
      <c r="H194" s="72"/>
      <c r="I194" s="73"/>
      <c r="J194" s="74"/>
      <c r="K194" s="7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25"/>
      <c r="C195" s="25"/>
      <c r="D195" s="4"/>
      <c r="E195" s="4"/>
      <c r="F195" s="4"/>
      <c r="G195" s="4"/>
      <c r="H195" s="72"/>
      <c r="I195" s="73"/>
      <c r="J195" s="74"/>
      <c r="K195" s="7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25"/>
      <c r="C196" s="25"/>
      <c r="D196" s="4"/>
      <c r="E196" s="4"/>
      <c r="F196" s="4"/>
      <c r="G196" s="4"/>
      <c r="H196" s="72"/>
      <c r="I196" s="73"/>
      <c r="J196" s="74"/>
      <c r="K196" s="7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25"/>
      <c r="C197" s="25"/>
      <c r="D197" s="4"/>
      <c r="E197" s="4"/>
      <c r="F197" s="4"/>
      <c r="G197" s="4"/>
      <c r="H197" s="72"/>
      <c r="I197" s="73"/>
      <c r="J197" s="74"/>
      <c r="K197" s="7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25"/>
      <c r="C198" s="25"/>
      <c r="D198" s="4"/>
      <c r="E198" s="4"/>
      <c r="F198" s="4"/>
      <c r="G198" s="4"/>
      <c r="H198" s="72"/>
      <c r="I198" s="73"/>
      <c r="J198" s="74"/>
      <c r="K198" s="7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25"/>
      <c r="C199" s="25"/>
      <c r="D199" s="4"/>
      <c r="E199" s="4"/>
      <c r="F199" s="4"/>
      <c r="G199" s="4"/>
      <c r="H199" s="72"/>
      <c r="I199" s="73"/>
      <c r="J199" s="74"/>
      <c r="K199" s="7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25"/>
      <c r="C200" s="25"/>
      <c r="D200" s="4"/>
      <c r="E200" s="4"/>
      <c r="F200" s="4"/>
      <c r="G200" s="4"/>
      <c r="H200" s="72"/>
      <c r="I200" s="73"/>
      <c r="J200" s="74"/>
      <c r="K200" s="7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25"/>
      <c r="C201" s="25"/>
      <c r="D201" s="4"/>
      <c r="E201" s="4"/>
      <c r="F201" s="4"/>
      <c r="G201" s="4"/>
      <c r="H201" s="72"/>
      <c r="I201" s="73"/>
      <c r="J201" s="74"/>
      <c r="K201" s="7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25"/>
      <c r="C202" s="25"/>
      <c r="D202" s="4"/>
      <c r="E202" s="4"/>
      <c r="F202" s="4"/>
      <c r="G202" s="4"/>
      <c r="H202" s="72"/>
      <c r="I202" s="73"/>
      <c r="J202" s="74"/>
      <c r="K202" s="7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25"/>
      <c r="C203" s="25"/>
      <c r="D203" s="4"/>
      <c r="E203" s="4"/>
      <c r="F203" s="4"/>
      <c r="G203" s="4"/>
      <c r="H203" s="72"/>
      <c r="I203" s="73"/>
      <c r="J203" s="74"/>
      <c r="K203" s="7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25"/>
      <c r="C204" s="25"/>
      <c r="D204" s="4"/>
      <c r="E204" s="4"/>
      <c r="F204" s="4"/>
      <c r="G204" s="4"/>
      <c r="H204" s="72"/>
      <c r="I204" s="73"/>
      <c r="J204" s="74"/>
      <c r="K204" s="7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25"/>
      <c r="C205" s="25"/>
      <c r="D205" s="4"/>
      <c r="E205" s="4"/>
      <c r="F205" s="4"/>
      <c r="G205" s="4"/>
      <c r="H205" s="72"/>
      <c r="I205" s="73"/>
      <c r="J205" s="74"/>
      <c r="K205" s="7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25"/>
      <c r="C206" s="25"/>
      <c r="D206" s="4"/>
      <c r="E206" s="4"/>
      <c r="F206" s="4"/>
      <c r="G206" s="4"/>
      <c r="H206" s="72"/>
      <c r="I206" s="73"/>
      <c r="J206" s="74"/>
      <c r="K206" s="7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25"/>
      <c r="C207" s="25"/>
      <c r="D207" s="4"/>
      <c r="E207" s="4"/>
      <c r="F207" s="4"/>
      <c r="G207" s="4"/>
      <c r="H207" s="72"/>
      <c r="I207" s="73"/>
      <c r="J207" s="74"/>
      <c r="K207" s="7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25"/>
      <c r="C208" s="25"/>
      <c r="D208" s="4"/>
      <c r="E208" s="4"/>
      <c r="F208" s="4"/>
      <c r="G208" s="4"/>
      <c r="H208" s="72"/>
      <c r="I208" s="73"/>
      <c r="J208" s="74"/>
      <c r="K208" s="7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25"/>
      <c r="C209" s="25"/>
      <c r="D209" s="4"/>
      <c r="E209" s="4"/>
      <c r="F209" s="4"/>
      <c r="G209" s="4"/>
      <c r="H209" s="72"/>
      <c r="I209" s="73"/>
      <c r="J209" s="74"/>
      <c r="K209" s="7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25"/>
      <c r="C210" s="25"/>
      <c r="D210" s="4"/>
      <c r="E210" s="4"/>
      <c r="F210" s="4"/>
      <c r="G210" s="4"/>
      <c r="H210" s="72"/>
      <c r="I210" s="73"/>
      <c r="J210" s="74"/>
      <c r="K210" s="7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25"/>
      <c r="C211" s="25"/>
      <c r="D211" s="4"/>
      <c r="E211" s="4"/>
      <c r="F211" s="4"/>
      <c r="G211" s="4"/>
      <c r="H211" s="72"/>
      <c r="I211" s="73"/>
      <c r="J211" s="74"/>
      <c r="K211" s="7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25"/>
      <c r="C212" s="25"/>
      <c r="D212" s="4"/>
      <c r="E212" s="4"/>
      <c r="F212" s="4"/>
      <c r="G212" s="4"/>
      <c r="H212" s="72"/>
      <c r="I212" s="73"/>
      <c r="J212" s="74"/>
      <c r="K212" s="7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25"/>
      <c r="C213" s="25"/>
      <c r="D213" s="4"/>
      <c r="E213" s="4"/>
      <c r="F213" s="4"/>
      <c r="G213" s="4"/>
      <c r="H213" s="72"/>
      <c r="I213" s="73"/>
      <c r="J213" s="74"/>
      <c r="K213" s="7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25"/>
      <c r="C214" s="25"/>
      <c r="D214" s="4"/>
      <c r="E214" s="4"/>
      <c r="F214" s="4"/>
      <c r="G214" s="4"/>
      <c r="H214" s="72"/>
      <c r="I214" s="73"/>
      <c r="J214" s="74"/>
      <c r="K214" s="7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25"/>
      <c r="C215" s="25"/>
      <c r="D215" s="4"/>
      <c r="E215" s="4"/>
      <c r="F215" s="4"/>
      <c r="G215" s="4"/>
      <c r="H215" s="72"/>
      <c r="I215" s="73"/>
      <c r="J215" s="74"/>
      <c r="K215" s="7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25"/>
      <c r="C216" s="25"/>
      <c r="D216" s="4"/>
      <c r="E216" s="4"/>
      <c r="F216" s="4"/>
      <c r="G216" s="4"/>
      <c r="H216" s="72"/>
      <c r="I216" s="73"/>
      <c r="J216" s="74"/>
      <c r="K216" s="7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25"/>
      <c r="C217" s="25"/>
      <c r="D217" s="4"/>
      <c r="E217" s="4"/>
      <c r="F217" s="4"/>
      <c r="G217" s="4"/>
      <c r="H217" s="72"/>
      <c r="I217" s="73"/>
      <c r="J217" s="74"/>
      <c r="K217" s="7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25"/>
      <c r="C218" s="25"/>
      <c r="D218" s="4"/>
      <c r="E218" s="4"/>
      <c r="F218" s="4"/>
      <c r="G218" s="4"/>
      <c r="H218" s="72"/>
      <c r="I218" s="73"/>
      <c r="J218" s="74"/>
      <c r="K218" s="7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25"/>
      <c r="C219" s="25"/>
      <c r="D219" s="4"/>
      <c r="E219" s="4"/>
      <c r="F219" s="4"/>
      <c r="G219" s="4"/>
      <c r="H219" s="72"/>
      <c r="I219" s="73"/>
      <c r="J219" s="74"/>
      <c r="K219" s="7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25"/>
      <c r="C220" s="25"/>
      <c r="D220" s="4"/>
      <c r="E220" s="4"/>
      <c r="F220" s="4"/>
      <c r="G220" s="4"/>
      <c r="H220" s="72"/>
      <c r="I220" s="73"/>
      <c r="J220" s="74"/>
      <c r="K220" s="7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25"/>
      <c r="C221" s="25"/>
      <c r="D221" s="4"/>
      <c r="E221" s="4"/>
      <c r="F221" s="4"/>
      <c r="G221" s="4"/>
      <c r="H221" s="72"/>
      <c r="I221" s="73"/>
      <c r="J221" s="74"/>
      <c r="K221" s="7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25"/>
      <c r="C222" s="25"/>
      <c r="D222" s="4"/>
      <c r="E222" s="4"/>
      <c r="F222" s="4"/>
      <c r="G222" s="4"/>
      <c r="H222" s="72"/>
      <c r="I222" s="73"/>
      <c r="J222" s="74"/>
      <c r="K222" s="7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25"/>
      <c r="C223" s="25"/>
      <c r="D223" s="4"/>
      <c r="E223" s="4"/>
      <c r="F223" s="4"/>
      <c r="G223" s="4"/>
      <c r="H223" s="72"/>
      <c r="I223" s="73"/>
      <c r="J223" s="74"/>
      <c r="K223" s="7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25"/>
      <c r="C224" s="25"/>
      <c r="D224" s="4"/>
      <c r="E224" s="4"/>
      <c r="F224" s="4"/>
      <c r="G224" s="4"/>
      <c r="H224" s="72"/>
      <c r="I224" s="73"/>
      <c r="J224" s="74"/>
      <c r="K224" s="7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25"/>
      <c r="C225" s="25"/>
      <c r="D225" s="4"/>
      <c r="E225" s="4"/>
      <c r="F225" s="4"/>
      <c r="G225" s="4"/>
      <c r="H225" s="72"/>
      <c r="I225" s="73"/>
      <c r="J225" s="74"/>
      <c r="K225" s="7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25"/>
      <c r="C226" s="25"/>
      <c r="D226" s="4"/>
      <c r="E226" s="4"/>
      <c r="F226" s="4"/>
      <c r="G226" s="4"/>
      <c r="H226" s="72"/>
      <c r="I226" s="73"/>
      <c r="J226" s="74"/>
      <c r="K226" s="7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25"/>
      <c r="C227" s="25"/>
      <c r="D227" s="4"/>
      <c r="E227" s="4"/>
      <c r="F227" s="4"/>
      <c r="G227" s="4"/>
      <c r="H227" s="72"/>
      <c r="I227" s="73"/>
      <c r="J227" s="74"/>
      <c r="K227" s="7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25"/>
      <c r="C228" s="25"/>
      <c r="D228" s="4"/>
      <c r="E228" s="4"/>
      <c r="F228" s="4"/>
      <c r="G228" s="4"/>
      <c r="H228" s="72"/>
      <c r="I228" s="73"/>
      <c r="J228" s="74"/>
      <c r="K228" s="7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25"/>
      <c r="C229" s="25"/>
      <c r="D229" s="4"/>
      <c r="E229" s="4"/>
      <c r="F229" s="4"/>
      <c r="G229" s="4"/>
      <c r="H229" s="72"/>
      <c r="I229" s="73"/>
      <c r="J229" s="74"/>
      <c r="K229" s="7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25"/>
      <c r="C230" s="25"/>
      <c r="D230" s="4"/>
      <c r="E230" s="4"/>
      <c r="F230" s="4"/>
      <c r="G230" s="4"/>
      <c r="H230" s="72"/>
      <c r="I230" s="73"/>
      <c r="J230" s="74"/>
      <c r="K230" s="7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25"/>
      <c r="C231" s="25"/>
      <c r="D231" s="4"/>
      <c r="E231" s="4"/>
      <c r="F231" s="4"/>
      <c r="G231" s="4"/>
      <c r="H231" s="72"/>
      <c r="I231" s="73"/>
      <c r="J231" s="74"/>
      <c r="K231" s="7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25"/>
      <c r="C232" s="25"/>
      <c r="D232" s="4"/>
      <c r="E232" s="4"/>
      <c r="F232" s="4"/>
      <c r="G232" s="4"/>
      <c r="H232" s="72"/>
      <c r="I232" s="73"/>
      <c r="J232" s="74"/>
      <c r="K232" s="7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25"/>
      <c r="C233" s="25"/>
      <c r="D233" s="4"/>
      <c r="E233" s="4"/>
      <c r="F233" s="4"/>
      <c r="G233" s="4"/>
      <c r="H233" s="72"/>
      <c r="I233" s="73"/>
      <c r="J233" s="74"/>
      <c r="K233" s="7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25"/>
      <c r="C234" s="25"/>
      <c r="D234" s="4"/>
      <c r="E234" s="4"/>
      <c r="F234" s="4"/>
      <c r="G234" s="4"/>
      <c r="H234" s="72"/>
      <c r="I234" s="73"/>
      <c r="J234" s="74"/>
      <c r="K234" s="7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25"/>
      <c r="C235" s="25"/>
      <c r="D235" s="4"/>
      <c r="E235" s="4"/>
      <c r="F235" s="4"/>
      <c r="G235" s="4"/>
      <c r="H235" s="72"/>
      <c r="I235" s="73"/>
      <c r="J235" s="74"/>
      <c r="K235" s="7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25"/>
      <c r="C236" s="25"/>
      <c r="D236" s="4"/>
      <c r="E236" s="4"/>
      <c r="F236" s="4"/>
      <c r="G236" s="4"/>
      <c r="H236" s="72"/>
      <c r="I236" s="73"/>
      <c r="J236" s="74"/>
      <c r="K236" s="7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25"/>
      <c r="C237" s="25"/>
      <c r="D237" s="4"/>
      <c r="E237" s="4"/>
      <c r="F237" s="4"/>
      <c r="G237" s="4"/>
      <c r="H237" s="72"/>
      <c r="I237" s="73"/>
      <c r="J237" s="74"/>
      <c r="K237" s="7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25"/>
      <c r="C238" s="25"/>
      <c r="D238" s="4"/>
      <c r="E238" s="4"/>
      <c r="F238" s="4"/>
      <c r="G238" s="4"/>
      <c r="H238" s="72"/>
      <c r="I238" s="73"/>
      <c r="J238" s="74"/>
      <c r="K238" s="7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25"/>
      <c r="C239" s="25"/>
      <c r="D239" s="4"/>
      <c r="E239" s="4"/>
      <c r="F239" s="4"/>
      <c r="G239" s="4"/>
      <c r="H239" s="72"/>
      <c r="I239" s="73"/>
      <c r="J239" s="74"/>
      <c r="K239" s="7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/>
      <c r="B240" s="25"/>
      <c r="C240" s="25"/>
      <c r="D240" s="4"/>
      <c r="E240" s="4"/>
      <c r="F240" s="4"/>
      <c r="G240" s="4"/>
      <c r="H240" s="72"/>
      <c r="I240" s="73"/>
      <c r="J240" s="74"/>
      <c r="K240" s="7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25"/>
      <c r="C241" s="25"/>
      <c r="D241" s="4"/>
      <c r="E241" s="4"/>
      <c r="F241" s="4"/>
      <c r="G241" s="4"/>
      <c r="H241" s="72"/>
      <c r="I241" s="73"/>
      <c r="J241" s="74"/>
      <c r="K241" s="7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/>
      <c r="B242" s="25"/>
      <c r="C242" s="25"/>
      <c r="D242" s="4"/>
      <c r="E242" s="4"/>
      <c r="F242" s="4"/>
      <c r="G242" s="4"/>
      <c r="H242" s="72"/>
      <c r="I242" s="73"/>
      <c r="J242" s="74"/>
      <c r="K242" s="7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/>
      <c r="B243" s="25"/>
      <c r="C243" s="25"/>
      <c r="D243" s="4"/>
      <c r="E243" s="4"/>
      <c r="F243" s="4"/>
      <c r="G243" s="4"/>
      <c r="H243" s="72"/>
      <c r="I243" s="73"/>
      <c r="J243" s="74"/>
      <c r="K243" s="7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/>
      <c r="B244" s="25"/>
      <c r="C244" s="25"/>
      <c r="D244" s="4"/>
      <c r="E244" s="4"/>
      <c r="F244" s="4"/>
      <c r="G244" s="4"/>
      <c r="H244" s="72"/>
      <c r="I244" s="73"/>
      <c r="J244" s="74"/>
      <c r="K244" s="7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/>
      <c r="B245" s="25"/>
      <c r="C245" s="25"/>
      <c r="D245" s="4"/>
      <c r="E245" s="4"/>
      <c r="F245" s="4"/>
      <c r="G245" s="4"/>
      <c r="H245" s="72"/>
      <c r="I245" s="73"/>
      <c r="J245" s="74"/>
      <c r="K245" s="7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25"/>
      <c r="C246" s="25"/>
      <c r="D246" s="4"/>
      <c r="E246" s="4"/>
      <c r="F246" s="4"/>
      <c r="G246" s="4"/>
      <c r="H246" s="72"/>
      <c r="I246" s="73"/>
      <c r="J246" s="74"/>
      <c r="K246" s="7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/>
      <c r="B247" s="25"/>
      <c r="C247" s="25"/>
      <c r="D247" s="4"/>
      <c r="E247" s="4"/>
      <c r="F247" s="4"/>
      <c r="G247" s="4"/>
      <c r="H247" s="72"/>
      <c r="I247" s="73"/>
      <c r="J247" s="74"/>
      <c r="K247" s="7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/>
      <c r="B248" s="25"/>
      <c r="C248" s="25"/>
      <c r="D248" s="4"/>
      <c r="E248" s="4"/>
      <c r="F248" s="4"/>
      <c r="G248" s="4"/>
      <c r="H248" s="72"/>
      <c r="I248" s="73"/>
      <c r="J248" s="74"/>
      <c r="K248" s="7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4"/>
      <c r="B249" s="25"/>
      <c r="C249" s="25"/>
      <c r="D249" s="4"/>
      <c r="E249" s="4"/>
      <c r="F249" s="4"/>
      <c r="G249" s="4"/>
      <c r="H249" s="72"/>
      <c r="I249" s="73"/>
      <c r="J249" s="74"/>
      <c r="K249" s="7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4"/>
      <c r="B250" s="25"/>
      <c r="C250" s="25"/>
      <c r="D250" s="4"/>
      <c r="E250" s="4"/>
      <c r="F250" s="4"/>
      <c r="G250" s="4"/>
      <c r="H250" s="72"/>
      <c r="I250" s="73"/>
      <c r="J250" s="74"/>
      <c r="K250" s="7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4"/>
      <c r="B251" s="25"/>
      <c r="C251" s="25"/>
      <c r="D251" s="4"/>
      <c r="E251" s="4"/>
      <c r="F251" s="4"/>
      <c r="G251" s="4"/>
      <c r="H251" s="72"/>
      <c r="I251" s="73"/>
      <c r="J251" s="74"/>
      <c r="K251" s="7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4"/>
      <c r="B252" s="25"/>
      <c r="C252" s="25"/>
      <c r="D252" s="4"/>
      <c r="E252" s="4"/>
      <c r="F252" s="4"/>
      <c r="G252" s="4"/>
      <c r="H252" s="72"/>
      <c r="I252" s="73"/>
      <c r="J252" s="74"/>
      <c r="K252" s="7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4"/>
      <c r="B253" s="25"/>
      <c r="C253" s="25"/>
      <c r="D253" s="4"/>
      <c r="E253" s="4"/>
      <c r="F253" s="4"/>
      <c r="G253" s="4"/>
      <c r="H253" s="72"/>
      <c r="I253" s="73"/>
      <c r="J253" s="74"/>
      <c r="K253" s="7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4"/>
      <c r="B254" s="25"/>
      <c r="C254" s="25"/>
      <c r="D254" s="4"/>
      <c r="E254" s="4"/>
      <c r="F254" s="4"/>
      <c r="G254" s="4"/>
      <c r="H254" s="72"/>
      <c r="I254" s="73"/>
      <c r="J254" s="74"/>
      <c r="K254" s="7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4"/>
      <c r="B255" s="25"/>
      <c r="C255" s="25"/>
      <c r="D255" s="4"/>
      <c r="E255" s="4"/>
      <c r="F255" s="4"/>
      <c r="G255" s="4"/>
      <c r="H255" s="72"/>
      <c r="I255" s="73"/>
      <c r="J255" s="74"/>
      <c r="K255" s="7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4"/>
      <c r="B256" s="25"/>
      <c r="C256" s="25"/>
      <c r="D256" s="4"/>
      <c r="E256" s="4"/>
      <c r="F256" s="4"/>
      <c r="G256" s="4"/>
      <c r="H256" s="72"/>
      <c r="I256" s="73"/>
      <c r="J256" s="74"/>
      <c r="K256" s="7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4"/>
      <c r="B257" s="25"/>
      <c r="C257" s="25"/>
      <c r="D257" s="4"/>
      <c r="E257" s="4"/>
      <c r="F257" s="4"/>
      <c r="G257" s="4"/>
      <c r="H257" s="72"/>
      <c r="I257" s="73"/>
      <c r="J257" s="74"/>
      <c r="K257" s="7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4"/>
      <c r="B258" s="25"/>
      <c r="C258" s="25"/>
      <c r="D258" s="4"/>
      <c r="E258" s="4"/>
      <c r="F258" s="4"/>
      <c r="G258" s="4"/>
      <c r="H258" s="72"/>
      <c r="I258" s="73"/>
      <c r="J258" s="74"/>
      <c r="K258" s="7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4"/>
      <c r="B259" s="25"/>
      <c r="C259" s="25"/>
      <c r="D259" s="4"/>
      <c r="E259" s="4"/>
      <c r="F259" s="4"/>
      <c r="G259" s="4"/>
      <c r="H259" s="72"/>
      <c r="I259" s="73"/>
      <c r="J259" s="74"/>
      <c r="K259" s="7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4"/>
      <c r="B260" s="25"/>
      <c r="C260" s="25"/>
      <c r="D260" s="4"/>
      <c r="E260" s="4"/>
      <c r="F260" s="4"/>
      <c r="G260" s="4"/>
      <c r="H260" s="72"/>
      <c r="I260" s="73"/>
      <c r="J260" s="74"/>
      <c r="K260" s="7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4"/>
      <c r="B261" s="25"/>
      <c r="C261" s="25"/>
      <c r="D261" s="4"/>
      <c r="E261" s="4"/>
      <c r="F261" s="4"/>
      <c r="G261" s="4"/>
      <c r="H261" s="72"/>
      <c r="I261" s="73"/>
      <c r="J261" s="74"/>
      <c r="K261" s="7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4"/>
      <c r="B262" s="25"/>
      <c r="C262" s="25"/>
      <c r="D262" s="4"/>
      <c r="E262" s="4"/>
      <c r="F262" s="4"/>
      <c r="G262" s="4"/>
      <c r="H262" s="72"/>
      <c r="I262" s="73"/>
      <c r="J262" s="74"/>
      <c r="K262" s="7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4"/>
      <c r="B263" s="25"/>
      <c r="C263" s="25"/>
      <c r="D263" s="4"/>
      <c r="E263" s="4"/>
      <c r="F263" s="4"/>
      <c r="G263" s="4"/>
      <c r="H263" s="72"/>
      <c r="I263" s="73"/>
      <c r="J263" s="74"/>
      <c r="K263" s="7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4"/>
      <c r="B264" s="25"/>
      <c r="C264" s="25"/>
      <c r="D264" s="4"/>
      <c r="E264" s="4"/>
      <c r="F264" s="4"/>
      <c r="G264" s="4"/>
      <c r="H264" s="72"/>
      <c r="I264" s="73"/>
      <c r="J264" s="74"/>
      <c r="K264" s="7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4"/>
      <c r="B265" s="25"/>
      <c r="C265" s="25"/>
      <c r="D265" s="4"/>
      <c r="E265" s="4"/>
      <c r="F265" s="4"/>
      <c r="G265" s="4"/>
      <c r="H265" s="72"/>
      <c r="I265" s="73"/>
      <c r="J265" s="74"/>
      <c r="K265" s="7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4"/>
      <c r="B266" s="25"/>
      <c r="C266" s="25"/>
      <c r="D266" s="4"/>
      <c r="E266" s="4"/>
      <c r="F266" s="4"/>
      <c r="G266" s="4"/>
      <c r="H266" s="72"/>
      <c r="I266" s="73"/>
      <c r="J266" s="74"/>
      <c r="K266" s="7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4"/>
      <c r="B267" s="25"/>
      <c r="C267" s="25"/>
      <c r="D267" s="4"/>
      <c r="E267" s="4"/>
      <c r="F267" s="4"/>
      <c r="G267" s="4"/>
      <c r="H267" s="72"/>
      <c r="I267" s="73"/>
      <c r="J267" s="74"/>
      <c r="K267" s="7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4"/>
      <c r="B268" s="25"/>
      <c r="C268" s="25"/>
      <c r="D268" s="4"/>
      <c r="E268" s="4"/>
      <c r="F268" s="4"/>
      <c r="G268" s="4"/>
      <c r="H268" s="72"/>
      <c r="I268" s="73"/>
      <c r="J268" s="74"/>
      <c r="K268" s="7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4"/>
      <c r="B269" s="25"/>
      <c r="C269" s="25"/>
      <c r="D269" s="4"/>
      <c r="E269" s="4"/>
      <c r="F269" s="4"/>
      <c r="G269" s="4"/>
      <c r="H269" s="72"/>
      <c r="I269" s="73"/>
      <c r="J269" s="74"/>
      <c r="K269" s="7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4"/>
      <c r="B270" s="25"/>
      <c r="C270" s="25"/>
      <c r="D270" s="4"/>
      <c r="E270" s="4"/>
      <c r="F270" s="4"/>
      <c r="G270" s="4"/>
      <c r="H270" s="72"/>
      <c r="I270" s="73"/>
      <c r="J270" s="74"/>
      <c r="K270" s="7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4"/>
      <c r="B271" s="25"/>
      <c r="C271" s="25"/>
      <c r="D271" s="4"/>
      <c r="E271" s="4"/>
      <c r="F271" s="4"/>
      <c r="G271" s="4"/>
      <c r="H271" s="72"/>
      <c r="I271" s="73"/>
      <c r="J271" s="74"/>
      <c r="K271" s="7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4"/>
      <c r="B272" s="25"/>
      <c r="C272" s="25"/>
      <c r="D272" s="4"/>
      <c r="E272" s="4"/>
      <c r="F272" s="4"/>
      <c r="G272" s="4"/>
      <c r="H272" s="72"/>
      <c r="I272" s="73"/>
      <c r="J272" s="74"/>
      <c r="K272" s="7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4"/>
      <c r="B273" s="25"/>
      <c r="C273" s="25"/>
      <c r="D273" s="4"/>
      <c r="E273" s="4"/>
      <c r="F273" s="4"/>
      <c r="G273" s="4"/>
      <c r="H273" s="72"/>
      <c r="I273" s="73"/>
      <c r="J273" s="74"/>
      <c r="K273" s="7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4"/>
      <c r="B274" s="25"/>
      <c r="C274" s="25"/>
      <c r="D274" s="4"/>
      <c r="E274" s="4"/>
      <c r="F274" s="4"/>
      <c r="G274" s="4"/>
      <c r="H274" s="72"/>
      <c r="I274" s="73"/>
      <c r="J274" s="74"/>
      <c r="K274" s="7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4"/>
      <c r="B275" s="25"/>
      <c r="C275" s="25"/>
      <c r="D275" s="4"/>
      <c r="E275" s="4"/>
      <c r="F275" s="4"/>
      <c r="G275" s="4"/>
      <c r="H275" s="72"/>
      <c r="I275" s="73"/>
      <c r="J275" s="74"/>
      <c r="K275" s="7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4"/>
      <c r="B276" s="25"/>
      <c r="C276" s="25"/>
      <c r="D276" s="4"/>
      <c r="E276" s="4"/>
      <c r="F276" s="4"/>
      <c r="G276" s="4"/>
      <c r="H276" s="72"/>
      <c r="I276" s="73"/>
      <c r="J276" s="74"/>
      <c r="K276" s="7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4"/>
      <c r="B277" s="25"/>
      <c r="C277" s="25"/>
      <c r="D277" s="4"/>
      <c r="E277" s="4"/>
      <c r="F277" s="4"/>
      <c r="G277" s="4"/>
      <c r="H277" s="72"/>
      <c r="I277" s="73"/>
      <c r="J277" s="74"/>
      <c r="K277" s="7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4"/>
      <c r="B278" s="25"/>
      <c r="C278" s="25"/>
      <c r="D278" s="4"/>
      <c r="E278" s="4"/>
      <c r="F278" s="4"/>
      <c r="G278" s="4"/>
      <c r="H278" s="72"/>
      <c r="I278" s="73"/>
      <c r="J278" s="74"/>
      <c r="K278" s="7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4"/>
      <c r="B279" s="25"/>
      <c r="C279" s="25"/>
      <c r="D279" s="4"/>
      <c r="E279" s="4"/>
      <c r="F279" s="4"/>
      <c r="G279" s="4"/>
      <c r="H279" s="72"/>
      <c r="I279" s="73"/>
      <c r="J279" s="74"/>
      <c r="K279" s="7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4"/>
      <c r="B280" s="25"/>
      <c r="C280" s="25"/>
      <c r="D280" s="4"/>
      <c r="E280" s="4"/>
      <c r="F280" s="4"/>
      <c r="G280" s="4"/>
      <c r="H280" s="72"/>
      <c r="I280" s="73"/>
      <c r="J280" s="74"/>
      <c r="K280" s="7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4"/>
      <c r="B281" s="25"/>
      <c r="C281" s="25"/>
      <c r="D281" s="4"/>
      <c r="E281" s="4"/>
      <c r="F281" s="4"/>
      <c r="G281" s="4"/>
      <c r="H281" s="72"/>
      <c r="I281" s="73"/>
      <c r="J281" s="74"/>
      <c r="K281" s="7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4"/>
      <c r="B282" s="25"/>
      <c r="C282" s="25"/>
      <c r="D282" s="4"/>
      <c r="E282" s="4"/>
      <c r="F282" s="4"/>
      <c r="G282" s="4"/>
      <c r="H282" s="72"/>
      <c r="I282" s="73"/>
      <c r="J282" s="74"/>
      <c r="K282" s="7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4"/>
      <c r="B283" s="25"/>
      <c r="C283" s="25"/>
      <c r="D283" s="4"/>
      <c r="E283" s="4"/>
      <c r="F283" s="4"/>
      <c r="G283" s="4"/>
      <c r="H283" s="72"/>
      <c r="I283" s="73"/>
      <c r="J283" s="74"/>
      <c r="K283" s="7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4"/>
      <c r="B284" s="25"/>
      <c r="C284" s="25"/>
      <c r="D284" s="4"/>
      <c r="E284" s="4"/>
      <c r="F284" s="4"/>
      <c r="G284" s="4"/>
      <c r="H284" s="72"/>
      <c r="I284" s="73"/>
      <c r="J284" s="74"/>
      <c r="K284" s="7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4"/>
      <c r="B285" s="25"/>
      <c r="C285" s="25"/>
      <c r="D285" s="4"/>
      <c r="E285" s="4"/>
      <c r="F285" s="4"/>
      <c r="G285" s="4"/>
      <c r="H285" s="72"/>
      <c r="I285" s="73"/>
      <c r="J285" s="74"/>
      <c r="K285" s="7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4"/>
      <c r="B286" s="25"/>
      <c r="C286" s="25"/>
      <c r="D286" s="4"/>
      <c r="E286" s="4"/>
      <c r="F286" s="4"/>
      <c r="G286" s="4"/>
      <c r="H286" s="72"/>
      <c r="I286" s="73"/>
      <c r="J286" s="74"/>
      <c r="K286" s="7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4"/>
      <c r="B287" s="25"/>
      <c r="C287" s="25"/>
      <c r="D287" s="4"/>
      <c r="E287" s="4"/>
      <c r="F287" s="4"/>
      <c r="G287" s="4"/>
      <c r="H287" s="72"/>
      <c r="I287" s="73"/>
      <c r="J287" s="74"/>
      <c r="K287" s="7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4"/>
      <c r="B288" s="25"/>
      <c r="C288" s="25"/>
      <c r="D288" s="4"/>
      <c r="E288" s="4"/>
      <c r="F288" s="4"/>
      <c r="G288" s="4"/>
      <c r="H288" s="72"/>
      <c r="I288" s="73"/>
      <c r="J288" s="74"/>
      <c r="K288" s="7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4"/>
      <c r="B289" s="25"/>
      <c r="C289" s="25"/>
      <c r="D289" s="4"/>
      <c r="E289" s="4"/>
      <c r="F289" s="4"/>
      <c r="G289" s="4"/>
      <c r="H289" s="72"/>
      <c r="I289" s="73"/>
      <c r="J289" s="74"/>
      <c r="K289" s="7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4"/>
      <c r="B290" s="25"/>
      <c r="C290" s="25"/>
      <c r="D290" s="4"/>
      <c r="E290" s="4"/>
      <c r="F290" s="4"/>
      <c r="G290" s="4"/>
      <c r="H290" s="72"/>
      <c r="I290" s="73"/>
      <c r="J290" s="74"/>
      <c r="K290" s="7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4"/>
      <c r="B291" s="25"/>
      <c r="C291" s="25"/>
      <c r="D291" s="4"/>
      <c r="E291" s="4"/>
      <c r="F291" s="4"/>
      <c r="G291" s="4"/>
      <c r="H291" s="72"/>
      <c r="I291" s="73"/>
      <c r="J291" s="74"/>
      <c r="K291" s="7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4"/>
      <c r="B292" s="25"/>
      <c r="C292" s="25"/>
      <c r="D292" s="4"/>
      <c r="E292" s="4"/>
      <c r="F292" s="4"/>
      <c r="G292" s="4"/>
      <c r="H292" s="72"/>
      <c r="I292" s="73"/>
      <c r="J292" s="74"/>
      <c r="K292" s="7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4"/>
      <c r="B293" s="25"/>
      <c r="C293" s="25"/>
      <c r="D293" s="4"/>
      <c r="E293" s="4"/>
      <c r="F293" s="4"/>
      <c r="G293" s="4"/>
      <c r="H293" s="72"/>
      <c r="I293" s="73"/>
      <c r="J293" s="74"/>
      <c r="K293" s="7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4"/>
      <c r="B294" s="25"/>
      <c r="C294" s="25"/>
      <c r="D294" s="4"/>
      <c r="E294" s="4"/>
      <c r="F294" s="4"/>
      <c r="G294" s="4"/>
      <c r="H294" s="72"/>
      <c r="I294" s="73"/>
      <c r="J294" s="74"/>
      <c r="K294" s="7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4"/>
      <c r="B295" s="25"/>
      <c r="C295" s="25"/>
      <c r="D295" s="4"/>
      <c r="E295" s="4"/>
      <c r="F295" s="4"/>
      <c r="G295" s="4"/>
      <c r="H295" s="72"/>
      <c r="I295" s="73"/>
      <c r="J295" s="74"/>
      <c r="K295" s="7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4"/>
      <c r="B296" s="25"/>
      <c r="C296" s="25"/>
      <c r="D296" s="4"/>
      <c r="E296" s="4"/>
      <c r="F296" s="4"/>
      <c r="G296" s="4"/>
      <c r="H296" s="72"/>
      <c r="I296" s="73"/>
      <c r="J296" s="74"/>
      <c r="K296" s="7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4"/>
      <c r="B297" s="25"/>
      <c r="C297" s="25"/>
      <c r="D297" s="4"/>
      <c r="E297" s="4"/>
      <c r="F297" s="4"/>
      <c r="G297" s="4"/>
      <c r="H297" s="72"/>
      <c r="I297" s="73"/>
      <c r="J297" s="74"/>
      <c r="K297" s="7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4"/>
      <c r="B298" s="25"/>
      <c r="C298" s="25"/>
      <c r="D298" s="4"/>
      <c r="E298" s="4"/>
      <c r="F298" s="4"/>
      <c r="G298" s="4"/>
      <c r="H298" s="72"/>
      <c r="I298" s="73"/>
      <c r="J298" s="74"/>
      <c r="K298" s="7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4"/>
      <c r="B299" s="25"/>
      <c r="C299" s="25"/>
      <c r="D299" s="4"/>
      <c r="E299" s="4"/>
      <c r="F299" s="4"/>
      <c r="G299" s="4"/>
      <c r="H299" s="72"/>
      <c r="I299" s="73"/>
      <c r="J299" s="74"/>
      <c r="K299" s="7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4"/>
      <c r="B300" s="25"/>
      <c r="C300" s="25"/>
      <c r="D300" s="4"/>
      <c r="E300" s="4"/>
      <c r="F300" s="4"/>
      <c r="G300" s="4"/>
      <c r="H300" s="72"/>
      <c r="I300" s="73"/>
      <c r="J300" s="74"/>
      <c r="K300" s="7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4"/>
      <c r="B301" s="25"/>
      <c r="C301" s="25"/>
      <c r="D301" s="4"/>
      <c r="E301" s="4"/>
      <c r="F301" s="4"/>
      <c r="G301" s="4"/>
      <c r="H301" s="72"/>
      <c r="I301" s="73"/>
      <c r="J301" s="74"/>
      <c r="K301" s="7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4"/>
      <c r="B302" s="25"/>
      <c r="C302" s="25"/>
      <c r="D302" s="4"/>
      <c r="E302" s="4"/>
      <c r="F302" s="4"/>
      <c r="G302" s="4"/>
      <c r="H302" s="72"/>
      <c r="I302" s="73"/>
      <c r="J302" s="74"/>
      <c r="K302" s="7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4"/>
      <c r="B303" s="25"/>
      <c r="C303" s="25"/>
      <c r="D303" s="4"/>
      <c r="E303" s="4"/>
      <c r="F303" s="4"/>
      <c r="G303" s="4"/>
      <c r="H303" s="72"/>
      <c r="I303" s="73"/>
      <c r="J303" s="74"/>
      <c r="K303" s="7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4"/>
      <c r="B304" s="25"/>
      <c r="C304" s="25"/>
      <c r="D304" s="4"/>
      <c r="E304" s="4"/>
      <c r="F304" s="4"/>
      <c r="G304" s="4"/>
      <c r="H304" s="72"/>
      <c r="I304" s="73"/>
      <c r="J304" s="74"/>
      <c r="K304" s="7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4"/>
      <c r="B305" s="25"/>
      <c r="C305" s="25"/>
      <c r="D305" s="4"/>
      <c r="E305" s="4"/>
      <c r="F305" s="4"/>
      <c r="G305" s="4"/>
      <c r="H305" s="72"/>
      <c r="I305" s="73"/>
      <c r="J305" s="74"/>
      <c r="K305" s="7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4"/>
      <c r="B306" s="25"/>
      <c r="C306" s="25"/>
      <c r="D306" s="4"/>
      <c r="E306" s="4"/>
      <c r="F306" s="4"/>
      <c r="G306" s="4"/>
      <c r="H306" s="72"/>
      <c r="I306" s="73"/>
      <c r="J306" s="74"/>
      <c r="K306" s="7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4"/>
      <c r="B307" s="25"/>
      <c r="C307" s="25"/>
      <c r="D307" s="4"/>
      <c r="E307" s="4"/>
      <c r="F307" s="4"/>
      <c r="G307" s="4"/>
      <c r="H307" s="72"/>
      <c r="I307" s="73"/>
      <c r="J307" s="74"/>
      <c r="K307" s="7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4"/>
      <c r="B308" s="25"/>
      <c r="C308" s="25"/>
      <c r="D308" s="4"/>
      <c r="E308" s="4"/>
      <c r="F308" s="4"/>
      <c r="G308" s="4"/>
      <c r="H308" s="72"/>
      <c r="I308" s="73"/>
      <c r="J308" s="74"/>
      <c r="K308" s="7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4"/>
      <c r="B309" s="25"/>
      <c r="C309" s="25"/>
      <c r="D309" s="4"/>
      <c r="E309" s="4"/>
      <c r="F309" s="4"/>
      <c r="G309" s="4"/>
      <c r="H309" s="72"/>
      <c r="I309" s="73"/>
      <c r="J309" s="74"/>
      <c r="K309" s="7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4"/>
      <c r="B310" s="25"/>
      <c r="C310" s="25"/>
      <c r="D310" s="4"/>
      <c r="E310" s="4"/>
      <c r="F310" s="4"/>
      <c r="G310" s="4"/>
      <c r="H310" s="72"/>
      <c r="I310" s="73"/>
      <c r="J310" s="74"/>
      <c r="K310" s="7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4"/>
      <c r="B311" s="25"/>
      <c r="C311" s="25"/>
      <c r="D311" s="4"/>
      <c r="E311" s="4"/>
      <c r="F311" s="4"/>
      <c r="G311" s="4"/>
      <c r="H311" s="72"/>
      <c r="I311" s="73"/>
      <c r="J311" s="74"/>
      <c r="K311" s="7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4"/>
      <c r="B312" s="25"/>
      <c r="C312" s="25"/>
      <c r="D312" s="4"/>
      <c r="E312" s="4"/>
      <c r="F312" s="4"/>
      <c r="G312" s="4"/>
      <c r="H312" s="72"/>
      <c r="I312" s="73"/>
      <c r="J312" s="74"/>
      <c r="K312" s="7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4"/>
      <c r="B313" s="25"/>
      <c r="C313" s="25"/>
      <c r="D313" s="4"/>
      <c r="E313" s="4"/>
      <c r="F313" s="4"/>
      <c r="G313" s="4"/>
      <c r="H313" s="72"/>
      <c r="I313" s="73"/>
      <c r="J313" s="74"/>
      <c r="K313" s="7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4"/>
      <c r="B314" s="25"/>
      <c r="C314" s="25"/>
      <c r="D314" s="4"/>
      <c r="E314" s="4"/>
      <c r="F314" s="4"/>
      <c r="G314" s="4"/>
      <c r="H314" s="72"/>
      <c r="I314" s="73"/>
      <c r="J314" s="74"/>
      <c r="K314" s="7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4"/>
      <c r="B315" s="25"/>
      <c r="C315" s="25"/>
      <c r="D315" s="4"/>
      <c r="E315" s="4"/>
      <c r="F315" s="4"/>
      <c r="G315" s="4"/>
      <c r="H315" s="72"/>
      <c r="I315" s="73"/>
      <c r="J315" s="74"/>
      <c r="K315" s="7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4"/>
      <c r="B316" s="25"/>
      <c r="C316" s="25"/>
      <c r="D316" s="4"/>
      <c r="E316" s="4"/>
      <c r="F316" s="4"/>
      <c r="G316" s="4"/>
      <c r="H316" s="72"/>
      <c r="I316" s="73"/>
      <c r="J316" s="74"/>
      <c r="K316" s="7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4"/>
      <c r="B317" s="25"/>
      <c r="C317" s="25"/>
      <c r="D317" s="4"/>
      <c r="E317" s="4"/>
      <c r="F317" s="4"/>
      <c r="G317" s="4"/>
      <c r="H317" s="72"/>
      <c r="I317" s="73"/>
      <c r="J317" s="74"/>
      <c r="K317" s="7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4"/>
      <c r="B318" s="25"/>
      <c r="C318" s="25"/>
      <c r="D318" s="4"/>
      <c r="E318" s="4"/>
      <c r="F318" s="4"/>
      <c r="G318" s="4"/>
      <c r="H318" s="72"/>
      <c r="I318" s="73"/>
      <c r="J318" s="74"/>
      <c r="K318" s="7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4"/>
      <c r="B319" s="25"/>
      <c r="C319" s="25"/>
      <c r="D319" s="4"/>
      <c r="E319" s="4"/>
      <c r="F319" s="4"/>
      <c r="G319" s="4"/>
      <c r="H319" s="72"/>
      <c r="I319" s="73"/>
      <c r="J319" s="74"/>
      <c r="K319" s="7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4"/>
      <c r="B320" s="25"/>
      <c r="C320" s="25"/>
      <c r="D320" s="4"/>
      <c r="E320" s="4"/>
      <c r="F320" s="4"/>
      <c r="G320" s="4"/>
      <c r="H320" s="72"/>
      <c r="I320" s="73"/>
      <c r="J320" s="74"/>
      <c r="K320" s="7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4"/>
      <c r="B321" s="25"/>
      <c r="C321" s="25"/>
      <c r="D321" s="4"/>
      <c r="E321" s="4"/>
      <c r="F321" s="4"/>
      <c r="G321" s="4"/>
      <c r="H321" s="72"/>
      <c r="I321" s="73"/>
      <c r="J321" s="74"/>
      <c r="K321" s="7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4"/>
      <c r="B322" s="25"/>
      <c r="C322" s="25"/>
      <c r="D322" s="4"/>
      <c r="E322" s="4"/>
      <c r="F322" s="4"/>
      <c r="G322" s="4"/>
      <c r="H322" s="72"/>
      <c r="I322" s="73"/>
      <c r="J322" s="74"/>
      <c r="K322" s="7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4"/>
      <c r="B323" s="25"/>
      <c r="C323" s="25"/>
      <c r="D323" s="4"/>
      <c r="E323" s="4"/>
      <c r="F323" s="4"/>
      <c r="G323" s="4"/>
      <c r="H323" s="72"/>
      <c r="I323" s="73"/>
      <c r="J323" s="74"/>
      <c r="K323" s="7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4"/>
      <c r="B324" s="25"/>
      <c r="C324" s="25"/>
      <c r="D324" s="4"/>
      <c r="E324" s="4"/>
      <c r="F324" s="4"/>
      <c r="G324" s="4"/>
      <c r="H324" s="72"/>
      <c r="I324" s="73"/>
      <c r="J324" s="74"/>
      <c r="K324" s="7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4"/>
      <c r="B325" s="25"/>
      <c r="C325" s="25"/>
      <c r="D325" s="4"/>
      <c r="E325" s="4"/>
      <c r="F325" s="4"/>
      <c r="G325" s="4"/>
      <c r="H325" s="72"/>
      <c r="I325" s="73"/>
      <c r="J325" s="74"/>
      <c r="K325" s="7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4"/>
      <c r="B326" s="25"/>
      <c r="C326" s="25"/>
      <c r="D326" s="4"/>
      <c r="E326" s="4"/>
      <c r="F326" s="4"/>
      <c r="G326" s="4"/>
      <c r="H326" s="72"/>
      <c r="I326" s="73"/>
      <c r="J326" s="74"/>
      <c r="K326" s="7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4"/>
      <c r="B327" s="25"/>
      <c r="C327" s="25"/>
      <c r="D327" s="4"/>
      <c r="E327" s="4"/>
      <c r="F327" s="4"/>
      <c r="G327" s="4"/>
      <c r="H327" s="72"/>
      <c r="I327" s="73"/>
      <c r="J327" s="74"/>
      <c r="K327" s="7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4"/>
      <c r="B328" s="25"/>
      <c r="C328" s="25"/>
      <c r="D328" s="4"/>
      <c r="E328" s="4"/>
      <c r="F328" s="4"/>
      <c r="G328" s="4"/>
      <c r="H328" s="72"/>
      <c r="I328" s="73"/>
      <c r="J328" s="74"/>
      <c r="K328" s="7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4"/>
      <c r="B329" s="25"/>
      <c r="C329" s="25"/>
      <c r="D329" s="4"/>
      <c r="E329" s="4"/>
      <c r="F329" s="4"/>
      <c r="G329" s="4"/>
      <c r="H329" s="72"/>
      <c r="I329" s="73"/>
      <c r="J329" s="74"/>
      <c r="K329" s="7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4"/>
      <c r="B330" s="25"/>
      <c r="C330" s="25"/>
      <c r="D330" s="4"/>
      <c r="E330" s="4"/>
      <c r="F330" s="4"/>
      <c r="G330" s="4"/>
      <c r="H330" s="72"/>
      <c r="I330" s="73"/>
      <c r="J330" s="74"/>
      <c r="K330" s="7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4"/>
      <c r="B331" s="25"/>
      <c r="C331" s="25"/>
      <c r="D331" s="4"/>
      <c r="E331" s="4"/>
      <c r="F331" s="4"/>
      <c r="G331" s="4"/>
      <c r="H331" s="72"/>
      <c r="I331" s="73"/>
      <c r="J331" s="74"/>
      <c r="K331" s="7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4"/>
      <c r="B332" s="25"/>
      <c r="C332" s="25"/>
      <c r="D332" s="4"/>
      <c r="E332" s="4"/>
      <c r="F332" s="4"/>
      <c r="G332" s="4"/>
      <c r="H332" s="72"/>
      <c r="I332" s="73"/>
      <c r="J332" s="74"/>
      <c r="K332" s="7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4"/>
      <c r="B333" s="25"/>
      <c r="C333" s="25"/>
      <c r="D333" s="4"/>
      <c r="E333" s="4"/>
      <c r="F333" s="4"/>
      <c r="G333" s="4"/>
      <c r="H333" s="72"/>
      <c r="I333" s="73"/>
      <c r="J333" s="74"/>
      <c r="K333" s="7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4"/>
      <c r="B334" s="25"/>
      <c r="C334" s="25"/>
      <c r="D334" s="4"/>
      <c r="E334" s="4"/>
      <c r="F334" s="4"/>
      <c r="G334" s="4"/>
      <c r="H334" s="72"/>
      <c r="I334" s="73"/>
      <c r="J334" s="74"/>
      <c r="K334" s="7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4"/>
      <c r="B335" s="25"/>
      <c r="C335" s="25"/>
      <c r="D335" s="4"/>
      <c r="E335" s="4"/>
      <c r="F335" s="4"/>
      <c r="G335" s="4"/>
      <c r="H335" s="72"/>
      <c r="I335" s="73"/>
      <c r="J335" s="74"/>
      <c r="K335" s="7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4"/>
      <c r="B336" s="25"/>
      <c r="C336" s="25"/>
      <c r="D336" s="4"/>
      <c r="E336" s="4"/>
      <c r="F336" s="4"/>
      <c r="G336" s="4"/>
      <c r="H336" s="72"/>
      <c r="I336" s="73"/>
      <c r="J336" s="74"/>
      <c r="K336" s="7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4"/>
      <c r="B337" s="25"/>
      <c r="C337" s="25"/>
      <c r="D337" s="4"/>
      <c r="E337" s="4"/>
      <c r="F337" s="4"/>
      <c r="G337" s="4"/>
      <c r="H337" s="72"/>
      <c r="I337" s="73"/>
      <c r="J337" s="74"/>
      <c r="K337" s="7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4"/>
      <c r="B338" s="25"/>
      <c r="C338" s="25"/>
      <c r="D338" s="4"/>
      <c r="E338" s="4"/>
      <c r="F338" s="4"/>
      <c r="G338" s="4"/>
      <c r="H338" s="72"/>
      <c r="I338" s="73"/>
      <c r="J338" s="74"/>
      <c r="K338" s="7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4"/>
      <c r="B339" s="25"/>
      <c r="C339" s="25"/>
      <c r="D339" s="4"/>
      <c r="E339" s="4"/>
      <c r="F339" s="4"/>
      <c r="G339" s="4"/>
      <c r="H339" s="72"/>
      <c r="I339" s="73"/>
      <c r="J339" s="74"/>
      <c r="K339" s="7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4"/>
      <c r="B340" s="25"/>
      <c r="C340" s="25"/>
      <c r="D340" s="4"/>
      <c r="E340" s="4"/>
      <c r="F340" s="4"/>
      <c r="G340" s="4"/>
      <c r="H340" s="72"/>
      <c r="I340" s="73"/>
      <c r="J340" s="74"/>
      <c r="K340" s="7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4"/>
      <c r="B341" s="25"/>
      <c r="C341" s="25"/>
      <c r="D341" s="4"/>
      <c r="E341" s="4"/>
      <c r="F341" s="4"/>
      <c r="G341" s="4"/>
      <c r="H341" s="72"/>
      <c r="I341" s="73"/>
      <c r="J341" s="74"/>
      <c r="K341" s="7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4"/>
      <c r="B342" s="25"/>
      <c r="C342" s="25"/>
      <c r="D342" s="4"/>
      <c r="E342" s="4"/>
      <c r="F342" s="4"/>
      <c r="G342" s="4"/>
      <c r="H342" s="72"/>
      <c r="I342" s="73"/>
      <c r="J342" s="74"/>
      <c r="K342" s="7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4"/>
      <c r="B343" s="25"/>
      <c r="C343" s="25"/>
      <c r="D343" s="4"/>
      <c r="E343" s="4"/>
      <c r="F343" s="4"/>
      <c r="G343" s="4"/>
      <c r="H343" s="72"/>
      <c r="I343" s="73"/>
      <c r="J343" s="74"/>
      <c r="K343" s="7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4"/>
      <c r="B344" s="25"/>
      <c r="C344" s="25"/>
      <c r="D344" s="4"/>
      <c r="E344" s="4"/>
      <c r="F344" s="4"/>
      <c r="G344" s="4"/>
      <c r="H344" s="72"/>
      <c r="I344" s="73"/>
      <c r="J344" s="74"/>
      <c r="K344" s="7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4"/>
      <c r="B345" s="25"/>
      <c r="C345" s="25"/>
      <c r="D345" s="4"/>
      <c r="E345" s="4"/>
      <c r="F345" s="4"/>
      <c r="G345" s="4"/>
      <c r="H345" s="72"/>
      <c r="I345" s="73"/>
      <c r="J345" s="74"/>
      <c r="K345" s="7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4"/>
      <c r="B346" s="25"/>
      <c r="C346" s="25"/>
      <c r="D346" s="4"/>
      <c r="E346" s="4"/>
      <c r="F346" s="4"/>
      <c r="G346" s="4"/>
      <c r="H346" s="72"/>
      <c r="I346" s="73"/>
      <c r="J346" s="74"/>
      <c r="K346" s="7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4"/>
      <c r="B347" s="25"/>
      <c r="C347" s="25"/>
      <c r="D347" s="4"/>
      <c r="E347" s="4"/>
      <c r="F347" s="4"/>
      <c r="G347" s="4"/>
      <c r="H347" s="72"/>
      <c r="I347" s="73"/>
      <c r="J347" s="74"/>
      <c r="K347" s="7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4"/>
      <c r="B348" s="25"/>
      <c r="C348" s="25"/>
      <c r="D348" s="4"/>
      <c r="E348" s="4"/>
      <c r="F348" s="4"/>
      <c r="G348" s="4"/>
      <c r="H348" s="72"/>
      <c r="I348" s="73"/>
      <c r="J348" s="74"/>
      <c r="K348" s="7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4"/>
      <c r="B349" s="25"/>
      <c r="C349" s="25"/>
      <c r="D349" s="4"/>
      <c r="E349" s="4"/>
      <c r="F349" s="4"/>
      <c r="G349" s="4"/>
      <c r="H349" s="72"/>
      <c r="I349" s="73"/>
      <c r="J349" s="74"/>
      <c r="K349" s="7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4"/>
      <c r="B350" s="25"/>
      <c r="C350" s="25"/>
      <c r="D350" s="4"/>
      <c r="E350" s="4"/>
      <c r="F350" s="4"/>
      <c r="G350" s="4"/>
      <c r="H350" s="72"/>
      <c r="I350" s="73"/>
      <c r="J350" s="74"/>
      <c r="K350" s="7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4"/>
      <c r="B351" s="25"/>
      <c r="C351" s="25"/>
      <c r="D351" s="4"/>
      <c r="E351" s="4"/>
      <c r="F351" s="4"/>
      <c r="G351" s="4"/>
      <c r="H351" s="72"/>
      <c r="I351" s="73"/>
      <c r="J351" s="74"/>
      <c r="K351" s="7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4"/>
      <c r="B352" s="25"/>
      <c r="C352" s="25"/>
      <c r="D352" s="4"/>
      <c r="E352" s="4"/>
      <c r="F352" s="4"/>
      <c r="G352" s="4"/>
      <c r="H352" s="72"/>
      <c r="I352" s="73"/>
      <c r="J352" s="74"/>
      <c r="K352" s="7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4"/>
      <c r="B353" s="25"/>
      <c r="C353" s="25"/>
      <c r="D353" s="4"/>
      <c r="E353" s="4"/>
      <c r="F353" s="4"/>
      <c r="G353" s="4"/>
      <c r="H353" s="72"/>
      <c r="I353" s="73"/>
      <c r="J353" s="74"/>
      <c r="K353" s="7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4"/>
      <c r="B354" s="25"/>
      <c r="C354" s="25"/>
      <c r="D354" s="4"/>
      <c r="E354" s="4"/>
      <c r="F354" s="4"/>
      <c r="G354" s="4"/>
      <c r="H354" s="72"/>
      <c r="I354" s="73"/>
      <c r="J354" s="74"/>
      <c r="K354" s="7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4"/>
      <c r="B355" s="25"/>
      <c r="C355" s="25"/>
      <c r="D355" s="4"/>
      <c r="E355" s="4"/>
      <c r="F355" s="4"/>
      <c r="G355" s="4"/>
      <c r="H355" s="72"/>
      <c r="I355" s="73"/>
      <c r="J355" s="74"/>
      <c r="K355" s="7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4"/>
      <c r="B356" s="25"/>
      <c r="C356" s="25"/>
      <c r="D356" s="4"/>
      <c r="E356" s="4"/>
      <c r="F356" s="4"/>
      <c r="G356" s="4"/>
      <c r="H356" s="72"/>
      <c r="I356" s="73"/>
      <c r="J356" s="74"/>
      <c r="K356" s="7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4"/>
      <c r="B357" s="25"/>
      <c r="C357" s="25"/>
      <c r="D357" s="4"/>
      <c r="E357" s="4"/>
      <c r="F357" s="4"/>
      <c r="G357" s="4"/>
      <c r="H357" s="72"/>
      <c r="I357" s="73"/>
      <c r="J357" s="74"/>
      <c r="K357" s="7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4"/>
      <c r="B358" s="25"/>
      <c r="C358" s="25"/>
      <c r="D358" s="4"/>
      <c r="E358" s="4"/>
      <c r="F358" s="4"/>
      <c r="G358" s="4"/>
      <c r="H358" s="72"/>
      <c r="I358" s="73"/>
      <c r="J358" s="74"/>
      <c r="K358" s="7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4"/>
      <c r="B359" s="25"/>
      <c r="C359" s="25"/>
      <c r="D359" s="4"/>
      <c r="E359" s="4"/>
      <c r="F359" s="4"/>
      <c r="G359" s="4"/>
      <c r="H359" s="72"/>
      <c r="I359" s="73"/>
      <c r="J359" s="74"/>
      <c r="K359" s="7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4"/>
      <c r="B360" s="25"/>
      <c r="C360" s="25"/>
      <c r="D360" s="4"/>
      <c r="E360" s="4"/>
      <c r="F360" s="4"/>
      <c r="G360" s="4"/>
      <c r="H360" s="72"/>
      <c r="I360" s="73"/>
      <c r="J360" s="74"/>
      <c r="K360" s="7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4"/>
      <c r="B361" s="25"/>
      <c r="C361" s="25"/>
      <c r="D361" s="4"/>
      <c r="E361" s="4"/>
      <c r="F361" s="4"/>
      <c r="G361" s="4"/>
      <c r="H361" s="72"/>
      <c r="I361" s="73"/>
      <c r="J361" s="74"/>
      <c r="K361" s="7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4"/>
      <c r="B362" s="25"/>
      <c r="C362" s="25"/>
      <c r="D362" s="4"/>
      <c r="E362" s="4"/>
      <c r="F362" s="4"/>
      <c r="G362" s="4"/>
      <c r="H362" s="72"/>
      <c r="I362" s="73"/>
      <c r="J362" s="74"/>
      <c r="K362" s="7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4"/>
      <c r="B363" s="25"/>
      <c r="C363" s="25"/>
      <c r="D363" s="4"/>
      <c r="E363" s="4"/>
      <c r="F363" s="4"/>
      <c r="G363" s="4"/>
      <c r="H363" s="72"/>
      <c r="I363" s="73"/>
      <c r="J363" s="74"/>
      <c r="K363" s="7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4"/>
      <c r="B364" s="25"/>
      <c r="C364" s="25"/>
      <c r="D364" s="4"/>
      <c r="E364" s="4"/>
      <c r="F364" s="4"/>
      <c r="G364" s="4"/>
      <c r="H364" s="72"/>
      <c r="I364" s="73"/>
      <c r="J364" s="74"/>
      <c r="K364" s="7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4"/>
      <c r="B365" s="25"/>
      <c r="C365" s="25"/>
      <c r="D365" s="4"/>
      <c r="E365" s="4"/>
      <c r="F365" s="4"/>
      <c r="G365" s="4"/>
      <c r="H365" s="72"/>
      <c r="I365" s="73"/>
      <c r="J365" s="74"/>
      <c r="K365" s="7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4"/>
      <c r="B366" s="25"/>
      <c r="C366" s="25"/>
      <c r="D366" s="4"/>
      <c r="E366" s="4"/>
      <c r="F366" s="4"/>
      <c r="G366" s="4"/>
      <c r="H366" s="72"/>
      <c r="I366" s="73"/>
      <c r="J366" s="74"/>
      <c r="K366" s="7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4"/>
      <c r="B367" s="25"/>
      <c r="C367" s="25"/>
      <c r="D367" s="4"/>
      <c r="E367" s="4"/>
      <c r="F367" s="4"/>
      <c r="G367" s="4"/>
      <c r="H367" s="72"/>
      <c r="I367" s="73"/>
      <c r="J367" s="74"/>
      <c r="K367" s="7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4"/>
      <c r="B368" s="25"/>
      <c r="C368" s="25"/>
      <c r="D368" s="4"/>
      <c r="E368" s="4"/>
      <c r="F368" s="4"/>
      <c r="G368" s="4"/>
      <c r="H368" s="72"/>
      <c r="I368" s="73"/>
      <c r="J368" s="74"/>
      <c r="K368" s="7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4"/>
      <c r="B369" s="25"/>
      <c r="C369" s="25"/>
      <c r="D369" s="4"/>
      <c r="E369" s="4"/>
      <c r="F369" s="4"/>
      <c r="G369" s="4"/>
      <c r="H369" s="72"/>
      <c r="I369" s="73"/>
      <c r="J369" s="74"/>
      <c r="K369" s="7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4"/>
      <c r="B370" s="25"/>
      <c r="C370" s="25"/>
      <c r="D370" s="4"/>
      <c r="E370" s="4"/>
      <c r="F370" s="4"/>
      <c r="G370" s="4"/>
      <c r="H370" s="72"/>
      <c r="I370" s="73"/>
      <c r="J370" s="74"/>
      <c r="K370" s="7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4"/>
      <c r="B371" s="25"/>
      <c r="C371" s="25"/>
      <c r="D371" s="4"/>
      <c r="E371" s="4"/>
      <c r="F371" s="4"/>
      <c r="G371" s="4"/>
      <c r="H371" s="72"/>
      <c r="I371" s="73"/>
      <c r="J371" s="74"/>
      <c r="K371" s="7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4"/>
      <c r="B372" s="25"/>
      <c r="C372" s="25"/>
      <c r="D372" s="4"/>
      <c r="E372" s="4"/>
      <c r="F372" s="4"/>
      <c r="G372" s="4"/>
      <c r="H372" s="72"/>
      <c r="I372" s="73"/>
      <c r="J372" s="74"/>
      <c r="K372" s="7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4"/>
      <c r="B373" s="25"/>
      <c r="C373" s="25"/>
      <c r="D373" s="4"/>
      <c r="E373" s="4"/>
      <c r="F373" s="4"/>
      <c r="G373" s="4"/>
      <c r="H373" s="72"/>
      <c r="I373" s="73"/>
      <c r="J373" s="74"/>
      <c r="K373" s="7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4"/>
      <c r="B374" s="25"/>
      <c r="C374" s="25"/>
      <c r="D374" s="4"/>
      <c r="E374" s="4"/>
      <c r="F374" s="4"/>
      <c r="G374" s="4"/>
      <c r="H374" s="72"/>
      <c r="I374" s="73"/>
      <c r="J374" s="74"/>
      <c r="K374" s="7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4"/>
      <c r="B375" s="25"/>
      <c r="C375" s="25"/>
      <c r="D375" s="4"/>
      <c r="E375" s="4"/>
      <c r="F375" s="4"/>
      <c r="G375" s="4"/>
      <c r="H375" s="72"/>
      <c r="I375" s="73"/>
      <c r="J375" s="74"/>
      <c r="K375" s="7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4"/>
      <c r="B376" s="25"/>
      <c r="C376" s="25"/>
      <c r="D376" s="4"/>
      <c r="E376" s="4"/>
      <c r="F376" s="4"/>
      <c r="G376" s="4"/>
      <c r="H376" s="72"/>
      <c r="I376" s="73"/>
      <c r="J376" s="74"/>
      <c r="K376" s="7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4"/>
      <c r="B377" s="25"/>
      <c r="C377" s="25"/>
      <c r="D377" s="4"/>
      <c r="E377" s="4"/>
      <c r="F377" s="4"/>
      <c r="G377" s="4"/>
      <c r="H377" s="72"/>
      <c r="I377" s="73"/>
      <c r="J377" s="74"/>
      <c r="K377" s="7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4"/>
      <c r="B378" s="25"/>
      <c r="C378" s="25"/>
      <c r="D378" s="4"/>
      <c r="E378" s="4"/>
      <c r="F378" s="4"/>
      <c r="G378" s="4"/>
      <c r="H378" s="72"/>
      <c r="I378" s="73"/>
      <c r="J378" s="74"/>
      <c r="K378" s="7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4"/>
      <c r="B379" s="25"/>
      <c r="C379" s="25"/>
      <c r="D379" s="4"/>
      <c r="E379" s="4"/>
      <c r="F379" s="4"/>
      <c r="G379" s="4"/>
      <c r="H379" s="72"/>
      <c r="I379" s="73"/>
      <c r="J379" s="74"/>
      <c r="K379" s="7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4"/>
      <c r="B380" s="25"/>
      <c r="C380" s="25"/>
      <c r="D380" s="4"/>
      <c r="E380" s="4"/>
      <c r="F380" s="4"/>
      <c r="G380" s="4"/>
      <c r="H380" s="72"/>
      <c r="I380" s="73"/>
      <c r="J380" s="74"/>
      <c r="K380" s="7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4"/>
      <c r="B381" s="25"/>
      <c r="C381" s="25"/>
      <c r="D381" s="4"/>
      <c r="E381" s="4"/>
      <c r="F381" s="4"/>
      <c r="G381" s="4"/>
      <c r="H381" s="72"/>
      <c r="I381" s="73"/>
      <c r="J381" s="74"/>
      <c r="K381" s="7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4"/>
      <c r="B382" s="25"/>
      <c r="C382" s="25"/>
      <c r="D382" s="4"/>
      <c r="E382" s="4"/>
      <c r="F382" s="4"/>
      <c r="G382" s="4"/>
      <c r="H382" s="72"/>
      <c r="I382" s="73"/>
      <c r="J382" s="74"/>
      <c r="K382" s="7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4"/>
      <c r="B383" s="25"/>
      <c r="C383" s="25"/>
      <c r="D383" s="4"/>
      <c r="E383" s="4"/>
      <c r="F383" s="4"/>
      <c r="G383" s="4"/>
      <c r="H383" s="72"/>
      <c r="I383" s="73"/>
      <c r="J383" s="74"/>
      <c r="K383" s="7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4"/>
      <c r="B384" s="25"/>
      <c r="C384" s="25"/>
      <c r="D384" s="4"/>
      <c r="E384" s="4"/>
      <c r="F384" s="4"/>
      <c r="G384" s="4"/>
      <c r="H384" s="72"/>
      <c r="I384" s="73"/>
      <c r="J384" s="74"/>
      <c r="K384" s="7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4"/>
      <c r="B385" s="25"/>
      <c r="C385" s="25"/>
      <c r="D385" s="4"/>
      <c r="E385" s="4"/>
      <c r="F385" s="4"/>
      <c r="G385" s="4"/>
      <c r="H385" s="72"/>
      <c r="I385" s="73"/>
      <c r="J385" s="74"/>
      <c r="K385" s="7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4"/>
      <c r="B386" s="25"/>
      <c r="C386" s="25"/>
      <c r="D386" s="4"/>
      <c r="E386" s="4"/>
      <c r="F386" s="4"/>
      <c r="G386" s="4"/>
      <c r="H386" s="72"/>
      <c r="I386" s="73"/>
      <c r="J386" s="74"/>
      <c r="K386" s="7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4"/>
      <c r="B387" s="25"/>
      <c r="C387" s="25"/>
      <c r="D387" s="4"/>
      <c r="E387" s="4"/>
      <c r="F387" s="4"/>
      <c r="G387" s="4"/>
      <c r="H387" s="72"/>
      <c r="I387" s="73"/>
      <c r="J387" s="74"/>
      <c r="K387" s="7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4"/>
      <c r="B388" s="25"/>
      <c r="C388" s="25"/>
      <c r="D388" s="4"/>
      <c r="E388" s="4"/>
      <c r="F388" s="4"/>
      <c r="G388" s="4"/>
      <c r="H388" s="72"/>
      <c r="I388" s="73"/>
      <c r="J388" s="74"/>
      <c r="K388" s="7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4"/>
      <c r="B389" s="25"/>
      <c r="C389" s="25"/>
      <c r="D389" s="4"/>
      <c r="E389" s="4"/>
      <c r="F389" s="4"/>
      <c r="G389" s="4"/>
      <c r="H389" s="72"/>
      <c r="I389" s="73"/>
      <c r="J389" s="74"/>
      <c r="K389" s="7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4"/>
      <c r="B390" s="25"/>
      <c r="C390" s="25"/>
      <c r="D390" s="4"/>
      <c r="E390" s="4"/>
      <c r="F390" s="4"/>
      <c r="G390" s="4"/>
      <c r="H390" s="72"/>
      <c r="I390" s="73"/>
      <c r="J390" s="74"/>
      <c r="K390" s="7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4"/>
      <c r="B391" s="25"/>
      <c r="C391" s="25"/>
      <c r="D391" s="4"/>
      <c r="E391" s="4"/>
      <c r="F391" s="4"/>
      <c r="G391" s="4"/>
      <c r="H391" s="72"/>
      <c r="I391" s="73"/>
      <c r="J391" s="74"/>
      <c r="K391" s="7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4"/>
      <c r="B392" s="25"/>
      <c r="C392" s="25"/>
      <c r="D392" s="4"/>
      <c r="E392" s="4"/>
      <c r="F392" s="4"/>
      <c r="G392" s="4"/>
      <c r="H392" s="72"/>
      <c r="I392" s="73"/>
      <c r="J392" s="74"/>
      <c r="K392" s="7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4"/>
      <c r="B393" s="25"/>
      <c r="C393" s="25"/>
      <c r="D393" s="4"/>
      <c r="E393" s="4"/>
      <c r="F393" s="4"/>
      <c r="G393" s="4"/>
      <c r="H393" s="72"/>
      <c r="I393" s="73"/>
      <c r="J393" s="74"/>
      <c r="K393" s="7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4"/>
      <c r="B394" s="25"/>
      <c r="C394" s="25"/>
      <c r="D394" s="4"/>
      <c r="E394" s="4"/>
      <c r="F394" s="4"/>
      <c r="G394" s="4"/>
      <c r="H394" s="72"/>
      <c r="I394" s="73"/>
      <c r="J394" s="74"/>
      <c r="K394" s="7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4"/>
      <c r="B395" s="25"/>
      <c r="C395" s="25"/>
      <c r="D395" s="4"/>
      <c r="E395" s="4"/>
      <c r="F395" s="4"/>
      <c r="G395" s="4"/>
      <c r="H395" s="72"/>
      <c r="I395" s="73"/>
      <c r="J395" s="74"/>
      <c r="K395" s="7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4"/>
      <c r="B396" s="25"/>
      <c r="C396" s="25"/>
      <c r="D396" s="4"/>
      <c r="E396" s="4"/>
      <c r="F396" s="4"/>
      <c r="G396" s="4"/>
      <c r="H396" s="72"/>
      <c r="I396" s="73"/>
      <c r="J396" s="74"/>
      <c r="K396" s="7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4"/>
      <c r="B397" s="25"/>
      <c r="C397" s="25"/>
      <c r="D397" s="4"/>
      <c r="E397" s="4"/>
      <c r="F397" s="4"/>
      <c r="G397" s="4"/>
      <c r="H397" s="72"/>
      <c r="I397" s="73"/>
      <c r="J397" s="74"/>
      <c r="K397" s="7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4"/>
      <c r="B398" s="25"/>
      <c r="C398" s="25"/>
      <c r="D398" s="4"/>
      <c r="E398" s="4"/>
      <c r="F398" s="4"/>
      <c r="G398" s="4"/>
      <c r="H398" s="72"/>
      <c r="I398" s="73"/>
      <c r="J398" s="74"/>
      <c r="K398" s="7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4"/>
      <c r="B399" s="25"/>
      <c r="C399" s="25"/>
      <c r="D399" s="4"/>
      <c r="E399" s="4"/>
      <c r="F399" s="4"/>
      <c r="G399" s="4"/>
      <c r="H399" s="72"/>
      <c r="I399" s="73"/>
      <c r="J399" s="74"/>
      <c r="K399" s="7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4"/>
      <c r="B400" s="25"/>
      <c r="C400" s="25"/>
      <c r="D400" s="4"/>
      <c r="E400" s="4"/>
      <c r="F400" s="4"/>
      <c r="G400" s="4"/>
      <c r="H400" s="72"/>
      <c r="I400" s="73"/>
      <c r="J400" s="74"/>
      <c r="K400" s="7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4"/>
      <c r="B401" s="25"/>
      <c r="C401" s="25"/>
      <c r="D401" s="4"/>
      <c r="E401" s="4"/>
      <c r="F401" s="4"/>
      <c r="G401" s="4"/>
      <c r="H401" s="72"/>
      <c r="I401" s="73"/>
      <c r="J401" s="74"/>
      <c r="K401" s="7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4"/>
      <c r="B402" s="25"/>
      <c r="C402" s="25"/>
      <c r="D402" s="4"/>
      <c r="E402" s="4"/>
      <c r="F402" s="4"/>
      <c r="G402" s="4"/>
      <c r="H402" s="72"/>
      <c r="I402" s="73"/>
      <c r="J402" s="74"/>
      <c r="K402" s="7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4"/>
      <c r="B403" s="25"/>
      <c r="C403" s="25"/>
      <c r="D403" s="4"/>
      <c r="E403" s="4"/>
      <c r="F403" s="4"/>
      <c r="G403" s="4"/>
      <c r="H403" s="72"/>
      <c r="I403" s="73"/>
      <c r="J403" s="74"/>
      <c r="K403" s="7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4"/>
      <c r="B404" s="25"/>
      <c r="C404" s="25"/>
      <c r="D404" s="4"/>
      <c r="E404" s="4"/>
      <c r="F404" s="4"/>
      <c r="G404" s="4"/>
      <c r="H404" s="72"/>
      <c r="I404" s="73"/>
      <c r="J404" s="74"/>
      <c r="K404" s="7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4"/>
      <c r="B405" s="25"/>
      <c r="C405" s="25"/>
      <c r="D405" s="4"/>
      <c r="E405" s="4"/>
      <c r="F405" s="4"/>
      <c r="G405" s="4"/>
      <c r="H405" s="72"/>
      <c r="I405" s="73"/>
      <c r="J405" s="74"/>
      <c r="K405" s="7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4"/>
      <c r="B406" s="25"/>
      <c r="C406" s="25"/>
      <c r="D406" s="4"/>
      <c r="E406" s="4"/>
      <c r="F406" s="4"/>
      <c r="G406" s="4"/>
      <c r="H406" s="72"/>
      <c r="I406" s="73"/>
      <c r="J406" s="74"/>
      <c r="K406" s="7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4"/>
      <c r="B407" s="25"/>
      <c r="C407" s="25"/>
      <c r="D407" s="4"/>
      <c r="E407" s="4"/>
      <c r="F407" s="4"/>
      <c r="G407" s="4"/>
      <c r="H407" s="72"/>
      <c r="I407" s="73"/>
      <c r="J407" s="74"/>
      <c r="K407" s="7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4"/>
      <c r="B408" s="25"/>
      <c r="C408" s="25"/>
      <c r="D408" s="4"/>
      <c r="E408" s="4"/>
      <c r="F408" s="4"/>
      <c r="G408" s="4"/>
      <c r="H408" s="72"/>
      <c r="I408" s="73"/>
      <c r="J408" s="74"/>
      <c r="K408" s="7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4"/>
      <c r="B409" s="25"/>
      <c r="C409" s="25"/>
      <c r="D409" s="4"/>
      <c r="E409" s="4"/>
      <c r="F409" s="4"/>
      <c r="G409" s="4"/>
      <c r="H409" s="72"/>
      <c r="I409" s="73"/>
      <c r="J409" s="74"/>
      <c r="K409" s="7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4"/>
      <c r="B410" s="25"/>
      <c r="C410" s="25"/>
      <c r="D410" s="4"/>
      <c r="E410" s="4"/>
      <c r="F410" s="4"/>
      <c r="G410" s="4"/>
      <c r="H410" s="72"/>
      <c r="I410" s="73"/>
      <c r="J410" s="74"/>
      <c r="K410" s="7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4"/>
      <c r="B411" s="25"/>
      <c r="C411" s="25"/>
      <c r="D411" s="4"/>
      <c r="E411" s="4"/>
      <c r="F411" s="4"/>
      <c r="G411" s="4"/>
      <c r="H411" s="72"/>
      <c r="I411" s="73"/>
      <c r="J411" s="74"/>
      <c r="K411" s="7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4"/>
      <c r="B412" s="25"/>
      <c r="C412" s="25"/>
      <c r="D412" s="4"/>
      <c r="E412" s="4"/>
      <c r="F412" s="4"/>
      <c r="G412" s="4"/>
      <c r="H412" s="72"/>
      <c r="I412" s="73"/>
      <c r="J412" s="74"/>
      <c r="K412" s="7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4"/>
      <c r="B413" s="25"/>
      <c r="C413" s="25"/>
      <c r="D413" s="4"/>
      <c r="E413" s="4"/>
      <c r="F413" s="4"/>
      <c r="G413" s="4"/>
      <c r="H413" s="72"/>
      <c r="I413" s="73"/>
      <c r="J413" s="74"/>
      <c r="K413" s="7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4"/>
      <c r="B414" s="25"/>
      <c r="C414" s="25"/>
      <c r="D414" s="4"/>
      <c r="E414" s="4"/>
      <c r="F414" s="4"/>
      <c r="G414" s="4"/>
      <c r="H414" s="72"/>
      <c r="I414" s="73"/>
      <c r="J414" s="74"/>
      <c r="K414" s="7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4"/>
      <c r="B415" s="25"/>
      <c r="C415" s="25"/>
      <c r="D415" s="4"/>
      <c r="E415" s="4"/>
      <c r="F415" s="4"/>
      <c r="G415" s="4"/>
      <c r="H415" s="72"/>
      <c r="I415" s="73"/>
      <c r="J415" s="74"/>
      <c r="K415" s="7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4"/>
      <c r="B416" s="25"/>
      <c r="C416" s="25"/>
      <c r="D416" s="4"/>
      <c r="E416" s="4"/>
      <c r="F416" s="4"/>
      <c r="G416" s="4"/>
      <c r="H416" s="72"/>
      <c r="I416" s="73"/>
      <c r="J416" s="74"/>
      <c r="K416" s="7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4"/>
      <c r="B417" s="25"/>
      <c r="C417" s="25"/>
      <c r="D417" s="4"/>
      <c r="E417" s="4"/>
      <c r="F417" s="4"/>
      <c r="G417" s="4"/>
      <c r="H417" s="72"/>
      <c r="I417" s="73"/>
      <c r="J417" s="74"/>
      <c r="K417" s="7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4"/>
      <c r="B418" s="25"/>
      <c r="C418" s="25"/>
      <c r="D418" s="4"/>
      <c r="E418" s="4"/>
      <c r="F418" s="4"/>
      <c r="G418" s="4"/>
      <c r="H418" s="72"/>
      <c r="I418" s="73"/>
      <c r="J418" s="74"/>
      <c r="K418" s="7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4"/>
      <c r="B419" s="25"/>
      <c r="C419" s="25"/>
      <c r="D419" s="4"/>
      <c r="E419" s="4"/>
      <c r="F419" s="4"/>
      <c r="G419" s="4"/>
      <c r="H419" s="72"/>
      <c r="I419" s="73"/>
      <c r="J419" s="74"/>
      <c r="K419" s="7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4"/>
      <c r="B420" s="25"/>
      <c r="C420" s="25"/>
      <c r="D420" s="4"/>
      <c r="E420" s="4"/>
      <c r="F420" s="4"/>
      <c r="G420" s="4"/>
      <c r="H420" s="72"/>
      <c r="I420" s="73"/>
      <c r="J420" s="74"/>
      <c r="K420" s="7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4"/>
      <c r="B421" s="25"/>
      <c r="C421" s="25"/>
      <c r="D421" s="4"/>
      <c r="E421" s="4"/>
      <c r="F421" s="4"/>
      <c r="G421" s="4"/>
      <c r="H421" s="72"/>
      <c r="I421" s="73"/>
      <c r="J421" s="74"/>
      <c r="K421" s="7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4"/>
      <c r="B422" s="25"/>
      <c r="C422" s="25"/>
      <c r="D422" s="4"/>
      <c r="E422" s="4"/>
      <c r="F422" s="4"/>
      <c r="G422" s="4"/>
      <c r="H422" s="72"/>
      <c r="I422" s="73"/>
      <c r="J422" s="74"/>
      <c r="K422" s="7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4"/>
      <c r="B423" s="25"/>
      <c r="C423" s="25"/>
      <c r="D423" s="4"/>
      <c r="E423" s="4"/>
      <c r="F423" s="4"/>
      <c r="G423" s="4"/>
      <c r="H423" s="72"/>
      <c r="I423" s="73"/>
      <c r="J423" s="74"/>
      <c r="K423" s="7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4"/>
      <c r="B424" s="25"/>
      <c r="C424" s="25"/>
      <c r="D424" s="4"/>
      <c r="E424" s="4"/>
      <c r="F424" s="4"/>
      <c r="G424" s="4"/>
      <c r="H424" s="72"/>
      <c r="I424" s="73"/>
      <c r="J424" s="74"/>
      <c r="K424" s="7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4"/>
      <c r="B425" s="25"/>
      <c r="C425" s="25"/>
      <c r="D425" s="4"/>
      <c r="E425" s="4"/>
      <c r="F425" s="4"/>
      <c r="G425" s="4"/>
      <c r="H425" s="72"/>
      <c r="I425" s="73"/>
      <c r="J425" s="74"/>
      <c r="K425" s="7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4"/>
      <c r="B426" s="25"/>
      <c r="C426" s="25"/>
      <c r="D426" s="4"/>
      <c r="E426" s="4"/>
      <c r="F426" s="4"/>
      <c r="G426" s="4"/>
      <c r="H426" s="72"/>
      <c r="I426" s="73"/>
      <c r="J426" s="74"/>
      <c r="K426" s="7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4"/>
      <c r="B427" s="25"/>
      <c r="C427" s="25"/>
      <c r="D427" s="4"/>
      <c r="E427" s="4"/>
      <c r="F427" s="4"/>
      <c r="G427" s="4"/>
      <c r="H427" s="72"/>
      <c r="I427" s="73"/>
      <c r="J427" s="74"/>
      <c r="K427" s="7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4"/>
      <c r="B428" s="25"/>
      <c r="C428" s="25"/>
      <c r="D428" s="4"/>
      <c r="E428" s="4"/>
      <c r="F428" s="4"/>
      <c r="G428" s="4"/>
      <c r="H428" s="72"/>
      <c r="I428" s="73"/>
      <c r="J428" s="74"/>
      <c r="K428" s="7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4"/>
      <c r="B429" s="25"/>
      <c r="C429" s="25"/>
      <c r="D429" s="4"/>
      <c r="E429" s="4"/>
      <c r="F429" s="4"/>
      <c r="G429" s="4"/>
      <c r="H429" s="72"/>
      <c r="I429" s="73"/>
      <c r="J429" s="74"/>
      <c r="K429" s="7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4"/>
      <c r="B430" s="25"/>
      <c r="C430" s="25"/>
      <c r="D430" s="4"/>
      <c r="E430" s="4"/>
      <c r="F430" s="4"/>
      <c r="G430" s="4"/>
      <c r="H430" s="72"/>
      <c r="I430" s="73"/>
      <c r="J430" s="74"/>
      <c r="K430" s="7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4"/>
      <c r="B431" s="25"/>
      <c r="C431" s="25"/>
      <c r="D431" s="4"/>
      <c r="E431" s="4"/>
      <c r="F431" s="4"/>
      <c r="G431" s="4"/>
      <c r="H431" s="72"/>
      <c r="I431" s="73"/>
      <c r="J431" s="74"/>
      <c r="K431" s="7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4"/>
      <c r="B432" s="25"/>
      <c r="C432" s="25"/>
      <c r="D432" s="4"/>
      <c r="E432" s="4"/>
      <c r="F432" s="4"/>
      <c r="G432" s="4"/>
      <c r="H432" s="72"/>
      <c r="I432" s="73"/>
      <c r="J432" s="74"/>
      <c r="K432" s="7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4"/>
      <c r="B433" s="25"/>
      <c r="C433" s="25"/>
      <c r="D433" s="4"/>
      <c r="E433" s="4"/>
      <c r="F433" s="4"/>
      <c r="G433" s="4"/>
      <c r="H433" s="72"/>
      <c r="I433" s="73"/>
      <c r="J433" s="74"/>
      <c r="K433" s="7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4"/>
      <c r="B434" s="25"/>
      <c r="C434" s="25"/>
      <c r="D434" s="4"/>
      <c r="E434" s="4"/>
      <c r="F434" s="4"/>
      <c r="G434" s="4"/>
      <c r="H434" s="72"/>
      <c r="I434" s="73"/>
      <c r="J434" s="74"/>
      <c r="K434" s="7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4"/>
      <c r="B435" s="25"/>
      <c r="C435" s="25"/>
      <c r="D435" s="4"/>
      <c r="E435" s="4"/>
      <c r="F435" s="4"/>
      <c r="G435" s="4"/>
      <c r="H435" s="72"/>
      <c r="I435" s="73"/>
      <c r="J435" s="74"/>
      <c r="K435" s="7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4"/>
      <c r="B436" s="25"/>
      <c r="C436" s="25"/>
      <c r="D436" s="4"/>
      <c r="E436" s="4"/>
      <c r="F436" s="4"/>
      <c r="G436" s="4"/>
      <c r="H436" s="72"/>
      <c r="I436" s="73"/>
      <c r="J436" s="74"/>
      <c r="K436" s="7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4"/>
      <c r="B437" s="25"/>
      <c r="C437" s="25"/>
      <c r="D437" s="4"/>
      <c r="E437" s="4"/>
      <c r="F437" s="4"/>
      <c r="G437" s="4"/>
      <c r="H437" s="72"/>
      <c r="I437" s="73"/>
      <c r="J437" s="74"/>
      <c r="K437" s="7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4"/>
      <c r="B438" s="25"/>
      <c r="C438" s="25"/>
      <c r="D438" s="4"/>
      <c r="E438" s="4"/>
      <c r="F438" s="4"/>
      <c r="G438" s="4"/>
      <c r="H438" s="72"/>
      <c r="I438" s="73"/>
      <c r="J438" s="74"/>
      <c r="K438" s="7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4"/>
      <c r="B439" s="25"/>
      <c r="C439" s="25"/>
      <c r="D439" s="4"/>
      <c r="E439" s="4"/>
      <c r="F439" s="4"/>
      <c r="G439" s="4"/>
      <c r="H439" s="72"/>
      <c r="I439" s="73"/>
      <c r="J439" s="74"/>
      <c r="K439" s="7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4"/>
      <c r="B440" s="25"/>
      <c r="C440" s="25"/>
      <c r="D440" s="4"/>
      <c r="E440" s="4"/>
      <c r="F440" s="4"/>
      <c r="G440" s="4"/>
      <c r="H440" s="72"/>
      <c r="I440" s="73"/>
      <c r="J440" s="74"/>
      <c r="K440" s="7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4"/>
      <c r="B441" s="25"/>
      <c r="C441" s="25"/>
      <c r="D441" s="4"/>
      <c r="E441" s="4"/>
      <c r="F441" s="4"/>
      <c r="G441" s="4"/>
      <c r="H441" s="72"/>
      <c r="I441" s="73"/>
      <c r="J441" s="74"/>
      <c r="K441" s="7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4"/>
      <c r="B442" s="25"/>
      <c r="C442" s="25"/>
      <c r="D442" s="4"/>
      <c r="E442" s="4"/>
      <c r="F442" s="4"/>
      <c r="G442" s="4"/>
      <c r="H442" s="72"/>
      <c r="I442" s="73"/>
      <c r="J442" s="74"/>
      <c r="K442" s="7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4"/>
      <c r="B443" s="25"/>
      <c r="C443" s="25"/>
      <c r="D443" s="4"/>
      <c r="E443" s="4"/>
      <c r="F443" s="4"/>
      <c r="G443" s="4"/>
      <c r="H443" s="72"/>
      <c r="I443" s="73"/>
      <c r="J443" s="74"/>
      <c r="K443" s="7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4"/>
      <c r="B444" s="25"/>
      <c r="C444" s="25"/>
      <c r="D444" s="4"/>
      <c r="E444" s="4"/>
      <c r="F444" s="4"/>
      <c r="G444" s="4"/>
      <c r="H444" s="72"/>
      <c r="I444" s="73"/>
      <c r="J444" s="74"/>
      <c r="K444" s="7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4"/>
      <c r="B445" s="25"/>
      <c r="C445" s="25"/>
      <c r="D445" s="4"/>
      <c r="E445" s="4"/>
      <c r="F445" s="4"/>
      <c r="G445" s="4"/>
      <c r="H445" s="72"/>
      <c r="I445" s="73"/>
      <c r="J445" s="74"/>
      <c r="K445" s="7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4"/>
      <c r="B446" s="25"/>
      <c r="C446" s="25"/>
      <c r="D446" s="4"/>
      <c r="E446" s="4"/>
      <c r="F446" s="4"/>
      <c r="G446" s="4"/>
      <c r="H446" s="72"/>
      <c r="I446" s="73"/>
      <c r="J446" s="74"/>
      <c r="K446" s="7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4"/>
      <c r="B447" s="25"/>
      <c r="C447" s="25"/>
      <c r="D447" s="4"/>
      <c r="E447" s="4"/>
      <c r="F447" s="4"/>
      <c r="G447" s="4"/>
      <c r="H447" s="72"/>
      <c r="I447" s="73"/>
      <c r="J447" s="74"/>
      <c r="K447" s="7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4"/>
      <c r="B448" s="25"/>
      <c r="C448" s="25"/>
      <c r="D448" s="4"/>
      <c r="E448" s="4"/>
      <c r="F448" s="4"/>
      <c r="G448" s="4"/>
      <c r="H448" s="72"/>
      <c r="I448" s="73"/>
      <c r="J448" s="74"/>
      <c r="K448" s="7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4"/>
      <c r="B449" s="25"/>
      <c r="C449" s="25"/>
      <c r="D449" s="4"/>
      <c r="E449" s="4"/>
      <c r="F449" s="4"/>
      <c r="G449" s="4"/>
      <c r="H449" s="72"/>
      <c r="I449" s="73"/>
      <c r="J449" s="74"/>
      <c r="K449" s="7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4"/>
      <c r="B450" s="25"/>
      <c r="C450" s="25"/>
      <c r="D450" s="4"/>
      <c r="E450" s="4"/>
      <c r="F450" s="4"/>
      <c r="G450" s="4"/>
      <c r="H450" s="72"/>
      <c r="I450" s="73"/>
      <c r="J450" s="74"/>
      <c r="K450" s="7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4"/>
      <c r="B451" s="25"/>
      <c r="C451" s="25"/>
      <c r="D451" s="4"/>
      <c r="E451" s="4"/>
      <c r="F451" s="4"/>
      <c r="G451" s="4"/>
      <c r="H451" s="72"/>
      <c r="I451" s="73"/>
      <c r="J451" s="74"/>
      <c r="K451" s="7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4"/>
      <c r="B452" s="25"/>
      <c r="C452" s="25"/>
      <c r="D452" s="4"/>
      <c r="E452" s="4"/>
      <c r="F452" s="4"/>
      <c r="G452" s="4"/>
      <c r="H452" s="72"/>
      <c r="I452" s="73"/>
      <c r="J452" s="74"/>
      <c r="K452" s="7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4"/>
      <c r="B453" s="25"/>
      <c r="C453" s="25"/>
      <c r="D453" s="4"/>
      <c r="E453" s="4"/>
      <c r="F453" s="4"/>
      <c r="G453" s="4"/>
      <c r="H453" s="72"/>
      <c r="I453" s="73"/>
      <c r="J453" s="74"/>
      <c r="K453" s="7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4"/>
      <c r="B454" s="25"/>
      <c r="C454" s="25"/>
      <c r="D454" s="4"/>
      <c r="E454" s="4"/>
      <c r="F454" s="4"/>
      <c r="G454" s="4"/>
      <c r="H454" s="72"/>
      <c r="I454" s="73"/>
      <c r="J454" s="74"/>
      <c r="K454" s="7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4"/>
      <c r="B455" s="25"/>
      <c r="C455" s="25"/>
      <c r="D455" s="4"/>
      <c r="E455" s="4"/>
      <c r="F455" s="4"/>
      <c r="G455" s="4"/>
      <c r="H455" s="72"/>
      <c r="I455" s="73"/>
      <c r="J455" s="74"/>
      <c r="K455" s="7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4"/>
      <c r="B456" s="25"/>
      <c r="C456" s="25"/>
      <c r="D456" s="4"/>
      <c r="E456" s="4"/>
      <c r="F456" s="4"/>
      <c r="G456" s="4"/>
      <c r="H456" s="72"/>
      <c r="I456" s="73"/>
      <c r="J456" s="74"/>
      <c r="K456" s="7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4"/>
      <c r="B457" s="25"/>
      <c r="C457" s="25"/>
      <c r="D457" s="4"/>
      <c r="E457" s="4"/>
      <c r="F457" s="4"/>
      <c r="G457" s="4"/>
      <c r="H457" s="72"/>
      <c r="I457" s="73"/>
      <c r="J457" s="74"/>
      <c r="K457" s="7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4"/>
      <c r="B458" s="25"/>
      <c r="C458" s="25"/>
      <c r="D458" s="4"/>
      <c r="E458" s="4"/>
      <c r="F458" s="4"/>
      <c r="G458" s="4"/>
      <c r="H458" s="72"/>
      <c r="I458" s="73"/>
      <c r="J458" s="74"/>
      <c r="K458" s="7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4"/>
      <c r="B459" s="25"/>
      <c r="C459" s="25"/>
      <c r="D459" s="4"/>
      <c r="E459" s="4"/>
      <c r="F459" s="4"/>
      <c r="G459" s="4"/>
      <c r="H459" s="72"/>
      <c r="I459" s="73"/>
      <c r="J459" s="74"/>
      <c r="K459" s="7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4"/>
      <c r="B460" s="25"/>
      <c r="C460" s="25"/>
      <c r="D460" s="4"/>
      <c r="E460" s="4"/>
      <c r="F460" s="4"/>
      <c r="G460" s="4"/>
      <c r="H460" s="72"/>
      <c r="I460" s="73"/>
      <c r="J460" s="74"/>
      <c r="K460" s="7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4"/>
      <c r="B461" s="25"/>
      <c r="C461" s="25"/>
      <c r="D461" s="4"/>
      <c r="E461" s="4"/>
      <c r="F461" s="4"/>
      <c r="G461" s="4"/>
      <c r="H461" s="72"/>
      <c r="I461" s="73"/>
      <c r="J461" s="74"/>
      <c r="K461" s="7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4"/>
      <c r="B462" s="25"/>
      <c r="C462" s="25"/>
      <c r="D462" s="4"/>
      <c r="E462" s="4"/>
      <c r="F462" s="4"/>
      <c r="G462" s="4"/>
      <c r="H462" s="72"/>
      <c r="I462" s="73"/>
      <c r="J462" s="74"/>
      <c r="K462" s="7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4"/>
      <c r="B463" s="25"/>
      <c r="C463" s="25"/>
      <c r="D463" s="4"/>
      <c r="E463" s="4"/>
      <c r="F463" s="4"/>
      <c r="G463" s="4"/>
      <c r="H463" s="72"/>
      <c r="I463" s="73"/>
      <c r="J463" s="74"/>
      <c r="K463" s="7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4"/>
      <c r="B464" s="25"/>
      <c r="C464" s="25"/>
      <c r="D464" s="4"/>
      <c r="E464" s="4"/>
      <c r="F464" s="4"/>
      <c r="G464" s="4"/>
      <c r="H464" s="72"/>
      <c r="I464" s="73"/>
      <c r="J464" s="74"/>
      <c r="K464" s="7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4"/>
      <c r="B465" s="25"/>
      <c r="C465" s="25"/>
      <c r="D465" s="4"/>
      <c r="E465" s="4"/>
      <c r="F465" s="4"/>
      <c r="G465" s="4"/>
      <c r="H465" s="72"/>
      <c r="I465" s="73"/>
      <c r="J465" s="74"/>
      <c r="K465" s="7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4"/>
      <c r="B466" s="25"/>
      <c r="C466" s="25"/>
      <c r="D466" s="4"/>
      <c r="E466" s="4"/>
      <c r="F466" s="4"/>
      <c r="G466" s="4"/>
      <c r="H466" s="72"/>
      <c r="I466" s="73"/>
      <c r="J466" s="74"/>
      <c r="K466" s="7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4"/>
      <c r="B467" s="25"/>
      <c r="C467" s="25"/>
      <c r="D467" s="4"/>
      <c r="E467" s="4"/>
      <c r="F467" s="4"/>
      <c r="G467" s="4"/>
      <c r="H467" s="72"/>
      <c r="I467" s="73"/>
      <c r="J467" s="74"/>
      <c r="K467" s="7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4"/>
      <c r="B468" s="25"/>
      <c r="C468" s="25"/>
      <c r="D468" s="4"/>
      <c r="E468" s="4"/>
      <c r="F468" s="4"/>
      <c r="G468" s="4"/>
      <c r="H468" s="72"/>
      <c r="I468" s="73"/>
      <c r="J468" s="74"/>
      <c r="K468" s="7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4"/>
      <c r="B469" s="25"/>
      <c r="C469" s="25"/>
      <c r="D469" s="4"/>
      <c r="E469" s="4"/>
      <c r="F469" s="4"/>
      <c r="G469" s="4"/>
      <c r="H469" s="72"/>
      <c r="I469" s="73"/>
      <c r="J469" s="74"/>
      <c r="K469" s="7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4"/>
      <c r="B470" s="25"/>
      <c r="C470" s="25"/>
      <c r="D470" s="4"/>
      <c r="E470" s="4"/>
      <c r="F470" s="4"/>
      <c r="G470" s="4"/>
      <c r="H470" s="72"/>
      <c r="I470" s="73"/>
      <c r="J470" s="74"/>
      <c r="K470" s="7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4"/>
      <c r="B471" s="25"/>
      <c r="C471" s="25"/>
      <c r="D471" s="4"/>
      <c r="E471" s="4"/>
      <c r="F471" s="4"/>
      <c r="G471" s="4"/>
      <c r="H471" s="72"/>
      <c r="I471" s="73"/>
      <c r="J471" s="74"/>
      <c r="K471" s="7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4"/>
      <c r="B472" s="25"/>
      <c r="C472" s="25"/>
      <c r="D472" s="4"/>
      <c r="E472" s="4"/>
      <c r="F472" s="4"/>
      <c r="G472" s="4"/>
      <c r="H472" s="72"/>
      <c r="I472" s="73"/>
      <c r="J472" s="74"/>
      <c r="K472" s="7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4"/>
      <c r="B473" s="25"/>
      <c r="C473" s="25"/>
      <c r="D473" s="4"/>
      <c r="E473" s="4"/>
      <c r="F473" s="4"/>
      <c r="G473" s="4"/>
      <c r="H473" s="72"/>
      <c r="I473" s="73"/>
      <c r="J473" s="74"/>
      <c r="K473" s="7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4"/>
      <c r="B474" s="25"/>
      <c r="C474" s="25"/>
      <c r="D474" s="4"/>
      <c r="E474" s="4"/>
      <c r="F474" s="4"/>
      <c r="G474" s="4"/>
      <c r="H474" s="72"/>
      <c r="I474" s="73"/>
      <c r="J474" s="74"/>
      <c r="K474" s="7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4"/>
      <c r="B475" s="25"/>
      <c r="C475" s="25"/>
      <c r="D475" s="4"/>
      <c r="E475" s="4"/>
      <c r="F475" s="4"/>
      <c r="G475" s="4"/>
      <c r="H475" s="72"/>
      <c r="I475" s="73"/>
      <c r="J475" s="74"/>
      <c r="K475" s="7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4"/>
      <c r="B476" s="25"/>
      <c r="C476" s="25"/>
      <c r="D476" s="4"/>
      <c r="E476" s="4"/>
      <c r="F476" s="4"/>
      <c r="G476" s="4"/>
      <c r="H476" s="72"/>
      <c r="I476" s="73"/>
      <c r="J476" s="74"/>
      <c r="K476" s="7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4"/>
      <c r="B477" s="25"/>
      <c r="C477" s="25"/>
      <c r="D477" s="4"/>
      <c r="E477" s="4"/>
      <c r="F477" s="4"/>
      <c r="G477" s="4"/>
      <c r="H477" s="72"/>
      <c r="I477" s="73"/>
      <c r="J477" s="74"/>
      <c r="K477" s="7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4"/>
      <c r="B478" s="25"/>
      <c r="C478" s="25"/>
      <c r="D478" s="4"/>
      <c r="E478" s="4"/>
      <c r="F478" s="4"/>
      <c r="G478" s="4"/>
      <c r="H478" s="72"/>
      <c r="I478" s="73"/>
      <c r="J478" s="74"/>
      <c r="K478" s="7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4"/>
      <c r="B479" s="25"/>
      <c r="C479" s="25"/>
      <c r="D479" s="4"/>
      <c r="E479" s="4"/>
      <c r="F479" s="4"/>
      <c r="G479" s="4"/>
      <c r="H479" s="72"/>
      <c r="I479" s="73"/>
      <c r="J479" s="74"/>
      <c r="K479" s="7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4"/>
      <c r="B480" s="25"/>
      <c r="C480" s="25"/>
      <c r="D480" s="4"/>
      <c r="E480" s="4"/>
      <c r="F480" s="4"/>
      <c r="G480" s="4"/>
      <c r="H480" s="72"/>
      <c r="I480" s="73"/>
      <c r="J480" s="74"/>
      <c r="K480" s="7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4"/>
      <c r="B481" s="25"/>
      <c r="C481" s="25"/>
      <c r="D481" s="4"/>
      <c r="E481" s="4"/>
      <c r="F481" s="4"/>
      <c r="G481" s="4"/>
      <c r="H481" s="72"/>
      <c r="I481" s="73"/>
      <c r="J481" s="74"/>
      <c r="K481" s="7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4"/>
      <c r="B482" s="25"/>
      <c r="C482" s="25"/>
      <c r="D482" s="4"/>
      <c r="E482" s="4"/>
      <c r="F482" s="4"/>
      <c r="G482" s="4"/>
      <c r="H482" s="72"/>
      <c r="I482" s="73"/>
      <c r="J482" s="74"/>
      <c r="K482" s="7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4"/>
      <c r="B483" s="25"/>
      <c r="C483" s="25"/>
      <c r="D483" s="4"/>
      <c r="E483" s="4"/>
      <c r="F483" s="4"/>
      <c r="G483" s="4"/>
      <c r="H483" s="72"/>
      <c r="I483" s="73"/>
      <c r="J483" s="74"/>
      <c r="K483" s="7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4"/>
      <c r="B484" s="25"/>
      <c r="C484" s="25"/>
      <c r="D484" s="4"/>
      <c r="E484" s="4"/>
      <c r="F484" s="4"/>
      <c r="G484" s="4"/>
      <c r="H484" s="72"/>
      <c r="I484" s="73"/>
      <c r="J484" s="74"/>
      <c r="K484" s="7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4"/>
      <c r="B485" s="25"/>
      <c r="C485" s="25"/>
      <c r="D485" s="4"/>
      <c r="E485" s="4"/>
      <c r="F485" s="4"/>
      <c r="G485" s="4"/>
      <c r="H485" s="72"/>
      <c r="I485" s="73"/>
      <c r="J485" s="74"/>
      <c r="K485" s="7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4"/>
      <c r="B486" s="25"/>
      <c r="C486" s="25"/>
      <c r="D486" s="4"/>
      <c r="E486" s="4"/>
      <c r="F486" s="4"/>
      <c r="G486" s="4"/>
      <c r="H486" s="72"/>
      <c r="I486" s="73"/>
      <c r="J486" s="74"/>
      <c r="K486" s="7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4"/>
      <c r="B487" s="25"/>
      <c r="C487" s="25"/>
      <c r="D487" s="4"/>
      <c r="E487" s="4"/>
      <c r="F487" s="4"/>
      <c r="G487" s="4"/>
      <c r="H487" s="72"/>
      <c r="I487" s="73"/>
      <c r="J487" s="74"/>
      <c r="K487" s="7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4"/>
      <c r="B488" s="25"/>
      <c r="C488" s="25"/>
      <c r="D488" s="4"/>
      <c r="E488" s="4"/>
      <c r="F488" s="4"/>
      <c r="G488" s="4"/>
      <c r="H488" s="72"/>
      <c r="I488" s="73"/>
      <c r="J488" s="74"/>
      <c r="K488" s="7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4"/>
      <c r="B489" s="25"/>
      <c r="C489" s="25"/>
      <c r="D489" s="4"/>
      <c r="E489" s="4"/>
      <c r="F489" s="4"/>
      <c r="G489" s="4"/>
      <c r="H489" s="72"/>
      <c r="I489" s="73"/>
      <c r="J489" s="74"/>
      <c r="K489" s="7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4"/>
      <c r="B490" s="25"/>
      <c r="C490" s="25"/>
      <c r="D490" s="4"/>
      <c r="E490" s="4"/>
      <c r="F490" s="4"/>
      <c r="G490" s="4"/>
      <c r="H490" s="72"/>
      <c r="I490" s="73"/>
      <c r="J490" s="74"/>
      <c r="K490" s="7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4"/>
      <c r="B491" s="25"/>
      <c r="C491" s="25"/>
      <c r="D491" s="4"/>
      <c r="E491" s="4"/>
      <c r="F491" s="4"/>
      <c r="G491" s="4"/>
      <c r="H491" s="72"/>
      <c r="I491" s="73"/>
      <c r="J491" s="74"/>
      <c r="K491" s="7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4"/>
      <c r="B492" s="25"/>
      <c r="C492" s="25"/>
      <c r="D492" s="4"/>
      <c r="E492" s="4"/>
      <c r="F492" s="4"/>
      <c r="G492" s="4"/>
      <c r="H492" s="72"/>
      <c r="I492" s="73"/>
      <c r="J492" s="74"/>
      <c r="K492" s="7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4"/>
      <c r="B493" s="25"/>
      <c r="C493" s="25"/>
      <c r="D493" s="4"/>
      <c r="E493" s="4"/>
      <c r="F493" s="4"/>
      <c r="G493" s="4"/>
      <c r="H493" s="72"/>
      <c r="I493" s="73"/>
      <c r="J493" s="74"/>
      <c r="K493" s="7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4"/>
      <c r="B494" s="25"/>
      <c r="C494" s="25"/>
      <c r="D494" s="4"/>
      <c r="E494" s="4"/>
      <c r="F494" s="4"/>
      <c r="G494" s="4"/>
      <c r="H494" s="72"/>
      <c r="I494" s="73"/>
      <c r="J494" s="74"/>
      <c r="K494" s="7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4"/>
      <c r="B495" s="25"/>
      <c r="C495" s="25"/>
      <c r="D495" s="4"/>
      <c r="E495" s="4"/>
      <c r="F495" s="4"/>
      <c r="G495" s="4"/>
      <c r="H495" s="72"/>
      <c r="I495" s="73"/>
      <c r="J495" s="74"/>
      <c r="K495" s="7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4"/>
      <c r="B496" s="25"/>
      <c r="C496" s="25"/>
      <c r="D496" s="4"/>
      <c r="E496" s="4"/>
      <c r="F496" s="4"/>
      <c r="G496" s="4"/>
      <c r="H496" s="72"/>
      <c r="I496" s="73"/>
      <c r="J496" s="74"/>
      <c r="K496" s="7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4"/>
      <c r="B497" s="25"/>
      <c r="C497" s="25"/>
      <c r="D497" s="4"/>
      <c r="E497" s="4"/>
      <c r="F497" s="4"/>
      <c r="G497" s="4"/>
      <c r="H497" s="72"/>
      <c r="I497" s="73"/>
      <c r="J497" s="74"/>
      <c r="K497" s="7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4"/>
      <c r="B498" s="25"/>
      <c r="C498" s="25"/>
      <c r="D498" s="4"/>
      <c r="E498" s="4"/>
      <c r="F498" s="4"/>
      <c r="G498" s="4"/>
      <c r="H498" s="72"/>
      <c r="I498" s="73"/>
      <c r="J498" s="74"/>
      <c r="K498" s="7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4"/>
      <c r="B499" s="25"/>
      <c r="C499" s="25"/>
      <c r="D499" s="4"/>
      <c r="E499" s="4"/>
      <c r="F499" s="4"/>
      <c r="G499" s="4"/>
      <c r="H499" s="72"/>
      <c r="I499" s="73"/>
      <c r="J499" s="74"/>
      <c r="K499" s="7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4"/>
      <c r="B500" s="25"/>
      <c r="C500" s="25"/>
      <c r="D500" s="4"/>
      <c r="E500" s="4"/>
      <c r="F500" s="4"/>
      <c r="G500" s="4"/>
      <c r="H500" s="72"/>
      <c r="I500" s="73"/>
      <c r="J500" s="74"/>
      <c r="K500" s="7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4"/>
      <c r="B501" s="25"/>
      <c r="C501" s="25"/>
      <c r="D501" s="4"/>
      <c r="E501" s="4"/>
      <c r="F501" s="4"/>
      <c r="G501" s="4"/>
      <c r="H501" s="72"/>
      <c r="I501" s="73"/>
      <c r="J501" s="74"/>
      <c r="K501" s="7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4"/>
      <c r="B502" s="25"/>
      <c r="C502" s="25"/>
      <c r="D502" s="4"/>
      <c r="E502" s="4"/>
      <c r="F502" s="4"/>
      <c r="G502" s="4"/>
      <c r="H502" s="72"/>
      <c r="I502" s="73"/>
      <c r="J502" s="74"/>
      <c r="K502" s="7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4"/>
      <c r="B503" s="25"/>
      <c r="C503" s="25"/>
      <c r="D503" s="4"/>
      <c r="E503" s="4"/>
      <c r="F503" s="4"/>
      <c r="G503" s="4"/>
      <c r="H503" s="72"/>
      <c r="I503" s="73"/>
      <c r="J503" s="74"/>
      <c r="K503" s="7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4"/>
      <c r="B504" s="25"/>
      <c r="C504" s="25"/>
      <c r="D504" s="4"/>
      <c r="E504" s="4"/>
      <c r="F504" s="4"/>
      <c r="G504" s="4"/>
      <c r="H504" s="72"/>
      <c r="I504" s="73"/>
      <c r="J504" s="74"/>
      <c r="K504" s="7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4"/>
      <c r="B505" s="25"/>
      <c r="C505" s="25"/>
      <c r="D505" s="4"/>
      <c r="E505" s="4"/>
      <c r="F505" s="4"/>
      <c r="G505" s="4"/>
      <c r="H505" s="72"/>
      <c r="I505" s="73"/>
      <c r="J505" s="74"/>
      <c r="K505" s="7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4"/>
      <c r="B506" s="25"/>
      <c r="C506" s="25"/>
      <c r="D506" s="4"/>
      <c r="E506" s="4"/>
      <c r="F506" s="4"/>
      <c r="G506" s="4"/>
      <c r="H506" s="72"/>
      <c r="I506" s="73"/>
      <c r="J506" s="74"/>
      <c r="K506" s="7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4"/>
      <c r="B507" s="25"/>
      <c r="C507" s="25"/>
      <c r="D507" s="4"/>
      <c r="E507" s="4"/>
      <c r="F507" s="4"/>
      <c r="G507" s="4"/>
      <c r="H507" s="72"/>
      <c r="I507" s="73"/>
      <c r="J507" s="74"/>
      <c r="K507" s="7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4"/>
      <c r="B508" s="25"/>
      <c r="C508" s="25"/>
      <c r="D508" s="4"/>
      <c r="E508" s="4"/>
      <c r="F508" s="4"/>
      <c r="G508" s="4"/>
      <c r="H508" s="72"/>
      <c r="I508" s="73"/>
      <c r="J508" s="74"/>
      <c r="K508" s="7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4"/>
      <c r="B509" s="25"/>
      <c r="C509" s="25"/>
      <c r="D509" s="4"/>
      <c r="E509" s="4"/>
      <c r="F509" s="4"/>
      <c r="G509" s="4"/>
      <c r="H509" s="72"/>
      <c r="I509" s="73"/>
      <c r="J509" s="74"/>
      <c r="K509" s="7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4"/>
      <c r="B510" s="25"/>
      <c r="C510" s="25"/>
      <c r="D510" s="4"/>
      <c r="E510" s="4"/>
      <c r="F510" s="4"/>
      <c r="G510" s="4"/>
      <c r="H510" s="72"/>
      <c r="I510" s="73"/>
      <c r="J510" s="74"/>
      <c r="K510" s="7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4"/>
      <c r="B511" s="25"/>
      <c r="C511" s="25"/>
      <c r="D511" s="4"/>
      <c r="E511" s="4"/>
      <c r="F511" s="4"/>
      <c r="G511" s="4"/>
      <c r="H511" s="72"/>
      <c r="I511" s="73"/>
      <c r="J511" s="74"/>
      <c r="K511" s="7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4"/>
      <c r="B512" s="25"/>
      <c r="C512" s="25"/>
      <c r="D512" s="4"/>
      <c r="E512" s="4"/>
      <c r="F512" s="4"/>
      <c r="G512" s="4"/>
      <c r="H512" s="72"/>
      <c r="I512" s="73"/>
      <c r="J512" s="74"/>
      <c r="K512" s="7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4"/>
      <c r="B513" s="25"/>
      <c r="C513" s="25"/>
      <c r="D513" s="4"/>
      <c r="E513" s="4"/>
      <c r="F513" s="4"/>
      <c r="G513" s="4"/>
      <c r="H513" s="72"/>
      <c r="I513" s="73"/>
      <c r="J513" s="74"/>
      <c r="K513" s="7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4"/>
      <c r="B514" s="25"/>
      <c r="C514" s="25"/>
      <c r="D514" s="4"/>
      <c r="E514" s="4"/>
      <c r="F514" s="4"/>
      <c r="G514" s="4"/>
      <c r="H514" s="72"/>
      <c r="I514" s="73"/>
      <c r="J514" s="74"/>
      <c r="K514" s="7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4"/>
      <c r="B515" s="25"/>
      <c r="C515" s="25"/>
      <c r="D515" s="4"/>
      <c r="E515" s="4"/>
      <c r="F515" s="4"/>
      <c r="G515" s="4"/>
      <c r="H515" s="72"/>
      <c r="I515" s="73"/>
      <c r="J515" s="74"/>
      <c r="K515" s="7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4"/>
      <c r="B516" s="25"/>
      <c r="C516" s="25"/>
      <c r="D516" s="4"/>
      <c r="E516" s="4"/>
      <c r="F516" s="4"/>
      <c r="G516" s="4"/>
      <c r="H516" s="72"/>
      <c r="I516" s="73"/>
      <c r="J516" s="74"/>
      <c r="K516" s="7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4"/>
      <c r="B517" s="25"/>
      <c r="C517" s="25"/>
      <c r="D517" s="4"/>
      <c r="E517" s="4"/>
      <c r="F517" s="4"/>
      <c r="G517" s="4"/>
      <c r="H517" s="72"/>
      <c r="I517" s="73"/>
      <c r="J517" s="74"/>
      <c r="K517" s="7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4"/>
      <c r="B518" s="25"/>
      <c r="C518" s="25"/>
      <c r="D518" s="4"/>
      <c r="E518" s="4"/>
      <c r="F518" s="4"/>
      <c r="G518" s="4"/>
      <c r="H518" s="72"/>
      <c r="I518" s="73"/>
      <c r="J518" s="74"/>
      <c r="K518" s="7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4"/>
      <c r="B519" s="25"/>
      <c r="C519" s="25"/>
      <c r="D519" s="4"/>
      <c r="E519" s="4"/>
      <c r="F519" s="4"/>
      <c r="G519" s="4"/>
      <c r="H519" s="72"/>
      <c r="I519" s="73"/>
      <c r="J519" s="74"/>
      <c r="K519" s="7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4"/>
      <c r="B520" s="25"/>
      <c r="C520" s="25"/>
      <c r="D520" s="4"/>
      <c r="E520" s="4"/>
      <c r="F520" s="4"/>
      <c r="G520" s="4"/>
      <c r="H520" s="72"/>
      <c r="I520" s="73"/>
      <c r="J520" s="74"/>
      <c r="K520" s="7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4"/>
      <c r="B521" s="25"/>
      <c r="C521" s="25"/>
      <c r="D521" s="4"/>
      <c r="E521" s="4"/>
      <c r="F521" s="4"/>
      <c r="G521" s="4"/>
      <c r="H521" s="72"/>
      <c r="I521" s="73"/>
      <c r="J521" s="74"/>
      <c r="K521" s="7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4"/>
      <c r="B522" s="25"/>
      <c r="C522" s="25"/>
      <c r="D522" s="4"/>
      <c r="E522" s="4"/>
      <c r="F522" s="4"/>
      <c r="G522" s="4"/>
      <c r="H522" s="72"/>
      <c r="I522" s="73"/>
      <c r="J522" s="74"/>
      <c r="K522" s="7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4"/>
      <c r="B523" s="25"/>
      <c r="C523" s="25"/>
      <c r="D523" s="4"/>
      <c r="E523" s="4"/>
      <c r="F523" s="4"/>
      <c r="G523" s="4"/>
      <c r="H523" s="72"/>
      <c r="I523" s="73"/>
      <c r="J523" s="74"/>
      <c r="K523" s="7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4"/>
      <c r="B524" s="25"/>
      <c r="C524" s="25"/>
      <c r="D524" s="4"/>
      <c r="E524" s="4"/>
      <c r="F524" s="4"/>
      <c r="G524" s="4"/>
      <c r="H524" s="72"/>
      <c r="I524" s="73"/>
      <c r="J524" s="74"/>
      <c r="K524" s="7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4"/>
      <c r="B525" s="25"/>
      <c r="C525" s="25"/>
      <c r="D525" s="4"/>
      <c r="E525" s="4"/>
      <c r="F525" s="4"/>
      <c r="G525" s="4"/>
      <c r="H525" s="72"/>
      <c r="I525" s="73"/>
      <c r="J525" s="74"/>
      <c r="K525" s="7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4"/>
      <c r="B526" s="25"/>
      <c r="C526" s="25"/>
      <c r="D526" s="4"/>
      <c r="E526" s="4"/>
      <c r="F526" s="4"/>
      <c r="G526" s="4"/>
      <c r="H526" s="72"/>
      <c r="I526" s="73"/>
      <c r="J526" s="74"/>
      <c r="K526" s="7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4"/>
      <c r="B527" s="25"/>
      <c r="C527" s="25"/>
      <c r="D527" s="4"/>
      <c r="E527" s="4"/>
      <c r="F527" s="4"/>
      <c r="G527" s="4"/>
      <c r="H527" s="72"/>
      <c r="I527" s="73"/>
      <c r="J527" s="74"/>
      <c r="K527" s="7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4"/>
      <c r="B528" s="25"/>
      <c r="C528" s="25"/>
      <c r="D528" s="4"/>
      <c r="E528" s="4"/>
      <c r="F528" s="4"/>
      <c r="G528" s="4"/>
      <c r="H528" s="72"/>
      <c r="I528" s="73"/>
      <c r="J528" s="74"/>
      <c r="K528" s="7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4"/>
      <c r="B529" s="25"/>
      <c r="C529" s="25"/>
      <c r="D529" s="4"/>
      <c r="E529" s="4"/>
      <c r="F529" s="4"/>
      <c r="G529" s="4"/>
      <c r="H529" s="72"/>
      <c r="I529" s="73"/>
      <c r="J529" s="74"/>
      <c r="K529" s="7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4"/>
      <c r="B530" s="25"/>
      <c r="C530" s="25"/>
      <c r="D530" s="4"/>
      <c r="E530" s="4"/>
      <c r="F530" s="4"/>
      <c r="G530" s="4"/>
      <c r="H530" s="72"/>
      <c r="I530" s="73"/>
      <c r="J530" s="74"/>
      <c r="K530" s="7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4"/>
      <c r="B531" s="25"/>
      <c r="C531" s="25"/>
      <c r="D531" s="4"/>
      <c r="E531" s="4"/>
      <c r="F531" s="4"/>
      <c r="G531" s="4"/>
      <c r="H531" s="72"/>
      <c r="I531" s="73"/>
      <c r="J531" s="74"/>
      <c r="K531" s="7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4"/>
      <c r="B532" s="25"/>
      <c r="C532" s="25"/>
      <c r="D532" s="4"/>
      <c r="E532" s="4"/>
      <c r="F532" s="4"/>
      <c r="G532" s="4"/>
      <c r="H532" s="72"/>
      <c r="I532" s="73"/>
      <c r="J532" s="74"/>
      <c r="K532" s="7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4"/>
      <c r="B533" s="25"/>
      <c r="C533" s="25"/>
      <c r="D533" s="4"/>
      <c r="E533" s="4"/>
      <c r="F533" s="4"/>
      <c r="G533" s="4"/>
      <c r="H533" s="72"/>
      <c r="I533" s="73"/>
      <c r="J533" s="74"/>
      <c r="K533" s="7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4"/>
      <c r="B534" s="25"/>
      <c r="C534" s="25"/>
      <c r="D534" s="4"/>
      <c r="E534" s="4"/>
      <c r="F534" s="4"/>
      <c r="G534" s="4"/>
      <c r="H534" s="72"/>
      <c r="I534" s="73"/>
      <c r="J534" s="74"/>
      <c r="K534" s="7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4"/>
      <c r="B535" s="25"/>
      <c r="C535" s="25"/>
      <c r="D535" s="4"/>
      <c r="E535" s="4"/>
      <c r="F535" s="4"/>
      <c r="G535" s="4"/>
      <c r="H535" s="72"/>
      <c r="I535" s="73"/>
      <c r="J535" s="74"/>
      <c r="K535" s="7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4"/>
      <c r="B536" s="25"/>
      <c r="C536" s="25"/>
      <c r="D536" s="4"/>
      <c r="E536" s="4"/>
      <c r="F536" s="4"/>
      <c r="G536" s="4"/>
      <c r="H536" s="72"/>
      <c r="I536" s="73"/>
      <c r="J536" s="74"/>
      <c r="K536" s="7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4"/>
      <c r="B537" s="25"/>
      <c r="C537" s="25"/>
      <c r="D537" s="4"/>
      <c r="E537" s="4"/>
      <c r="F537" s="4"/>
      <c r="G537" s="4"/>
      <c r="H537" s="72"/>
      <c r="I537" s="73"/>
      <c r="J537" s="74"/>
      <c r="K537" s="7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4"/>
      <c r="B538" s="25"/>
      <c r="C538" s="25"/>
      <c r="D538" s="4"/>
      <c r="E538" s="4"/>
      <c r="F538" s="4"/>
      <c r="G538" s="4"/>
      <c r="H538" s="72"/>
      <c r="I538" s="73"/>
      <c r="J538" s="74"/>
      <c r="K538" s="7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4"/>
      <c r="B539" s="25"/>
      <c r="C539" s="25"/>
      <c r="D539" s="4"/>
      <c r="E539" s="4"/>
      <c r="F539" s="4"/>
      <c r="G539" s="4"/>
      <c r="H539" s="72"/>
      <c r="I539" s="73"/>
      <c r="J539" s="74"/>
      <c r="K539" s="7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4"/>
      <c r="B540" s="25"/>
      <c r="C540" s="25"/>
      <c r="D540" s="4"/>
      <c r="E540" s="4"/>
      <c r="F540" s="4"/>
      <c r="G540" s="4"/>
      <c r="H540" s="72"/>
      <c r="I540" s="73"/>
      <c r="J540" s="74"/>
      <c r="K540" s="7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4"/>
      <c r="B541" s="25"/>
      <c r="C541" s="25"/>
      <c r="D541" s="4"/>
      <c r="E541" s="4"/>
      <c r="F541" s="4"/>
      <c r="G541" s="4"/>
      <c r="H541" s="72"/>
      <c r="I541" s="73"/>
      <c r="J541" s="74"/>
      <c r="K541" s="7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4"/>
      <c r="B542" s="25"/>
      <c r="C542" s="25"/>
      <c r="D542" s="4"/>
      <c r="E542" s="4"/>
      <c r="F542" s="4"/>
      <c r="G542" s="4"/>
      <c r="H542" s="72"/>
      <c r="I542" s="73"/>
      <c r="J542" s="74"/>
      <c r="K542" s="7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4"/>
      <c r="B543" s="25"/>
      <c r="C543" s="25"/>
      <c r="D543" s="4"/>
      <c r="E543" s="4"/>
      <c r="F543" s="4"/>
      <c r="G543" s="4"/>
      <c r="H543" s="72"/>
      <c r="I543" s="73"/>
      <c r="J543" s="74"/>
      <c r="K543" s="7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4"/>
      <c r="B544" s="25"/>
      <c r="C544" s="25"/>
      <c r="D544" s="4"/>
      <c r="E544" s="4"/>
      <c r="F544" s="4"/>
      <c r="G544" s="4"/>
      <c r="H544" s="72"/>
      <c r="I544" s="73"/>
      <c r="J544" s="74"/>
      <c r="K544" s="7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4"/>
      <c r="B545" s="25"/>
      <c r="C545" s="25"/>
      <c r="D545" s="4"/>
      <c r="E545" s="4"/>
      <c r="F545" s="4"/>
      <c r="G545" s="4"/>
      <c r="H545" s="72"/>
      <c r="I545" s="73"/>
      <c r="J545" s="74"/>
      <c r="K545" s="7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4"/>
      <c r="B546" s="25"/>
      <c r="C546" s="25"/>
      <c r="D546" s="4"/>
      <c r="E546" s="4"/>
      <c r="F546" s="4"/>
      <c r="G546" s="4"/>
      <c r="H546" s="72"/>
      <c r="I546" s="73"/>
      <c r="J546" s="74"/>
      <c r="K546" s="7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4"/>
      <c r="B547" s="25"/>
      <c r="C547" s="25"/>
      <c r="D547" s="4"/>
      <c r="E547" s="4"/>
      <c r="F547" s="4"/>
      <c r="G547" s="4"/>
      <c r="H547" s="72"/>
      <c r="I547" s="73"/>
      <c r="J547" s="74"/>
      <c r="K547" s="7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4"/>
      <c r="B548" s="25"/>
      <c r="C548" s="25"/>
      <c r="D548" s="4"/>
      <c r="E548" s="4"/>
      <c r="F548" s="4"/>
      <c r="G548" s="4"/>
      <c r="H548" s="72"/>
      <c r="I548" s="73"/>
      <c r="J548" s="74"/>
      <c r="K548" s="7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4"/>
      <c r="B549" s="25"/>
      <c r="C549" s="25"/>
      <c r="D549" s="4"/>
      <c r="E549" s="4"/>
      <c r="F549" s="4"/>
      <c r="G549" s="4"/>
      <c r="H549" s="72"/>
      <c r="I549" s="73"/>
      <c r="J549" s="74"/>
      <c r="K549" s="7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4"/>
      <c r="B550" s="25"/>
      <c r="C550" s="25"/>
      <c r="D550" s="4"/>
      <c r="E550" s="4"/>
      <c r="F550" s="4"/>
      <c r="G550" s="4"/>
      <c r="H550" s="72"/>
      <c r="I550" s="73"/>
      <c r="J550" s="74"/>
      <c r="K550" s="7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4"/>
      <c r="B551" s="25"/>
      <c r="C551" s="25"/>
      <c r="D551" s="4"/>
      <c r="E551" s="4"/>
      <c r="F551" s="4"/>
      <c r="G551" s="4"/>
      <c r="H551" s="72"/>
      <c r="I551" s="73"/>
      <c r="J551" s="74"/>
      <c r="K551" s="7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4"/>
      <c r="B552" s="25"/>
      <c r="C552" s="25"/>
      <c r="D552" s="4"/>
      <c r="E552" s="4"/>
      <c r="F552" s="4"/>
      <c r="G552" s="4"/>
      <c r="H552" s="72"/>
      <c r="I552" s="73"/>
      <c r="J552" s="74"/>
      <c r="K552" s="7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4"/>
      <c r="B553" s="25"/>
      <c r="C553" s="25"/>
      <c r="D553" s="4"/>
      <c r="E553" s="4"/>
      <c r="F553" s="4"/>
      <c r="G553" s="4"/>
      <c r="H553" s="72"/>
      <c r="I553" s="73"/>
      <c r="J553" s="74"/>
      <c r="K553" s="7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4"/>
      <c r="B554" s="25"/>
      <c r="C554" s="25"/>
      <c r="D554" s="4"/>
      <c r="E554" s="4"/>
      <c r="F554" s="4"/>
      <c r="G554" s="4"/>
      <c r="H554" s="72"/>
      <c r="I554" s="73"/>
      <c r="J554" s="74"/>
      <c r="K554" s="7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4"/>
      <c r="B555" s="25"/>
      <c r="C555" s="25"/>
      <c r="D555" s="4"/>
      <c r="E555" s="4"/>
      <c r="F555" s="4"/>
      <c r="G555" s="4"/>
      <c r="H555" s="72"/>
      <c r="I555" s="73"/>
      <c r="J555" s="74"/>
      <c r="K555" s="7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4"/>
      <c r="B556" s="25"/>
      <c r="C556" s="25"/>
      <c r="D556" s="4"/>
      <c r="E556" s="4"/>
      <c r="F556" s="4"/>
      <c r="G556" s="4"/>
      <c r="H556" s="72"/>
      <c r="I556" s="73"/>
      <c r="J556" s="74"/>
      <c r="K556" s="7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4"/>
      <c r="B557" s="25"/>
      <c r="C557" s="25"/>
      <c r="D557" s="4"/>
      <c r="E557" s="4"/>
      <c r="F557" s="4"/>
      <c r="G557" s="4"/>
      <c r="H557" s="72"/>
      <c r="I557" s="73"/>
      <c r="J557" s="74"/>
      <c r="K557" s="7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4"/>
      <c r="B558" s="25"/>
      <c r="C558" s="25"/>
      <c r="D558" s="4"/>
      <c r="E558" s="4"/>
      <c r="F558" s="4"/>
      <c r="G558" s="4"/>
      <c r="H558" s="72"/>
      <c r="I558" s="73"/>
      <c r="J558" s="74"/>
      <c r="K558" s="7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4"/>
      <c r="B559" s="25"/>
      <c r="C559" s="25"/>
      <c r="D559" s="4"/>
      <c r="E559" s="4"/>
      <c r="F559" s="4"/>
      <c r="G559" s="4"/>
      <c r="H559" s="72"/>
      <c r="I559" s="73"/>
      <c r="J559" s="74"/>
      <c r="K559" s="7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4"/>
      <c r="B560" s="25"/>
      <c r="C560" s="25"/>
      <c r="D560" s="4"/>
      <c r="E560" s="4"/>
      <c r="F560" s="4"/>
      <c r="G560" s="4"/>
      <c r="H560" s="72"/>
      <c r="I560" s="73"/>
      <c r="J560" s="74"/>
      <c r="K560" s="7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4"/>
      <c r="B561" s="25"/>
      <c r="C561" s="25"/>
      <c r="D561" s="4"/>
      <c r="E561" s="4"/>
      <c r="F561" s="4"/>
      <c r="G561" s="4"/>
      <c r="H561" s="72"/>
      <c r="I561" s="73"/>
      <c r="J561" s="74"/>
      <c r="K561" s="7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4"/>
      <c r="B562" s="25"/>
      <c r="C562" s="25"/>
      <c r="D562" s="4"/>
      <c r="E562" s="4"/>
      <c r="F562" s="4"/>
      <c r="G562" s="4"/>
      <c r="H562" s="72"/>
      <c r="I562" s="73"/>
      <c r="J562" s="74"/>
      <c r="K562" s="7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4"/>
      <c r="B563" s="25"/>
      <c r="C563" s="25"/>
      <c r="D563" s="4"/>
      <c r="E563" s="4"/>
      <c r="F563" s="4"/>
      <c r="G563" s="4"/>
      <c r="H563" s="72"/>
      <c r="I563" s="73"/>
      <c r="J563" s="74"/>
      <c r="K563" s="7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4"/>
      <c r="B564" s="25"/>
      <c r="C564" s="25"/>
      <c r="D564" s="4"/>
      <c r="E564" s="4"/>
      <c r="F564" s="4"/>
      <c r="G564" s="4"/>
      <c r="H564" s="72"/>
      <c r="I564" s="73"/>
      <c r="J564" s="74"/>
      <c r="K564" s="7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4"/>
      <c r="B565" s="25"/>
      <c r="C565" s="25"/>
      <c r="D565" s="4"/>
      <c r="E565" s="4"/>
      <c r="F565" s="4"/>
      <c r="G565" s="4"/>
      <c r="H565" s="72"/>
      <c r="I565" s="73"/>
      <c r="J565" s="74"/>
      <c r="K565" s="7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4"/>
      <c r="B566" s="25"/>
      <c r="C566" s="25"/>
      <c r="D566" s="4"/>
      <c r="E566" s="4"/>
      <c r="F566" s="4"/>
      <c r="G566" s="4"/>
      <c r="H566" s="72"/>
      <c r="I566" s="73"/>
      <c r="J566" s="74"/>
      <c r="K566" s="7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4"/>
      <c r="B567" s="25"/>
      <c r="C567" s="25"/>
      <c r="D567" s="4"/>
      <c r="E567" s="4"/>
      <c r="F567" s="4"/>
      <c r="G567" s="4"/>
      <c r="H567" s="72"/>
      <c r="I567" s="73"/>
      <c r="J567" s="74"/>
      <c r="K567" s="7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4"/>
      <c r="B568" s="25"/>
      <c r="C568" s="25"/>
      <c r="D568" s="4"/>
      <c r="E568" s="4"/>
      <c r="F568" s="4"/>
      <c r="G568" s="4"/>
      <c r="H568" s="72"/>
      <c r="I568" s="73"/>
      <c r="J568" s="74"/>
      <c r="K568" s="7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4"/>
      <c r="B569" s="25"/>
      <c r="C569" s="25"/>
      <c r="D569" s="4"/>
      <c r="E569" s="4"/>
      <c r="F569" s="4"/>
      <c r="G569" s="4"/>
      <c r="H569" s="72"/>
      <c r="I569" s="73"/>
      <c r="J569" s="74"/>
      <c r="K569" s="7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4"/>
      <c r="B570" s="25"/>
      <c r="C570" s="25"/>
      <c r="D570" s="4"/>
      <c r="E570" s="4"/>
      <c r="F570" s="4"/>
      <c r="G570" s="4"/>
      <c r="H570" s="72"/>
      <c r="I570" s="73"/>
      <c r="J570" s="74"/>
      <c r="K570" s="7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4"/>
      <c r="B571" s="25"/>
      <c r="C571" s="25"/>
      <c r="D571" s="4"/>
      <c r="E571" s="4"/>
      <c r="F571" s="4"/>
      <c r="G571" s="4"/>
      <c r="H571" s="72"/>
      <c r="I571" s="73"/>
      <c r="J571" s="74"/>
      <c r="K571" s="7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4"/>
      <c r="B572" s="25"/>
      <c r="C572" s="25"/>
      <c r="D572" s="4"/>
      <c r="E572" s="4"/>
      <c r="F572" s="4"/>
      <c r="G572" s="4"/>
      <c r="H572" s="72"/>
      <c r="I572" s="73"/>
      <c r="J572" s="74"/>
      <c r="K572" s="7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4"/>
      <c r="B573" s="25"/>
      <c r="C573" s="25"/>
      <c r="D573" s="4"/>
      <c r="E573" s="4"/>
      <c r="F573" s="4"/>
      <c r="G573" s="4"/>
      <c r="H573" s="72"/>
      <c r="I573" s="73"/>
      <c r="J573" s="74"/>
      <c r="K573" s="7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4"/>
      <c r="B574" s="25"/>
      <c r="C574" s="25"/>
      <c r="D574" s="4"/>
      <c r="E574" s="4"/>
      <c r="F574" s="4"/>
      <c r="G574" s="4"/>
      <c r="H574" s="72"/>
      <c r="I574" s="73"/>
      <c r="J574" s="74"/>
      <c r="K574" s="7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4"/>
      <c r="B575" s="25"/>
      <c r="C575" s="25"/>
      <c r="D575" s="4"/>
      <c r="E575" s="4"/>
      <c r="F575" s="4"/>
      <c r="G575" s="4"/>
      <c r="H575" s="72"/>
      <c r="I575" s="73"/>
      <c r="J575" s="74"/>
      <c r="K575" s="7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4"/>
      <c r="B576" s="25"/>
      <c r="C576" s="25"/>
      <c r="D576" s="4"/>
      <c r="E576" s="4"/>
      <c r="F576" s="4"/>
      <c r="G576" s="4"/>
      <c r="H576" s="72"/>
      <c r="I576" s="73"/>
      <c r="J576" s="74"/>
      <c r="K576" s="7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4"/>
      <c r="B577" s="25"/>
      <c r="C577" s="25"/>
      <c r="D577" s="4"/>
      <c r="E577" s="4"/>
      <c r="F577" s="4"/>
      <c r="G577" s="4"/>
      <c r="H577" s="72"/>
      <c r="I577" s="73"/>
      <c r="J577" s="74"/>
      <c r="K577" s="7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4"/>
      <c r="B578" s="25"/>
      <c r="C578" s="25"/>
      <c r="D578" s="4"/>
      <c r="E578" s="4"/>
      <c r="F578" s="4"/>
      <c r="G578" s="4"/>
      <c r="H578" s="72"/>
      <c r="I578" s="73"/>
      <c r="J578" s="74"/>
      <c r="K578" s="7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4"/>
      <c r="B579" s="25"/>
      <c r="C579" s="25"/>
      <c r="D579" s="4"/>
      <c r="E579" s="4"/>
      <c r="F579" s="4"/>
      <c r="G579" s="4"/>
      <c r="H579" s="72"/>
      <c r="I579" s="73"/>
      <c r="J579" s="74"/>
      <c r="K579" s="7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4"/>
      <c r="B580" s="25"/>
      <c r="C580" s="25"/>
      <c r="D580" s="4"/>
      <c r="E580" s="4"/>
      <c r="F580" s="4"/>
      <c r="G580" s="4"/>
      <c r="H580" s="72"/>
      <c r="I580" s="73"/>
      <c r="J580" s="74"/>
      <c r="K580" s="7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4"/>
      <c r="B581" s="25"/>
      <c r="C581" s="25"/>
      <c r="D581" s="4"/>
      <c r="E581" s="4"/>
      <c r="F581" s="4"/>
      <c r="G581" s="4"/>
      <c r="H581" s="72"/>
      <c r="I581" s="73"/>
      <c r="J581" s="74"/>
      <c r="K581" s="7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4"/>
      <c r="B582" s="25"/>
      <c r="C582" s="25"/>
      <c r="D582" s="4"/>
      <c r="E582" s="4"/>
      <c r="F582" s="4"/>
      <c r="G582" s="4"/>
      <c r="H582" s="72"/>
      <c r="I582" s="73"/>
      <c r="J582" s="74"/>
      <c r="K582" s="7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4"/>
      <c r="B583" s="25"/>
      <c r="C583" s="25"/>
      <c r="D583" s="4"/>
      <c r="E583" s="4"/>
      <c r="F583" s="4"/>
      <c r="G583" s="4"/>
      <c r="H583" s="72"/>
      <c r="I583" s="73"/>
      <c r="J583" s="74"/>
      <c r="K583" s="7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4"/>
      <c r="B584" s="25"/>
      <c r="C584" s="25"/>
      <c r="D584" s="4"/>
      <c r="E584" s="4"/>
      <c r="F584" s="4"/>
      <c r="G584" s="4"/>
      <c r="H584" s="72"/>
      <c r="I584" s="73"/>
      <c r="J584" s="74"/>
      <c r="K584" s="7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4"/>
      <c r="B585" s="25"/>
      <c r="C585" s="25"/>
      <c r="D585" s="4"/>
      <c r="E585" s="4"/>
      <c r="F585" s="4"/>
      <c r="G585" s="4"/>
      <c r="H585" s="72"/>
      <c r="I585" s="73"/>
      <c r="J585" s="74"/>
      <c r="K585" s="7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4"/>
      <c r="B586" s="25"/>
      <c r="C586" s="25"/>
      <c r="D586" s="4"/>
      <c r="E586" s="4"/>
      <c r="F586" s="4"/>
      <c r="G586" s="4"/>
      <c r="H586" s="72"/>
      <c r="I586" s="73"/>
      <c r="J586" s="74"/>
      <c r="K586" s="7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4"/>
      <c r="B587" s="25"/>
      <c r="C587" s="25"/>
      <c r="D587" s="4"/>
      <c r="E587" s="4"/>
      <c r="F587" s="4"/>
      <c r="G587" s="4"/>
      <c r="H587" s="72"/>
      <c r="I587" s="73"/>
      <c r="J587" s="74"/>
      <c r="K587" s="7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4"/>
      <c r="B588" s="25"/>
      <c r="C588" s="25"/>
      <c r="D588" s="4"/>
      <c r="E588" s="4"/>
      <c r="F588" s="4"/>
      <c r="G588" s="4"/>
      <c r="H588" s="72"/>
      <c r="I588" s="73"/>
      <c r="J588" s="74"/>
      <c r="K588" s="7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4"/>
      <c r="B589" s="25"/>
      <c r="C589" s="25"/>
      <c r="D589" s="4"/>
      <c r="E589" s="4"/>
      <c r="F589" s="4"/>
      <c r="G589" s="4"/>
      <c r="H589" s="72"/>
      <c r="I589" s="73"/>
      <c r="J589" s="74"/>
      <c r="K589" s="7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4"/>
      <c r="B590" s="25"/>
      <c r="C590" s="25"/>
      <c r="D590" s="4"/>
      <c r="E590" s="4"/>
      <c r="F590" s="4"/>
      <c r="G590" s="4"/>
      <c r="H590" s="72"/>
      <c r="I590" s="73"/>
      <c r="J590" s="74"/>
      <c r="K590" s="7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4"/>
      <c r="B591" s="25"/>
      <c r="C591" s="25"/>
      <c r="D591" s="4"/>
      <c r="E591" s="4"/>
      <c r="F591" s="4"/>
      <c r="G591" s="4"/>
      <c r="H591" s="72"/>
      <c r="I591" s="73"/>
      <c r="J591" s="74"/>
      <c r="K591" s="7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4"/>
      <c r="B592" s="25"/>
      <c r="C592" s="25"/>
      <c r="D592" s="4"/>
      <c r="E592" s="4"/>
      <c r="F592" s="4"/>
      <c r="G592" s="4"/>
      <c r="H592" s="72"/>
      <c r="I592" s="73"/>
      <c r="J592" s="74"/>
      <c r="K592" s="7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4"/>
      <c r="B593" s="25"/>
      <c r="C593" s="25"/>
      <c r="D593" s="4"/>
      <c r="E593" s="4"/>
      <c r="F593" s="4"/>
      <c r="G593" s="4"/>
      <c r="H593" s="72"/>
      <c r="I593" s="73"/>
      <c r="J593" s="74"/>
      <c r="K593" s="7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4"/>
      <c r="B594" s="25"/>
      <c r="C594" s="25"/>
      <c r="D594" s="4"/>
      <c r="E594" s="4"/>
      <c r="F594" s="4"/>
      <c r="G594" s="4"/>
      <c r="H594" s="72"/>
      <c r="I594" s="73"/>
      <c r="J594" s="74"/>
      <c r="K594" s="7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4"/>
      <c r="B595" s="25"/>
      <c r="C595" s="25"/>
      <c r="D595" s="4"/>
      <c r="E595" s="4"/>
      <c r="F595" s="4"/>
      <c r="G595" s="4"/>
      <c r="H595" s="72"/>
      <c r="I595" s="73"/>
      <c r="J595" s="74"/>
      <c r="K595" s="7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4"/>
      <c r="B596" s="25"/>
      <c r="C596" s="25"/>
      <c r="D596" s="4"/>
      <c r="E596" s="4"/>
      <c r="F596" s="4"/>
      <c r="G596" s="4"/>
      <c r="H596" s="72"/>
      <c r="I596" s="73"/>
      <c r="J596" s="74"/>
      <c r="K596" s="7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4"/>
      <c r="B597" s="25"/>
      <c r="C597" s="25"/>
      <c r="D597" s="4"/>
      <c r="E597" s="4"/>
      <c r="F597" s="4"/>
      <c r="G597" s="4"/>
      <c r="H597" s="72"/>
      <c r="I597" s="73"/>
      <c r="J597" s="74"/>
      <c r="K597" s="7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4"/>
      <c r="B598" s="25"/>
      <c r="C598" s="25"/>
      <c r="D598" s="4"/>
      <c r="E598" s="4"/>
      <c r="F598" s="4"/>
      <c r="G598" s="4"/>
      <c r="H598" s="72"/>
      <c r="I598" s="73"/>
      <c r="J598" s="74"/>
      <c r="K598" s="7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4"/>
      <c r="B599" s="25"/>
      <c r="C599" s="25"/>
      <c r="D599" s="4"/>
      <c r="E599" s="4"/>
      <c r="F599" s="4"/>
      <c r="G599" s="4"/>
      <c r="H599" s="72"/>
      <c r="I599" s="73"/>
      <c r="J599" s="74"/>
      <c r="K599" s="7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4"/>
      <c r="B600" s="25"/>
      <c r="C600" s="25"/>
      <c r="D600" s="4"/>
      <c r="E600" s="4"/>
      <c r="F600" s="4"/>
      <c r="G600" s="4"/>
      <c r="H600" s="72"/>
      <c r="I600" s="73"/>
      <c r="J600" s="74"/>
      <c r="K600" s="7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4"/>
      <c r="B601" s="25"/>
      <c r="C601" s="25"/>
      <c r="D601" s="4"/>
      <c r="E601" s="4"/>
      <c r="F601" s="4"/>
      <c r="G601" s="4"/>
      <c r="H601" s="72"/>
      <c r="I601" s="73"/>
      <c r="J601" s="74"/>
      <c r="K601" s="7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4"/>
      <c r="B602" s="25"/>
      <c r="C602" s="25"/>
      <c r="D602" s="4"/>
      <c r="E602" s="4"/>
      <c r="F602" s="4"/>
      <c r="G602" s="4"/>
      <c r="H602" s="72"/>
      <c r="I602" s="73"/>
      <c r="J602" s="74"/>
      <c r="K602" s="7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4"/>
      <c r="B603" s="25"/>
      <c r="C603" s="25"/>
      <c r="D603" s="4"/>
      <c r="E603" s="4"/>
      <c r="F603" s="4"/>
      <c r="G603" s="4"/>
      <c r="H603" s="72"/>
      <c r="I603" s="73"/>
      <c r="J603" s="74"/>
      <c r="K603" s="7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4"/>
      <c r="B604" s="25"/>
      <c r="C604" s="25"/>
      <c r="D604" s="4"/>
      <c r="E604" s="4"/>
      <c r="F604" s="4"/>
      <c r="G604" s="4"/>
      <c r="H604" s="72"/>
      <c r="I604" s="73"/>
      <c r="J604" s="74"/>
      <c r="K604" s="7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4"/>
      <c r="B605" s="25"/>
      <c r="C605" s="25"/>
      <c r="D605" s="4"/>
      <c r="E605" s="4"/>
      <c r="F605" s="4"/>
      <c r="G605" s="4"/>
      <c r="H605" s="72"/>
      <c r="I605" s="73"/>
      <c r="J605" s="74"/>
      <c r="K605" s="7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4"/>
      <c r="B606" s="25"/>
      <c r="C606" s="25"/>
      <c r="D606" s="4"/>
      <c r="E606" s="4"/>
      <c r="F606" s="4"/>
      <c r="G606" s="4"/>
      <c r="H606" s="72"/>
      <c r="I606" s="73"/>
      <c r="J606" s="74"/>
      <c r="K606" s="7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4"/>
      <c r="B607" s="25"/>
      <c r="C607" s="25"/>
      <c r="D607" s="4"/>
      <c r="E607" s="4"/>
      <c r="F607" s="4"/>
      <c r="G607" s="4"/>
      <c r="H607" s="72"/>
      <c r="I607" s="73"/>
      <c r="J607" s="74"/>
      <c r="K607" s="7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4"/>
      <c r="B608" s="25"/>
      <c r="C608" s="25"/>
      <c r="D608" s="4"/>
      <c r="E608" s="4"/>
      <c r="F608" s="4"/>
      <c r="G608" s="4"/>
      <c r="H608" s="72"/>
      <c r="I608" s="73"/>
      <c r="J608" s="74"/>
      <c r="K608" s="7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4"/>
      <c r="B609" s="25"/>
      <c r="C609" s="25"/>
      <c r="D609" s="4"/>
      <c r="E609" s="4"/>
      <c r="F609" s="4"/>
      <c r="G609" s="4"/>
      <c r="H609" s="72"/>
      <c r="I609" s="73"/>
      <c r="J609" s="74"/>
      <c r="K609" s="7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4"/>
      <c r="B610" s="25"/>
      <c r="C610" s="25"/>
      <c r="D610" s="4"/>
      <c r="E610" s="4"/>
      <c r="F610" s="4"/>
      <c r="G610" s="4"/>
      <c r="H610" s="72"/>
      <c r="I610" s="73"/>
      <c r="J610" s="74"/>
      <c r="K610" s="7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4"/>
      <c r="B611" s="25"/>
      <c r="C611" s="25"/>
      <c r="D611" s="4"/>
      <c r="E611" s="4"/>
      <c r="F611" s="4"/>
      <c r="G611" s="4"/>
      <c r="H611" s="72"/>
      <c r="I611" s="73"/>
      <c r="J611" s="74"/>
      <c r="K611" s="7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4"/>
      <c r="B612" s="25"/>
      <c r="C612" s="25"/>
      <c r="D612" s="4"/>
      <c r="E612" s="4"/>
      <c r="F612" s="4"/>
      <c r="G612" s="4"/>
      <c r="H612" s="72"/>
      <c r="I612" s="73"/>
      <c r="J612" s="74"/>
      <c r="K612" s="7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4"/>
      <c r="B613" s="25"/>
      <c r="C613" s="25"/>
      <c r="D613" s="4"/>
      <c r="E613" s="4"/>
      <c r="F613" s="4"/>
      <c r="G613" s="4"/>
      <c r="H613" s="72"/>
      <c r="I613" s="73"/>
      <c r="J613" s="74"/>
      <c r="K613" s="7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4"/>
      <c r="B614" s="25"/>
      <c r="C614" s="25"/>
      <c r="D614" s="4"/>
      <c r="E614" s="4"/>
      <c r="F614" s="4"/>
      <c r="G614" s="4"/>
      <c r="H614" s="72"/>
      <c r="I614" s="73"/>
      <c r="J614" s="74"/>
      <c r="K614" s="7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4"/>
      <c r="B615" s="25"/>
      <c r="C615" s="25"/>
      <c r="D615" s="4"/>
      <c r="E615" s="4"/>
      <c r="F615" s="4"/>
      <c r="G615" s="4"/>
      <c r="H615" s="72"/>
      <c r="I615" s="73"/>
      <c r="J615" s="74"/>
      <c r="K615" s="7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4"/>
      <c r="B616" s="25"/>
      <c r="C616" s="25"/>
      <c r="D616" s="4"/>
      <c r="E616" s="4"/>
      <c r="F616" s="4"/>
      <c r="G616" s="4"/>
      <c r="H616" s="72"/>
      <c r="I616" s="73"/>
      <c r="J616" s="74"/>
      <c r="K616" s="7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4"/>
      <c r="B617" s="25"/>
      <c r="C617" s="25"/>
      <c r="D617" s="4"/>
      <c r="E617" s="4"/>
      <c r="F617" s="4"/>
      <c r="G617" s="4"/>
      <c r="H617" s="72"/>
      <c r="I617" s="73"/>
      <c r="J617" s="74"/>
      <c r="K617" s="7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4"/>
      <c r="B618" s="25"/>
      <c r="C618" s="25"/>
      <c r="D618" s="4"/>
      <c r="E618" s="4"/>
      <c r="F618" s="4"/>
      <c r="G618" s="4"/>
      <c r="H618" s="72"/>
      <c r="I618" s="73"/>
      <c r="J618" s="74"/>
      <c r="K618" s="7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4"/>
      <c r="B619" s="25"/>
      <c r="C619" s="25"/>
      <c r="D619" s="4"/>
      <c r="E619" s="4"/>
      <c r="F619" s="4"/>
      <c r="G619" s="4"/>
      <c r="H619" s="72"/>
      <c r="I619" s="73"/>
      <c r="J619" s="74"/>
      <c r="K619" s="7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4"/>
      <c r="B620" s="25"/>
      <c r="C620" s="25"/>
      <c r="D620" s="4"/>
      <c r="E620" s="4"/>
      <c r="F620" s="4"/>
      <c r="G620" s="4"/>
      <c r="H620" s="72"/>
      <c r="I620" s="73"/>
      <c r="J620" s="74"/>
      <c r="K620" s="7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4"/>
      <c r="B621" s="25"/>
      <c r="C621" s="25"/>
      <c r="D621" s="4"/>
      <c r="E621" s="4"/>
      <c r="F621" s="4"/>
      <c r="G621" s="4"/>
      <c r="H621" s="72"/>
      <c r="I621" s="73"/>
      <c r="J621" s="74"/>
      <c r="K621" s="7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4"/>
      <c r="B622" s="25"/>
      <c r="C622" s="25"/>
      <c r="D622" s="4"/>
      <c r="E622" s="4"/>
      <c r="F622" s="4"/>
      <c r="G622" s="4"/>
      <c r="H622" s="72"/>
      <c r="I622" s="73"/>
      <c r="J622" s="74"/>
      <c r="K622" s="7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4"/>
      <c r="B623" s="25"/>
      <c r="C623" s="25"/>
      <c r="D623" s="4"/>
      <c r="E623" s="4"/>
      <c r="F623" s="4"/>
      <c r="G623" s="4"/>
      <c r="H623" s="72"/>
      <c r="I623" s="73"/>
      <c r="J623" s="74"/>
      <c r="K623" s="7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4"/>
      <c r="B624" s="25"/>
      <c r="C624" s="25"/>
      <c r="D624" s="4"/>
      <c r="E624" s="4"/>
      <c r="F624" s="4"/>
      <c r="G624" s="4"/>
      <c r="H624" s="72"/>
      <c r="I624" s="73"/>
      <c r="J624" s="74"/>
      <c r="K624" s="7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4"/>
      <c r="B625" s="25"/>
      <c r="C625" s="25"/>
      <c r="D625" s="4"/>
      <c r="E625" s="4"/>
      <c r="F625" s="4"/>
      <c r="G625" s="4"/>
      <c r="H625" s="72"/>
      <c r="I625" s="73"/>
      <c r="J625" s="74"/>
      <c r="K625" s="7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4"/>
      <c r="B626" s="25"/>
      <c r="C626" s="25"/>
      <c r="D626" s="4"/>
      <c r="E626" s="4"/>
      <c r="F626" s="4"/>
      <c r="G626" s="4"/>
      <c r="H626" s="72"/>
      <c r="I626" s="73"/>
      <c r="J626" s="74"/>
      <c r="K626" s="7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4"/>
      <c r="B627" s="25"/>
      <c r="C627" s="25"/>
      <c r="D627" s="4"/>
      <c r="E627" s="4"/>
      <c r="F627" s="4"/>
      <c r="G627" s="4"/>
      <c r="H627" s="72"/>
      <c r="I627" s="73"/>
      <c r="J627" s="74"/>
      <c r="K627" s="7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4"/>
      <c r="B628" s="25"/>
      <c r="C628" s="25"/>
      <c r="D628" s="4"/>
      <c r="E628" s="4"/>
      <c r="F628" s="4"/>
      <c r="G628" s="4"/>
      <c r="H628" s="72"/>
      <c r="I628" s="73"/>
      <c r="J628" s="74"/>
      <c r="K628" s="7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4"/>
      <c r="B629" s="25"/>
      <c r="C629" s="25"/>
      <c r="D629" s="4"/>
      <c r="E629" s="4"/>
      <c r="F629" s="4"/>
      <c r="G629" s="4"/>
      <c r="H629" s="72"/>
      <c r="I629" s="73"/>
      <c r="J629" s="74"/>
      <c r="K629" s="7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4"/>
      <c r="B630" s="25"/>
      <c r="C630" s="25"/>
      <c r="D630" s="4"/>
      <c r="E630" s="4"/>
      <c r="F630" s="4"/>
      <c r="G630" s="4"/>
      <c r="H630" s="72"/>
      <c r="I630" s="73"/>
      <c r="J630" s="74"/>
      <c r="K630" s="7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4"/>
      <c r="B631" s="25"/>
      <c r="C631" s="25"/>
      <c r="D631" s="4"/>
      <c r="E631" s="4"/>
      <c r="F631" s="4"/>
      <c r="G631" s="4"/>
      <c r="H631" s="72"/>
      <c r="I631" s="73"/>
      <c r="J631" s="74"/>
      <c r="K631" s="7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4"/>
      <c r="B632" s="25"/>
      <c r="C632" s="25"/>
      <c r="D632" s="4"/>
      <c r="E632" s="4"/>
      <c r="F632" s="4"/>
      <c r="G632" s="4"/>
      <c r="H632" s="72"/>
      <c r="I632" s="73"/>
      <c r="J632" s="74"/>
      <c r="K632" s="7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4"/>
      <c r="B633" s="25"/>
      <c r="C633" s="25"/>
      <c r="D633" s="4"/>
      <c r="E633" s="4"/>
      <c r="F633" s="4"/>
      <c r="G633" s="4"/>
      <c r="H633" s="72"/>
      <c r="I633" s="73"/>
      <c r="J633" s="74"/>
      <c r="K633" s="7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4"/>
      <c r="B634" s="25"/>
      <c r="C634" s="25"/>
      <c r="D634" s="4"/>
      <c r="E634" s="4"/>
      <c r="F634" s="4"/>
      <c r="G634" s="4"/>
      <c r="H634" s="72"/>
      <c r="I634" s="73"/>
      <c r="J634" s="74"/>
      <c r="K634" s="7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4"/>
      <c r="B635" s="25"/>
      <c r="C635" s="25"/>
      <c r="D635" s="4"/>
      <c r="E635" s="4"/>
      <c r="F635" s="4"/>
      <c r="G635" s="4"/>
      <c r="H635" s="72"/>
      <c r="I635" s="73"/>
      <c r="J635" s="74"/>
      <c r="K635" s="7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4"/>
      <c r="B636" s="25"/>
      <c r="C636" s="25"/>
      <c r="D636" s="4"/>
      <c r="E636" s="4"/>
      <c r="F636" s="4"/>
      <c r="G636" s="4"/>
      <c r="H636" s="72"/>
      <c r="I636" s="73"/>
      <c r="J636" s="74"/>
      <c r="K636" s="7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4"/>
      <c r="B637" s="25"/>
      <c r="C637" s="25"/>
      <c r="D637" s="4"/>
      <c r="E637" s="4"/>
      <c r="F637" s="4"/>
      <c r="G637" s="4"/>
      <c r="H637" s="72"/>
      <c r="I637" s="73"/>
      <c r="J637" s="74"/>
      <c r="K637" s="7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4"/>
      <c r="B638" s="25"/>
      <c r="C638" s="25"/>
      <c r="D638" s="4"/>
      <c r="E638" s="4"/>
      <c r="F638" s="4"/>
      <c r="G638" s="4"/>
      <c r="H638" s="72"/>
      <c r="I638" s="73"/>
      <c r="J638" s="74"/>
      <c r="K638" s="7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4"/>
      <c r="B639" s="25"/>
      <c r="C639" s="25"/>
      <c r="D639" s="4"/>
      <c r="E639" s="4"/>
      <c r="F639" s="4"/>
      <c r="G639" s="4"/>
      <c r="H639" s="72"/>
      <c r="I639" s="73"/>
      <c r="J639" s="74"/>
      <c r="K639" s="7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4"/>
      <c r="B640" s="25"/>
      <c r="C640" s="25"/>
      <c r="D640" s="4"/>
      <c r="E640" s="4"/>
      <c r="F640" s="4"/>
      <c r="G640" s="4"/>
      <c r="H640" s="72"/>
      <c r="I640" s="73"/>
      <c r="J640" s="74"/>
      <c r="K640" s="7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4"/>
      <c r="B641" s="25"/>
      <c r="C641" s="25"/>
      <c r="D641" s="4"/>
      <c r="E641" s="4"/>
      <c r="F641" s="4"/>
      <c r="G641" s="4"/>
      <c r="H641" s="72"/>
      <c r="I641" s="73"/>
      <c r="J641" s="74"/>
      <c r="K641" s="7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4"/>
      <c r="B642" s="25"/>
      <c r="C642" s="25"/>
      <c r="D642" s="4"/>
      <c r="E642" s="4"/>
      <c r="F642" s="4"/>
      <c r="G642" s="4"/>
      <c r="H642" s="72"/>
      <c r="I642" s="73"/>
      <c r="J642" s="74"/>
      <c r="K642" s="7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4"/>
      <c r="B643" s="25"/>
      <c r="C643" s="25"/>
      <c r="D643" s="4"/>
      <c r="E643" s="4"/>
      <c r="F643" s="4"/>
      <c r="G643" s="4"/>
      <c r="H643" s="72"/>
      <c r="I643" s="73"/>
      <c r="J643" s="74"/>
      <c r="K643" s="7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4"/>
      <c r="B644" s="25"/>
      <c r="C644" s="25"/>
      <c r="D644" s="4"/>
      <c r="E644" s="4"/>
      <c r="F644" s="4"/>
      <c r="G644" s="4"/>
      <c r="H644" s="72"/>
      <c r="I644" s="73"/>
      <c r="J644" s="74"/>
      <c r="K644" s="7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4"/>
      <c r="B645" s="25"/>
      <c r="C645" s="25"/>
      <c r="D645" s="4"/>
      <c r="E645" s="4"/>
      <c r="F645" s="4"/>
      <c r="G645" s="4"/>
      <c r="H645" s="72"/>
      <c r="I645" s="73"/>
      <c r="J645" s="74"/>
      <c r="K645" s="7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4"/>
      <c r="B646" s="25"/>
      <c r="C646" s="25"/>
      <c r="D646" s="4"/>
      <c r="E646" s="4"/>
      <c r="F646" s="4"/>
      <c r="G646" s="4"/>
      <c r="H646" s="72"/>
      <c r="I646" s="73"/>
      <c r="J646" s="74"/>
      <c r="K646" s="7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4"/>
      <c r="B647" s="25"/>
      <c r="C647" s="25"/>
      <c r="D647" s="4"/>
      <c r="E647" s="4"/>
      <c r="F647" s="4"/>
      <c r="G647" s="4"/>
      <c r="H647" s="72"/>
      <c r="I647" s="73"/>
      <c r="J647" s="74"/>
      <c r="K647" s="7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4"/>
      <c r="B648" s="25"/>
      <c r="C648" s="25"/>
      <c r="D648" s="4"/>
      <c r="E648" s="4"/>
      <c r="F648" s="4"/>
      <c r="G648" s="4"/>
      <c r="H648" s="72"/>
      <c r="I648" s="73"/>
      <c r="J648" s="74"/>
      <c r="K648" s="7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4"/>
      <c r="B649" s="25"/>
      <c r="C649" s="25"/>
      <c r="D649" s="4"/>
      <c r="E649" s="4"/>
      <c r="F649" s="4"/>
      <c r="G649" s="4"/>
      <c r="H649" s="72"/>
      <c r="I649" s="73"/>
      <c r="J649" s="74"/>
      <c r="K649" s="7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4"/>
      <c r="B650" s="25"/>
      <c r="C650" s="25"/>
      <c r="D650" s="4"/>
      <c r="E650" s="4"/>
      <c r="F650" s="4"/>
      <c r="G650" s="4"/>
      <c r="H650" s="72"/>
      <c r="I650" s="73"/>
      <c r="J650" s="74"/>
      <c r="K650" s="7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4"/>
      <c r="B651" s="25"/>
      <c r="C651" s="25"/>
      <c r="D651" s="4"/>
      <c r="E651" s="4"/>
      <c r="F651" s="4"/>
      <c r="G651" s="4"/>
      <c r="H651" s="72"/>
      <c r="I651" s="73"/>
      <c r="J651" s="74"/>
      <c r="K651" s="7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4"/>
      <c r="B652" s="25"/>
      <c r="C652" s="25"/>
      <c r="D652" s="4"/>
      <c r="E652" s="4"/>
      <c r="F652" s="4"/>
      <c r="G652" s="4"/>
      <c r="H652" s="72"/>
      <c r="I652" s="73"/>
      <c r="J652" s="74"/>
      <c r="K652" s="7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4"/>
      <c r="B653" s="25"/>
      <c r="C653" s="25"/>
      <c r="D653" s="4"/>
      <c r="E653" s="4"/>
      <c r="F653" s="4"/>
      <c r="G653" s="4"/>
      <c r="H653" s="72"/>
      <c r="I653" s="73"/>
      <c r="J653" s="74"/>
      <c r="K653" s="7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4"/>
      <c r="B654" s="25"/>
      <c r="C654" s="25"/>
      <c r="D654" s="4"/>
      <c r="E654" s="4"/>
      <c r="F654" s="4"/>
      <c r="G654" s="4"/>
      <c r="H654" s="72"/>
      <c r="I654" s="73"/>
      <c r="J654" s="74"/>
      <c r="K654" s="7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4"/>
      <c r="B655" s="25"/>
      <c r="C655" s="25"/>
      <c r="D655" s="4"/>
      <c r="E655" s="4"/>
      <c r="F655" s="4"/>
      <c r="G655" s="4"/>
      <c r="H655" s="72"/>
      <c r="I655" s="73"/>
      <c r="J655" s="74"/>
      <c r="K655" s="7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4"/>
      <c r="B656" s="25"/>
      <c r="C656" s="25"/>
      <c r="D656" s="4"/>
      <c r="E656" s="4"/>
      <c r="F656" s="4"/>
      <c r="G656" s="4"/>
      <c r="H656" s="72"/>
      <c r="I656" s="73"/>
      <c r="J656" s="74"/>
      <c r="K656" s="7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4"/>
      <c r="B657" s="25"/>
      <c r="C657" s="25"/>
      <c r="D657" s="4"/>
      <c r="E657" s="4"/>
      <c r="F657" s="4"/>
      <c r="G657" s="4"/>
      <c r="H657" s="72"/>
      <c r="I657" s="73"/>
      <c r="J657" s="74"/>
      <c r="K657" s="7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4"/>
      <c r="B658" s="25"/>
      <c r="C658" s="25"/>
      <c r="D658" s="4"/>
      <c r="E658" s="4"/>
      <c r="F658" s="4"/>
      <c r="G658" s="4"/>
      <c r="H658" s="72"/>
      <c r="I658" s="73"/>
      <c r="J658" s="74"/>
      <c r="K658" s="7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4"/>
      <c r="B659" s="25"/>
      <c r="C659" s="25"/>
      <c r="D659" s="4"/>
      <c r="E659" s="4"/>
      <c r="F659" s="4"/>
      <c r="G659" s="4"/>
      <c r="H659" s="72"/>
      <c r="I659" s="73"/>
      <c r="J659" s="74"/>
      <c r="K659" s="7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4"/>
      <c r="B660" s="25"/>
      <c r="C660" s="25"/>
      <c r="D660" s="4"/>
      <c r="E660" s="4"/>
      <c r="F660" s="4"/>
      <c r="G660" s="4"/>
      <c r="H660" s="72"/>
      <c r="I660" s="73"/>
      <c r="J660" s="74"/>
      <c r="K660" s="7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4"/>
      <c r="B661" s="25"/>
      <c r="C661" s="25"/>
      <c r="D661" s="4"/>
      <c r="E661" s="4"/>
      <c r="F661" s="4"/>
      <c r="G661" s="4"/>
      <c r="H661" s="72"/>
      <c r="I661" s="73"/>
      <c r="J661" s="74"/>
      <c r="K661" s="7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4"/>
      <c r="B662" s="25"/>
      <c r="C662" s="25"/>
      <c r="D662" s="4"/>
      <c r="E662" s="4"/>
      <c r="F662" s="4"/>
      <c r="G662" s="4"/>
      <c r="H662" s="72"/>
      <c r="I662" s="73"/>
      <c r="J662" s="74"/>
      <c r="K662" s="7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4"/>
      <c r="B663" s="25"/>
      <c r="C663" s="25"/>
      <c r="D663" s="4"/>
      <c r="E663" s="4"/>
      <c r="F663" s="4"/>
      <c r="G663" s="4"/>
      <c r="H663" s="72"/>
      <c r="I663" s="73"/>
      <c r="J663" s="74"/>
      <c r="K663" s="7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4"/>
      <c r="B664" s="25"/>
      <c r="C664" s="25"/>
      <c r="D664" s="4"/>
      <c r="E664" s="4"/>
      <c r="F664" s="4"/>
      <c r="G664" s="4"/>
      <c r="H664" s="72"/>
      <c r="I664" s="73"/>
      <c r="J664" s="74"/>
      <c r="K664" s="7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4"/>
      <c r="B665" s="25"/>
      <c r="C665" s="25"/>
      <c r="D665" s="4"/>
      <c r="E665" s="4"/>
      <c r="F665" s="4"/>
      <c r="G665" s="4"/>
      <c r="H665" s="72"/>
      <c r="I665" s="73"/>
      <c r="J665" s="74"/>
      <c r="K665" s="7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4"/>
      <c r="B666" s="25"/>
      <c r="C666" s="25"/>
      <c r="D666" s="4"/>
      <c r="E666" s="4"/>
      <c r="F666" s="4"/>
      <c r="G666" s="4"/>
      <c r="H666" s="72"/>
      <c r="I666" s="73"/>
      <c r="J666" s="74"/>
      <c r="K666" s="7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4"/>
      <c r="B667" s="25"/>
      <c r="C667" s="25"/>
      <c r="D667" s="4"/>
      <c r="E667" s="4"/>
      <c r="F667" s="4"/>
      <c r="G667" s="4"/>
      <c r="H667" s="72"/>
      <c r="I667" s="73"/>
      <c r="J667" s="74"/>
      <c r="K667" s="7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4"/>
      <c r="B668" s="25"/>
      <c r="C668" s="25"/>
      <c r="D668" s="4"/>
      <c r="E668" s="4"/>
      <c r="F668" s="4"/>
      <c r="G668" s="4"/>
      <c r="H668" s="72"/>
      <c r="I668" s="73"/>
      <c r="J668" s="74"/>
      <c r="K668" s="7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4"/>
      <c r="B669" s="25"/>
      <c r="C669" s="25"/>
      <c r="D669" s="4"/>
      <c r="E669" s="4"/>
      <c r="F669" s="4"/>
      <c r="G669" s="4"/>
      <c r="H669" s="72"/>
      <c r="I669" s="73"/>
      <c r="J669" s="74"/>
      <c r="K669" s="7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4"/>
      <c r="B670" s="25"/>
      <c r="C670" s="25"/>
      <c r="D670" s="4"/>
      <c r="E670" s="4"/>
      <c r="F670" s="4"/>
      <c r="G670" s="4"/>
      <c r="H670" s="72"/>
      <c r="I670" s="73"/>
      <c r="J670" s="74"/>
      <c r="K670" s="7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4"/>
      <c r="B671" s="25"/>
      <c r="C671" s="25"/>
      <c r="D671" s="4"/>
      <c r="E671" s="4"/>
      <c r="F671" s="4"/>
      <c r="G671" s="4"/>
      <c r="H671" s="72"/>
      <c r="I671" s="73"/>
      <c r="J671" s="74"/>
      <c r="K671" s="7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4"/>
      <c r="B672" s="25"/>
      <c r="C672" s="25"/>
      <c r="D672" s="4"/>
      <c r="E672" s="4"/>
      <c r="F672" s="4"/>
      <c r="G672" s="4"/>
      <c r="H672" s="72"/>
      <c r="I672" s="73"/>
      <c r="J672" s="74"/>
      <c r="K672" s="7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4"/>
      <c r="B673" s="25"/>
      <c r="C673" s="25"/>
      <c r="D673" s="4"/>
      <c r="E673" s="4"/>
      <c r="F673" s="4"/>
      <c r="G673" s="4"/>
      <c r="H673" s="72"/>
      <c r="I673" s="73"/>
      <c r="J673" s="74"/>
      <c r="K673" s="7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4"/>
      <c r="B674" s="25"/>
      <c r="C674" s="25"/>
      <c r="D674" s="4"/>
      <c r="E674" s="4"/>
      <c r="F674" s="4"/>
      <c r="G674" s="4"/>
      <c r="H674" s="72"/>
      <c r="I674" s="73"/>
      <c r="J674" s="74"/>
      <c r="K674" s="7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4"/>
      <c r="B675" s="25"/>
      <c r="C675" s="25"/>
      <c r="D675" s="4"/>
      <c r="E675" s="4"/>
      <c r="F675" s="4"/>
      <c r="G675" s="4"/>
      <c r="H675" s="72"/>
      <c r="I675" s="73"/>
      <c r="J675" s="74"/>
      <c r="K675" s="7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4"/>
      <c r="B676" s="25"/>
      <c r="C676" s="25"/>
      <c r="D676" s="4"/>
      <c r="E676" s="4"/>
      <c r="F676" s="4"/>
      <c r="G676" s="4"/>
      <c r="H676" s="72"/>
      <c r="I676" s="73"/>
      <c r="J676" s="74"/>
      <c r="K676" s="7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4"/>
      <c r="B677" s="25"/>
      <c r="C677" s="25"/>
      <c r="D677" s="4"/>
      <c r="E677" s="4"/>
      <c r="F677" s="4"/>
      <c r="G677" s="4"/>
      <c r="H677" s="72"/>
      <c r="I677" s="73"/>
      <c r="J677" s="74"/>
      <c r="K677" s="7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4"/>
      <c r="B678" s="25"/>
      <c r="C678" s="25"/>
      <c r="D678" s="4"/>
      <c r="E678" s="4"/>
      <c r="F678" s="4"/>
      <c r="G678" s="4"/>
      <c r="H678" s="72"/>
      <c r="I678" s="73"/>
      <c r="J678" s="74"/>
      <c r="K678" s="7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4"/>
      <c r="B679" s="25"/>
      <c r="C679" s="25"/>
      <c r="D679" s="4"/>
      <c r="E679" s="4"/>
      <c r="F679" s="4"/>
      <c r="G679" s="4"/>
      <c r="H679" s="72"/>
      <c r="I679" s="73"/>
      <c r="J679" s="74"/>
      <c r="K679" s="7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4"/>
      <c r="B680" s="25"/>
      <c r="C680" s="25"/>
      <c r="D680" s="4"/>
      <c r="E680" s="4"/>
      <c r="F680" s="4"/>
      <c r="G680" s="4"/>
      <c r="H680" s="72"/>
      <c r="I680" s="73"/>
      <c r="J680" s="74"/>
      <c r="K680" s="7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4"/>
      <c r="B681" s="25"/>
      <c r="C681" s="25"/>
      <c r="D681" s="4"/>
      <c r="E681" s="4"/>
      <c r="F681" s="4"/>
      <c r="G681" s="4"/>
      <c r="H681" s="72"/>
      <c r="I681" s="73"/>
      <c r="J681" s="74"/>
      <c r="K681" s="7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4"/>
      <c r="B682" s="25"/>
      <c r="C682" s="25"/>
      <c r="D682" s="4"/>
      <c r="E682" s="4"/>
      <c r="F682" s="4"/>
      <c r="G682" s="4"/>
      <c r="H682" s="72"/>
      <c r="I682" s="73"/>
      <c r="J682" s="74"/>
      <c r="K682" s="7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4"/>
      <c r="B683" s="25"/>
      <c r="C683" s="25"/>
      <c r="D683" s="4"/>
      <c r="E683" s="4"/>
      <c r="F683" s="4"/>
      <c r="G683" s="4"/>
      <c r="H683" s="72"/>
      <c r="I683" s="73"/>
      <c r="J683" s="74"/>
      <c r="K683" s="7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4"/>
      <c r="B684" s="25"/>
      <c r="C684" s="25"/>
      <c r="D684" s="4"/>
      <c r="E684" s="4"/>
      <c r="F684" s="4"/>
      <c r="G684" s="4"/>
      <c r="H684" s="72"/>
      <c r="I684" s="73"/>
      <c r="J684" s="74"/>
      <c r="K684" s="7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4"/>
      <c r="B685" s="25"/>
      <c r="C685" s="25"/>
      <c r="D685" s="4"/>
      <c r="E685" s="4"/>
      <c r="F685" s="4"/>
      <c r="G685" s="4"/>
      <c r="H685" s="72"/>
      <c r="I685" s="73"/>
      <c r="J685" s="74"/>
      <c r="K685" s="7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4"/>
      <c r="B686" s="25"/>
      <c r="C686" s="25"/>
      <c r="D686" s="4"/>
      <c r="E686" s="4"/>
      <c r="F686" s="4"/>
      <c r="G686" s="4"/>
      <c r="H686" s="72"/>
      <c r="I686" s="73"/>
      <c r="J686" s="74"/>
      <c r="K686" s="7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4"/>
      <c r="B687" s="25"/>
      <c r="C687" s="25"/>
      <c r="D687" s="4"/>
      <c r="E687" s="4"/>
      <c r="F687" s="4"/>
      <c r="G687" s="4"/>
      <c r="H687" s="72"/>
      <c r="I687" s="73"/>
      <c r="J687" s="74"/>
      <c r="K687" s="7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4"/>
      <c r="B688" s="25"/>
      <c r="C688" s="25"/>
      <c r="D688" s="4"/>
      <c r="E688" s="4"/>
      <c r="F688" s="4"/>
      <c r="G688" s="4"/>
      <c r="H688" s="72"/>
      <c r="I688" s="73"/>
      <c r="J688" s="74"/>
      <c r="K688" s="7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4"/>
      <c r="B689" s="25"/>
      <c r="C689" s="25"/>
      <c r="D689" s="4"/>
      <c r="E689" s="4"/>
      <c r="F689" s="4"/>
      <c r="G689" s="4"/>
      <c r="H689" s="72"/>
      <c r="I689" s="73"/>
      <c r="J689" s="74"/>
      <c r="K689" s="7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4"/>
      <c r="B690" s="25"/>
      <c r="C690" s="25"/>
      <c r="D690" s="4"/>
      <c r="E690" s="4"/>
      <c r="F690" s="4"/>
      <c r="G690" s="4"/>
      <c r="H690" s="72"/>
      <c r="I690" s="73"/>
      <c r="J690" s="74"/>
      <c r="K690" s="7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4"/>
      <c r="B691" s="25"/>
      <c r="C691" s="25"/>
      <c r="D691" s="4"/>
      <c r="E691" s="4"/>
      <c r="F691" s="4"/>
      <c r="G691" s="4"/>
      <c r="H691" s="72"/>
      <c r="I691" s="73"/>
      <c r="J691" s="74"/>
      <c r="K691" s="7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4"/>
      <c r="B692" s="25"/>
      <c r="C692" s="25"/>
      <c r="D692" s="4"/>
      <c r="E692" s="4"/>
      <c r="F692" s="4"/>
      <c r="G692" s="4"/>
      <c r="H692" s="72"/>
      <c r="I692" s="73"/>
      <c r="J692" s="74"/>
      <c r="K692" s="7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4"/>
      <c r="B693" s="25"/>
      <c r="C693" s="25"/>
      <c r="D693" s="4"/>
      <c r="E693" s="4"/>
      <c r="F693" s="4"/>
      <c r="G693" s="4"/>
      <c r="H693" s="72"/>
      <c r="I693" s="73"/>
      <c r="J693" s="74"/>
      <c r="K693" s="7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4"/>
      <c r="B694" s="25"/>
      <c r="C694" s="25"/>
      <c r="D694" s="4"/>
      <c r="E694" s="4"/>
      <c r="F694" s="4"/>
      <c r="G694" s="4"/>
      <c r="H694" s="72"/>
      <c r="I694" s="73"/>
      <c r="J694" s="74"/>
      <c r="K694" s="7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4"/>
      <c r="B695" s="25"/>
      <c r="C695" s="25"/>
      <c r="D695" s="4"/>
      <c r="E695" s="4"/>
      <c r="F695" s="4"/>
      <c r="G695" s="4"/>
      <c r="H695" s="72"/>
      <c r="I695" s="73"/>
      <c r="J695" s="74"/>
      <c r="K695" s="7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4"/>
      <c r="B696" s="25"/>
      <c r="C696" s="25"/>
      <c r="D696" s="4"/>
      <c r="E696" s="4"/>
      <c r="F696" s="4"/>
      <c r="G696" s="4"/>
      <c r="H696" s="72"/>
      <c r="I696" s="73"/>
      <c r="J696" s="74"/>
      <c r="K696" s="7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4"/>
      <c r="B697" s="25"/>
      <c r="C697" s="25"/>
      <c r="D697" s="4"/>
      <c r="E697" s="4"/>
      <c r="F697" s="4"/>
      <c r="G697" s="4"/>
      <c r="H697" s="72"/>
      <c r="I697" s="73"/>
      <c r="J697" s="74"/>
      <c r="K697" s="7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4"/>
      <c r="B698" s="25"/>
      <c r="C698" s="25"/>
      <c r="D698" s="4"/>
      <c r="E698" s="4"/>
      <c r="F698" s="4"/>
      <c r="G698" s="4"/>
      <c r="H698" s="72"/>
      <c r="I698" s="73"/>
      <c r="J698" s="74"/>
      <c r="K698" s="7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4"/>
      <c r="B699" s="25"/>
      <c r="C699" s="25"/>
      <c r="D699" s="4"/>
      <c r="E699" s="4"/>
      <c r="F699" s="4"/>
      <c r="G699" s="4"/>
      <c r="H699" s="72"/>
      <c r="I699" s="73"/>
      <c r="J699" s="74"/>
      <c r="K699" s="7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4"/>
      <c r="B700" s="25"/>
      <c r="C700" s="25"/>
      <c r="D700" s="4"/>
      <c r="E700" s="4"/>
      <c r="F700" s="4"/>
      <c r="G700" s="4"/>
      <c r="H700" s="72"/>
      <c r="I700" s="73"/>
      <c r="J700" s="74"/>
      <c r="K700" s="7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4"/>
      <c r="B701" s="25"/>
      <c r="C701" s="25"/>
      <c r="D701" s="4"/>
      <c r="E701" s="4"/>
      <c r="F701" s="4"/>
      <c r="G701" s="4"/>
      <c r="H701" s="72"/>
      <c r="I701" s="73"/>
      <c r="J701" s="74"/>
      <c r="K701" s="7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4"/>
      <c r="B702" s="25"/>
      <c r="C702" s="25"/>
      <c r="D702" s="4"/>
      <c r="E702" s="4"/>
      <c r="F702" s="4"/>
      <c r="G702" s="4"/>
      <c r="H702" s="72"/>
      <c r="I702" s="73"/>
      <c r="J702" s="74"/>
      <c r="K702" s="7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4"/>
      <c r="B703" s="25"/>
      <c r="C703" s="25"/>
      <c r="D703" s="4"/>
      <c r="E703" s="4"/>
      <c r="F703" s="4"/>
      <c r="G703" s="4"/>
      <c r="H703" s="72"/>
      <c r="I703" s="73"/>
      <c r="J703" s="74"/>
      <c r="K703" s="7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4"/>
      <c r="B704" s="25"/>
      <c r="C704" s="25"/>
      <c r="D704" s="4"/>
      <c r="E704" s="4"/>
      <c r="F704" s="4"/>
      <c r="G704" s="4"/>
      <c r="H704" s="72"/>
      <c r="I704" s="73"/>
      <c r="J704" s="74"/>
      <c r="K704" s="7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4"/>
      <c r="B705" s="25"/>
      <c r="C705" s="25"/>
      <c r="D705" s="4"/>
      <c r="E705" s="4"/>
      <c r="F705" s="4"/>
      <c r="G705" s="4"/>
      <c r="H705" s="72"/>
      <c r="I705" s="73"/>
      <c r="J705" s="74"/>
      <c r="K705" s="7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4"/>
      <c r="B706" s="25"/>
      <c r="C706" s="25"/>
      <c r="D706" s="4"/>
      <c r="E706" s="4"/>
      <c r="F706" s="4"/>
      <c r="G706" s="4"/>
      <c r="H706" s="72"/>
      <c r="I706" s="73"/>
      <c r="J706" s="74"/>
      <c r="K706" s="7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4"/>
      <c r="B707" s="25"/>
      <c r="C707" s="25"/>
      <c r="D707" s="4"/>
      <c r="E707" s="4"/>
      <c r="F707" s="4"/>
      <c r="G707" s="4"/>
      <c r="H707" s="72"/>
      <c r="I707" s="73"/>
      <c r="J707" s="74"/>
      <c r="K707" s="7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4"/>
      <c r="B708" s="25"/>
      <c r="C708" s="25"/>
      <c r="D708" s="4"/>
      <c r="E708" s="4"/>
      <c r="F708" s="4"/>
      <c r="G708" s="4"/>
      <c r="H708" s="72"/>
      <c r="I708" s="73"/>
      <c r="J708" s="74"/>
      <c r="K708" s="7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4"/>
      <c r="B709" s="25"/>
      <c r="C709" s="25"/>
      <c r="D709" s="4"/>
      <c r="E709" s="4"/>
      <c r="F709" s="4"/>
      <c r="G709" s="4"/>
      <c r="H709" s="72"/>
      <c r="I709" s="73"/>
      <c r="J709" s="74"/>
      <c r="K709" s="7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4"/>
      <c r="B710" s="25"/>
      <c r="C710" s="25"/>
      <c r="D710" s="4"/>
      <c r="E710" s="4"/>
      <c r="F710" s="4"/>
      <c r="G710" s="4"/>
      <c r="H710" s="72"/>
      <c r="I710" s="73"/>
      <c r="J710" s="74"/>
      <c r="K710" s="7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4"/>
      <c r="B711" s="25"/>
      <c r="C711" s="25"/>
      <c r="D711" s="4"/>
      <c r="E711" s="4"/>
      <c r="F711" s="4"/>
      <c r="G711" s="4"/>
      <c r="H711" s="72"/>
      <c r="I711" s="73"/>
      <c r="J711" s="74"/>
      <c r="K711" s="7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4"/>
      <c r="B712" s="25"/>
      <c r="C712" s="25"/>
      <c r="D712" s="4"/>
      <c r="E712" s="4"/>
      <c r="F712" s="4"/>
      <c r="G712" s="4"/>
      <c r="H712" s="72"/>
      <c r="I712" s="73"/>
      <c r="J712" s="74"/>
      <c r="K712" s="7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4"/>
      <c r="B713" s="25"/>
      <c r="C713" s="25"/>
      <c r="D713" s="4"/>
      <c r="E713" s="4"/>
      <c r="F713" s="4"/>
      <c r="G713" s="4"/>
      <c r="H713" s="72"/>
      <c r="I713" s="73"/>
      <c r="J713" s="74"/>
      <c r="K713" s="7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4"/>
      <c r="B714" s="25"/>
      <c r="C714" s="25"/>
      <c r="D714" s="4"/>
      <c r="E714" s="4"/>
      <c r="F714" s="4"/>
      <c r="G714" s="4"/>
      <c r="H714" s="72"/>
      <c r="I714" s="73"/>
      <c r="J714" s="74"/>
      <c r="K714" s="7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4"/>
      <c r="B715" s="25"/>
      <c r="C715" s="25"/>
      <c r="D715" s="4"/>
      <c r="E715" s="4"/>
      <c r="F715" s="4"/>
      <c r="G715" s="4"/>
      <c r="H715" s="72"/>
      <c r="I715" s="73"/>
      <c r="J715" s="74"/>
      <c r="K715" s="7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4"/>
      <c r="B716" s="25"/>
      <c r="C716" s="25"/>
      <c r="D716" s="4"/>
      <c r="E716" s="4"/>
      <c r="F716" s="4"/>
      <c r="G716" s="4"/>
      <c r="H716" s="72"/>
      <c r="I716" s="73"/>
      <c r="J716" s="74"/>
      <c r="K716" s="7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4"/>
      <c r="B717" s="25"/>
      <c r="C717" s="25"/>
      <c r="D717" s="4"/>
      <c r="E717" s="4"/>
      <c r="F717" s="4"/>
      <c r="G717" s="4"/>
      <c r="H717" s="72"/>
      <c r="I717" s="73"/>
      <c r="J717" s="74"/>
      <c r="K717" s="7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4"/>
      <c r="B718" s="25"/>
      <c r="C718" s="25"/>
      <c r="D718" s="4"/>
      <c r="E718" s="4"/>
      <c r="F718" s="4"/>
      <c r="G718" s="4"/>
      <c r="H718" s="72"/>
      <c r="I718" s="73"/>
      <c r="J718" s="74"/>
      <c r="K718" s="7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4"/>
      <c r="B719" s="25"/>
      <c r="C719" s="25"/>
      <c r="D719" s="4"/>
      <c r="E719" s="4"/>
      <c r="F719" s="4"/>
      <c r="G719" s="4"/>
      <c r="H719" s="72"/>
      <c r="I719" s="73"/>
      <c r="J719" s="74"/>
      <c r="K719" s="7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4"/>
      <c r="B720" s="25"/>
      <c r="C720" s="25"/>
      <c r="D720" s="4"/>
      <c r="E720" s="4"/>
      <c r="F720" s="4"/>
      <c r="G720" s="4"/>
      <c r="H720" s="72"/>
      <c r="I720" s="73"/>
      <c r="J720" s="74"/>
      <c r="K720" s="7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4"/>
      <c r="B721" s="25"/>
      <c r="C721" s="25"/>
      <c r="D721" s="4"/>
      <c r="E721" s="4"/>
      <c r="F721" s="4"/>
      <c r="G721" s="4"/>
      <c r="H721" s="72"/>
      <c r="I721" s="73"/>
      <c r="J721" s="74"/>
      <c r="K721" s="7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4"/>
      <c r="B722" s="25"/>
      <c r="C722" s="25"/>
      <c r="D722" s="4"/>
      <c r="E722" s="4"/>
      <c r="F722" s="4"/>
      <c r="G722" s="4"/>
      <c r="H722" s="72"/>
      <c r="I722" s="73"/>
      <c r="J722" s="74"/>
      <c r="K722" s="7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4"/>
      <c r="B723" s="25"/>
      <c r="C723" s="25"/>
      <c r="D723" s="4"/>
      <c r="E723" s="4"/>
      <c r="F723" s="4"/>
      <c r="G723" s="4"/>
      <c r="H723" s="72"/>
      <c r="I723" s="73"/>
      <c r="J723" s="74"/>
      <c r="K723" s="7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4"/>
      <c r="B724" s="25"/>
      <c r="C724" s="25"/>
      <c r="D724" s="4"/>
      <c r="E724" s="4"/>
      <c r="F724" s="4"/>
      <c r="G724" s="4"/>
      <c r="H724" s="72"/>
      <c r="I724" s="73"/>
      <c r="J724" s="74"/>
      <c r="K724" s="7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4"/>
      <c r="B725" s="25"/>
      <c r="C725" s="25"/>
      <c r="D725" s="4"/>
      <c r="E725" s="4"/>
      <c r="F725" s="4"/>
      <c r="G725" s="4"/>
      <c r="H725" s="72"/>
      <c r="I725" s="73"/>
      <c r="J725" s="74"/>
      <c r="K725" s="7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4"/>
      <c r="B726" s="25"/>
      <c r="C726" s="25"/>
      <c r="D726" s="4"/>
      <c r="E726" s="4"/>
      <c r="F726" s="4"/>
      <c r="G726" s="4"/>
      <c r="H726" s="72"/>
      <c r="I726" s="73"/>
      <c r="J726" s="74"/>
      <c r="K726" s="7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4"/>
      <c r="B727" s="25"/>
      <c r="C727" s="25"/>
      <c r="D727" s="4"/>
      <c r="E727" s="4"/>
      <c r="F727" s="4"/>
      <c r="G727" s="4"/>
      <c r="H727" s="72"/>
      <c r="I727" s="73"/>
      <c r="J727" s="74"/>
      <c r="K727" s="7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4"/>
      <c r="B728" s="25"/>
      <c r="C728" s="25"/>
      <c r="D728" s="4"/>
      <c r="E728" s="4"/>
      <c r="F728" s="4"/>
      <c r="G728" s="4"/>
      <c r="H728" s="72"/>
      <c r="I728" s="73"/>
      <c r="J728" s="74"/>
      <c r="K728" s="7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4"/>
      <c r="B729" s="25"/>
      <c r="C729" s="25"/>
      <c r="D729" s="4"/>
      <c r="E729" s="4"/>
      <c r="F729" s="4"/>
      <c r="G729" s="4"/>
      <c r="H729" s="72"/>
      <c r="I729" s="73"/>
      <c r="J729" s="74"/>
      <c r="K729" s="7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4"/>
      <c r="B730" s="25"/>
      <c r="C730" s="25"/>
      <c r="D730" s="4"/>
      <c r="E730" s="4"/>
      <c r="F730" s="4"/>
      <c r="G730" s="4"/>
      <c r="H730" s="72"/>
      <c r="I730" s="73"/>
      <c r="J730" s="74"/>
      <c r="K730" s="7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4"/>
      <c r="B731" s="25"/>
      <c r="C731" s="25"/>
      <c r="D731" s="4"/>
      <c r="E731" s="4"/>
      <c r="F731" s="4"/>
      <c r="G731" s="4"/>
      <c r="H731" s="72"/>
      <c r="I731" s="73"/>
      <c r="J731" s="74"/>
      <c r="K731" s="7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4"/>
      <c r="B732" s="25"/>
      <c r="C732" s="25"/>
      <c r="D732" s="4"/>
      <c r="E732" s="4"/>
      <c r="F732" s="4"/>
      <c r="G732" s="4"/>
      <c r="H732" s="72"/>
      <c r="I732" s="73"/>
      <c r="J732" s="74"/>
      <c r="K732" s="7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4"/>
      <c r="B733" s="25"/>
      <c r="C733" s="25"/>
      <c r="D733" s="4"/>
      <c r="E733" s="4"/>
      <c r="F733" s="4"/>
      <c r="G733" s="4"/>
      <c r="H733" s="72"/>
      <c r="I733" s="73"/>
      <c r="J733" s="74"/>
      <c r="K733" s="7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4"/>
      <c r="B734" s="25"/>
      <c r="C734" s="25"/>
      <c r="D734" s="4"/>
      <c r="E734" s="4"/>
      <c r="F734" s="4"/>
      <c r="G734" s="4"/>
      <c r="H734" s="72"/>
      <c r="I734" s="73"/>
      <c r="J734" s="74"/>
      <c r="K734" s="7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4"/>
      <c r="B735" s="25"/>
      <c r="C735" s="25"/>
      <c r="D735" s="4"/>
      <c r="E735" s="4"/>
      <c r="F735" s="4"/>
      <c r="G735" s="4"/>
      <c r="H735" s="72"/>
      <c r="I735" s="73"/>
      <c r="J735" s="74"/>
      <c r="K735" s="7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4"/>
      <c r="B736" s="25"/>
      <c r="C736" s="25"/>
      <c r="D736" s="4"/>
      <c r="E736" s="4"/>
      <c r="F736" s="4"/>
      <c r="G736" s="4"/>
      <c r="H736" s="72"/>
      <c r="I736" s="73"/>
      <c r="J736" s="74"/>
      <c r="K736" s="7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4"/>
      <c r="B737" s="25"/>
      <c r="C737" s="25"/>
      <c r="D737" s="4"/>
      <c r="E737" s="4"/>
      <c r="F737" s="4"/>
      <c r="G737" s="4"/>
      <c r="H737" s="72"/>
      <c r="I737" s="73"/>
      <c r="J737" s="74"/>
      <c r="K737" s="7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4"/>
      <c r="B738" s="25"/>
      <c r="C738" s="25"/>
      <c r="D738" s="4"/>
      <c r="E738" s="4"/>
      <c r="F738" s="4"/>
      <c r="G738" s="4"/>
      <c r="H738" s="72"/>
      <c r="I738" s="73"/>
      <c r="J738" s="74"/>
      <c r="K738" s="7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4"/>
      <c r="B739" s="25"/>
      <c r="C739" s="25"/>
      <c r="D739" s="4"/>
      <c r="E739" s="4"/>
      <c r="F739" s="4"/>
      <c r="G739" s="4"/>
      <c r="H739" s="72"/>
      <c r="I739" s="73"/>
      <c r="J739" s="74"/>
      <c r="K739" s="7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4"/>
      <c r="B740" s="25"/>
      <c r="C740" s="25"/>
      <c r="D740" s="4"/>
      <c r="E740" s="4"/>
      <c r="F740" s="4"/>
      <c r="G740" s="4"/>
      <c r="H740" s="72"/>
      <c r="I740" s="73"/>
      <c r="J740" s="74"/>
      <c r="K740" s="7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4"/>
      <c r="B741" s="25"/>
      <c r="C741" s="25"/>
      <c r="D741" s="4"/>
      <c r="E741" s="4"/>
      <c r="F741" s="4"/>
      <c r="G741" s="4"/>
      <c r="H741" s="72"/>
      <c r="I741" s="73"/>
      <c r="J741" s="74"/>
      <c r="K741" s="7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4"/>
      <c r="B742" s="25"/>
      <c r="C742" s="25"/>
      <c r="D742" s="4"/>
      <c r="E742" s="4"/>
      <c r="F742" s="4"/>
      <c r="G742" s="4"/>
      <c r="H742" s="72"/>
      <c r="I742" s="73"/>
      <c r="J742" s="74"/>
      <c r="K742" s="7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4"/>
      <c r="B743" s="25"/>
      <c r="C743" s="25"/>
      <c r="D743" s="4"/>
      <c r="E743" s="4"/>
      <c r="F743" s="4"/>
      <c r="G743" s="4"/>
      <c r="H743" s="72"/>
      <c r="I743" s="73"/>
      <c r="J743" s="74"/>
      <c r="K743" s="7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4"/>
      <c r="B744" s="25"/>
      <c r="C744" s="25"/>
      <c r="D744" s="4"/>
      <c r="E744" s="4"/>
      <c r="F744" s="4"/>
      <c r="G744" s="4"/>
      <c r="H744" s="72"/>
      <c r="I744" s="73"/>
      <c r="J744" s="74"/>
      <c r="K744" s="7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4"/>
      <c r="B745" s="25"/>
      <c r="C745" s="25"/>
      <c r="D745" s="4"/>
      <c r="E745" s="4"/>
      <c r="F745" s="4"/>
      <c r="G745" s="4"/>
      <c r="H745" s="72"/>
      <c r="I745" s="73"/>
      <c r="J745" s="74"/>
      <c r="K745" s="7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4"/>
      <c r="B746" s="25"/>
      <c r="C746" s="25"/>
      <c r="D746" s="4"/>
      <c r="E746" s="4"/>
      <c r="F746" s="4"/>
      <c r="G746" s="4"/>
      <c r="H746" s="72"/>
      <c r="I746" s="73"/>
      <c r="J746" s="74"/>
      <c r="K746" s="7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4"/>
      <c r="B747" s="25"/>
      <c r="C747" s="25"/>
      <c r="D747" s="4"/>
      <c r="E747" s="4"/>
      <c r="F747" s="4"/>
      <c r="G747" s="4"/>
      <c r="H747" s="72"/>
      <c r="I747" s="73"/>
      <c r="J747" s="74"/>
      <c r="K747" s="7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4"/>
      <c r="B748" s="25"/>
      <c r="C748" s="25"/>
      <c r="D748" s="4"/>
      <c r="E748" s="4"/>
      <c r="F748" s="4"/>
      <c r="G748" s="4"/>
      <c r="H748" s="72"/>
      <c r="I748" s="73"/>
      <c r="J748" s="74"/>
      <c r="K748" s="7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4"/>
      <c r="B749" s="25"/>
      <c r="C749" s="25"/>
      <c r="D749" s="4"/>
      <c r="E749" s="4"/>
      <c r="F749" s="4"/>
      <c r="G749" s="4"/>
      <c r="H749" s="72"/>
      <c r="I749" s="73"/>
      <c r="J749" s="74"/>
      <c r="K749" s="7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4"/>
      <c r="B750" s="25"/>
      <c r="C750" s="25"/>
      <c r="D750" s="4"/>
      <c r="E750" s="4"/>
      <c r="F750" s="4"/>
      <c r="G750" s="4"/>
      <c r="H750" s="72"/>
      <c r="I750" s="73"/>
      <c r="J750" s="74"/>
      <c r="K750" s="7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4"/>
      <c r="B751" s="25"/>
      <c r="C751" s="25"/>
      <c r="D751" s="4"/>
      <c r="E751" s="4"/>
      <c r="F751" s="4"/>
      <c r="G751" s="4"/>
      <c r="H751" s="72"/>
      <c r="I751" s="73"/>
      <c r="J751" s="74"/>
      <c r="K751" s="7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4"/>
      <c r="B752" s="25"/>
      <c r="C752" s="25"/>
      <c r="D752" s="4"/>
      <c r="E752" s="4"/>
      <c r="F752" s="4"/>
      <c r="G752" s="4"/>
      <c r="H752" s="72"/>
      <c r="I752" s="73"/>
      <c r="J752" s="74"/>
      <c r="K752" s="7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4"/>
      <c r="B753" s="25"/>
      <c r="C753" s="25"/>
      <c r="D753" s="4"/>
      <c r="E753" s="4"/>
      <c r="F753" s="4"/>
      <c r="G753" s="4"/>
      <c r="H753" s="72"/>
      <c r="I753" s="73"/>
      <c r="J753" s="74"/>
      <c r="K753" s="7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4"/>
      <c r="B754" s="25"/>
      <c r="C754" s="25"/>
      <c r="D754" s="4"/>
      <c r="E754" s="4"/>
      <c r="F754" s="4"/>
      <c r="G754" s="4"/>
      <c r="H754" s="72"/>
      <c r="I754" s="73"/>
      <c r="J754" s="74"/>
      <c r="K754" s="7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4"/>
      <c r="B755" s="25"/>
      <c r="C755" s="25"/>
      <c r="D755" s="4"/>
      <c r="E755" s="4"/>
      <c r="F755" s="4"/>
      <c r="G755" s="4"/>
      <c r="H755" s="72"/>
      <c r="I755" s="73"/>
      <c r="J755" s="74"/>
      <c r="K755" s="7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4"/>
      <c r="B756" s="25"/>
      <c r="C756" s="25"/>
      <c r="D756" s="4"/>
      <c r="E756" s="4"/>
      <c r="F756" s="4"/>
      <c r="G756" s="4"/>
      <c r="H756" s="72"/>
      <c r="I756" s="73"/>
      <c r="J756" s="74"/>
      <c r="K756" s="7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4"/>
      <c r="B757" s="25"/>
      <c r="C757" s="25"/>
      <c r="D757" s="4"/>
      <c r="E757" s="4"/>
      <c r="F757" s="4"/>
      <c r="G757" s="4"/>
      <c r="H757" s="72"/>
      <c r="I757" s="73"/>
      <c r="J757" s="74"/>
      <c r="K757" s="7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4"/>
      <c r="B758" s="25"/>
      <c r="C758" s="25"/>
      <c r="D758" s="4"/>
      <c r="E758" s="4"/>
      <c r="F758" s="4"/>
      <c r="G758" s="4"/>
      <c r="H758" s="72"/>
      <c r="I758" s="73"/>
      <c r="J758" s="74"/>
      <c r="K758" s="7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4"/>
      <c r="B759" s="25"/>
      <c r="C759" s="25"/>
      <c r="D759" s="4"/>
      <c r="E759" s="4"/>
      <c r="F759" s="4"/>
      <c r="G759" s="4"/>
      <c r="H759" s="72"/>
      <c r="I759" s="73"/>
      <c r="J759" s="74"/>
      <c r="K759" s="7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4"/>
      <c r="B760" s="25"/>
      <c r="C760" s="25"/>
      <c r="D760" s="4"/>
      <c r="E760" s="4"/>
      <c r="F760" s="4"/>
      <c r="G760" s="4"/>
      <c r="H760" s="72"/>
      <c r="I760" s="73"/>
      <c r="J760" s="74"/>
      <c r="K760" s="7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4"/>
      <c r="B761" s="25"/>
      <c r="C761" s="25"/>
      <c r="D761" s="4"/>
      <c r="E761" s="4"/>
      <c r="F761" s="4"/>
      <c r="G761" s="4"/>
      <c r="H761" s="72"/>
      <c r="I761" s="73"/>
      <c r="J761" s="74"/>
      <c r="K761" s="7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4"/>
      <c r="B762" s="25"/>
      <c r="C762" s="25"/>
      <c r="D762" s="4"/>
      <c r="E762" s="4"/>
      <c r="F762" s="4"/>
      <c r="G762" s="4"/>
      <c r="H762" s="72"/>
      <c r="I762" s="73"/>
      <c r="J762" s="74"/>
      <c r="K762" s="7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4"/>
      <c r="B763" s="25"/>
      <c r="C763" s="25"/>
      <c r="D763" s="4"/>
      <c r="E763" s="4"/>
      <c r="F763" s="4"/>
      <c r="G763" s="4"/>
      <c r="H763" s="72"/>
      <c r="I763" s="73"/>
      <c r="J763" s="74"/>
      <c r="K763" s="7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4"/>
      <c r="B764" s="25"/>
      <c r="C764" s="25"/>
      <c r="D764" s="4"/>
      <c r="E764" s="4"/>
      <c r="F764" s="4"/>
      <c r="G764" s="4"/>
      <c r="H764" s="72"/>
      <c r="I764" s="73"/>
      <c r="J764" s="74"/>
      <c r="K764" s="7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4"/>
      <c r="B765" s="25"/>
      <c r="C765" s="25"/>
      <c r="D765" s="4"/>
      <c r="E765" s="4"/>
      <c r="F765" s="4"/>
      <c r="G765" s="4"/>
      <c r="H765" s="72"/>
      <c r="I765" s="73"/>
      <c r="J765" s="74"/>
      <c r="K765" s="7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4"/>
      <c r="B766" s="25"/>
      <c r="C766" s="25"/>
      <c r="D766" s="4"/>
      <c r="E766" s="4"/>
      <c r="F766" s="4"/>
      <c r="G766" s="4"/>
      <c r="H766" s="72"/>
      <c r="I766" s="73"/>
      <c r="J766" s="74"/>
      <c r="K766" s="7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4"/>
      <c r="B767" s="25"/>
      <c r="C767" s="25"/>
      <c r="D767" s="4"/>
      <c r="E767" s="4"/>
      <c r="F767" s="4"/>
      <c r="G767" s="4"/>
      <c r="H767" s="72"/>
      <c r="I767" s="73"/>
      <c r="J767" s="74"/>
      <c r="K767" s="7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4"/>
      <c r="B768" s="25"/>
      <c r="C768" s="25"/>
      <c r="D768" s="4"/>
      <c r="E768" s="4"/>
      <c r="F768" s="4"/>
      <c r="G768" s="4"/>
      <c r="H768" s="72"/>
      <c r="I768" s="73"/>
      <c r="J768" s="74"/>
      <c r="K768" s="7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4"/>
      <c r="B769" s="25"/>
      <c r="C769" s="25"/>
      <c r="D769" s="4"/>
      <c r="E769" s="4"/>
      <c r="F769" s="4"/>
      <c r="G769" s="4"/>
      <c r="H769" s="72"/>
      <c r="I769" s="73"/>
      <c r="J769" s="74"/>
      <c r="K769" s="7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4"/>
      <c r="B770" s="25"/>
      <c r="C770" s="25"/>
      <c r="D770" s="4"/>
      <c r="E770" s="4"/>
      <c r="F770" s="4"/>
      <c r="G770" s="4"/>
      <c r="H770" s="72"/>
      <c r="I770" s="73"/>
      <c r="J770" s="74"/>
      <c r="K770" s="7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4"/>
      <c r="B771" s="25"/>
      <c r="C771" s="25"/>
      <c r="D771" s="4"/>
      <c r="E771" s="4"/>
      <c r="F771" s="4"/>
      <c r="G771" s="4"/>
      <c r="H771" s="72"/>
      <c r="I771" s="73"/>
      <c r="J771" s="74"/>
      <c r="K771" s="7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4"/>
      <c r="B772" s="25"/>
      <c r="C772" s="25"/>
      <c r="D772" s="4"/>
      <c r="E772" s="4"/>
      <c r="F772" s="4"/>
      <c r="G772" s="4"/>
      <c r="H772" s="72"/>
      <c r="I772" s="73"/>
      <c r="J772" s="74"/>
      <c r="K772" s="7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4"/>
      <c r="B773" s="25"/>
      <c r="C773" s="25"/>
      <c r="D773" s="4"/>
      <c r="E773" s="4"/>
      <c r="F773" s="4"/>
      <c r="G773" s="4"/>
      <c r="H773" s="72"/>
      <c r="I773" s="73"/>
      <c r="J773" s="74"/>
      <c r="K773" s="7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4"/>
      <c r="B774" s="25"/>
      <c r="C774" s="25"/>
      <c r="D774" s="4"/>
      <c r="E774" s="4"/>
      <c r="F774" s="4"/>
      <c r="G774" s="4"/>
      <c r="H774" s="72"/>
      <c r="I774" s="73"/>
      <c r="J774" s="74"/>
      <c r="K774" s="7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4"/>
      <c r="B775" s="25"/>
      <c r="C775" s="25"/>
      <c r="D775" s="4"/>
      <c r="E775" s="4"/>
      <c r="F775" s="4"/>
      <c r="G775" s="4"/>
      <c r="H775" s="72"/>
      <c r="I775" s="73"/>
      <c r="J775" s="74"/>
      <c r="K775" s="7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4"/>
      <c r="B776" s="25"/>
      <c r="C776" s="25"/>
      <c r="D776" s="4"/>
      <c r="E776" s="4"/>
      <c r="F776" s="4"/>
      <c r="G776" s="4"/>
      <c r="H776" s="72"/>
      <c r="I776" s="73"/>
      <c r="J776" s="74"/>
      <c r="K776" s="7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4"/>
      <c r="B777" s="25"/>
      <c r="C777" s="25"/>
      <c r="D777" s="4"/>
      <c r="E777" s="4"/>
      <c r="F777" s="4"/>
      <c r="G777" s="4"/>
      <c r="H777" s="72"/>
      <c r="I777" s="73"/>
      <c r="J777" s="74"/>
      <c r="K777" s="7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4"/>
      <c r="B778" s="25"/>
      <c r="C778" s="25"/>
      <c r="D778" s="4"/>
      <c r="E778" s="4"/>
      <c r="F778" s="4"/>
      <c r="G778" s="4"/>
      <c r="H778" s="72"/>
      <c r="I778" s="73"/>
      <c r="J778" s="74"/>
      <c r="K778" s="7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4"/>
      <c r="B779" s="25"/>
      <c r="C779" s="25"/>
      <c r="D779" s="4"/>
      <c r="E779" s="4"/>
      <c r="F779" s="4"/>
      <c r="G779" s="4"/>
      <c r="H779" s="72"/>
      <c r="I779" s="73"/>
      <c r="J779" s="74"/>
      <c r="K779" s="7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4"/>
      <c r="B780" s="25"/>
      <c r="C780" s="25"/>
      <c r="D780" s="4"/>
      <c r="E780" s="4"/>
      <c r="F780" s="4"/>
      <c r="G780" s="4"/>
      <c r="H780" s="72"/>
      <c r="I780" s="73"/>
      <c r="J780" s="74"/>
      <c r="K780" s="7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4"/>
      <c r="B781" s="25"/>
      <c r="C781" s="25"/>
      <c r="D781" s="4"/>
      <c r="E781" s="4"/>
      <c r="F781" s="4"/>
      <c r="G781" s="4"/>
      <c r="H781" s="72"/>
      <c r="I781" s="73"/>
      <c r="J781" s="74"/>
      <c r="K781" s="7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4"/>
      <c r="B782" s="25"/>
      <c r="C782" s="25"/>
      <c r="D782" s="4"/>
      <c r="E782" s="4"/>
      <c r="F782" s="4"/>
      <c r="G782" s="4"/>
      <c r="H782" s="72"/>
      <c r="I782" s="73"/>
      <c r="J782" s="74"/>
      <c r="K782" s="7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4"/>
      <c r="B783" s="25"/>
      <c r="C783" s="25"/>
      <c r="D783" s="4"/>
      <c r="E783" s="4"/>
      <c r="F783" s="4"/>
      <c r="G783" s="4"/>
      <c r="H783" s="72"/>
      <c r="I783" s="73"/>
      <c r="J783" s="74"/>
      <c r="K783" s="7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4"/>
      <c r="B784" s="25"/>
      <c r="C784" s="25"/>
      <c r="D784" s="4"/>
      <c r="E784" s="4"/>
      <c r="F784" s="4"/>
      <c r="G784" s="4"/>
      <c r="H784" s="72"/>
      <c r="I784" s="73"/>
      <c r="J784" s="74"/>
      <c r="K784" s="7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4"/>
      <c r="B785" s="25"/>
      <c r="C785" s="25"/>
      <c r="D785" s="4"/>
      <c r="E785" s="4"/>
      <c r="F785" s="4"/>
      <c r="G785" s="4"/>
      <c r="H785" s="72"/>
      <c r="I785" s="73"/>
      <c r="J785" s="74"/>
      <c r="K785" s="7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4"/>
      <c r="B786" s="25"/>
      <c r="C786" s="25"/>
      <c r="D786" s="4"/>
      <c r="E786" s="4"/>
      <c r="F786" s="4"/>
      <c r="G786" s="4"/>
      <c r="H786" s="72"/>
      <c r="I786" s="73"/>
      <c r="J786" s="74"/>
      <c r="K786" s="7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4"/>
      <c r="B787" s="25"/>
      <c r="C787" s="25"/>
      <c r="D787" s="4"/>
      <c r="E787" s="4"/>
      <c r="F787" s="4"/>
      <c r="G787" s="4"/>
      <c r="H787" s="72"/>
      <c r="I787" s="73"/>
      <c r="J787" s="74"/>
      <c r="K787" s="7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4"/>
      <c r="B788" s="25"/>
      <c r="C788" s="25"/>
      <c r="D788" s="4"/>
      <c r="E788" s="4"/>
      <c r="F788" s="4"/>
      <c r="G788" s="4"/>
      <c r="H788" s="72"/>
      <c r="I788" s="73"/>
      <c r="J788" s="74"/>
      <c r="K788" s="7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4"/>
      <c r="B789" s="25"/>
      <c r="C789" s="25"/>
      <c r="D789" s="4"/>
      <c r="E789" s="4"/>
      <c r="F789" s="4"/>
      <c r="G789" s="4"/>
      <c r="H789" s="72"/>
      <c r="I789" s="73"/>
      <c r="J789" s="74"/>
      <c r="K789" s="7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4"/>
      <c r="B790" s="25"/>
      <c r="C790" s="25"/>
      <c r="D790" s="4"/>
      <c r="E790" s="4"/>
      <c r="F790" s="4"/>
      <c r="G790" s="4"/>
      <c r="H790" s="72"/>
      <c r="I790" s="73"/>
      <c r="J790" s="74"/>
      <c r="K790" s="7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4"/>
      <c r="B791" s="25"/>
      <c r="C791" s="25"/>
      <c r="D791" s="4"/>
      <c r="E791" s="4"/>
      <c r="F791" s="4"/>
      <c r="G791" s="4"/>
      <c r="H791" s="72"/>
      <c r="I791" s="73"/>
      <c r="J791" s="74"/>
      <c r="K791" s="7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4"/>
      <c r="B792" s="25"/>
      <c r="C792" s="25"/>
      <c r="D792" s="4"/>
      <c r="E792" s="4"/>
      <c r="F792" s="4"/>
      <c r="G792" s="4"/>
      <c r="H792" s="72"/>
      <c r="I792" s="73"/>
      <c r="J792" s="74"/>
      <c r="K792" s="7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4"/>
      <c r="B793" s="25"/>
      <c r="C793" s="25"/>
      <c r="D793" s="4"/>
      <c r="E793" s="4"/>
      <c r="F793" s="4"/>
      <c r="G793" s="4"/>
      <c r="H793" s="72"/>
      <c r="I793" s="73"/>
      <c r="J793" s="74"/>
      <c r="K793" s="7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4"/>
      <c r="B794" s="25"/>
      <c r="C794" s="25"/>
      <c r="D794" s="4"/>
      <c r="E794" s="4"/>
      <c r="F794" s="4"/>
      <c r="G794" s="4"/>
      <c r="H794" s="72"/>
      <c r="I794" s="73"/>
      <c r="J794" s="74"/>
      <c r="K794" s="7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4"/>
      <c r="B795" s="25"/>
      <c r="C795" s="25"/>
      <c r="D795" s="4"/>
      <c r="E795" s="4"/>
      <c r="F795" s="4"/>
      <c r="G795" s="4"/>
      <c r="H795" s="72"/>
      <c r="I795" s="73"/>
      <c r="J795" s="74"/>
      <c r="K795" s="7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4"/>
      <c r="B796" s="25"/>
      <c r="C796" s="25"/>
      <c r="D796" s="4"/>
      <c r="E796" s="4"/>
      <c r="F796" s="4"/>
      <c r="G796" s="4"/>
      <c r="H796" s="72"/>
      <c r="I796" s="73"/>
      <c r="J796" s="74"/>
      <c r="K796" s="7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4"/>
      <c r="B797" s="25"/>
      <c r="C797" s="25"/>
      <c r="D797" s="4"/>
      <c r="E797" s="4"/>
      <c r="F797" s="4"/>
      <c r="G797" s="4"/>
      <c r="H797" s="72"/>
      <c r="I797" s="73"/>
      <c r="J797" s="74"/>
      <c r="K797" s="7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4"/>
      <c r="B798" s="25"/>
      <c r="C798" s="25"/>
      <c r="D798" s="4"/>
      <c r="E798" s="4"/>
      <c r="F798" s="4"/>
      <c r="G798" s="4"/>
      <c r="H798" s="72"/>
      <c r="I798" s="73"/>
      <c r="J798" s="74"/>
      <c r="K798" s="7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4"/>
      <c r="B799" s="25"/>
      <c r="C799" s="25"/>
      <c r="D799" s="4"/>
      <c r="E799" s="4"/>
      <c r="F799" s="4"/>
      <c r="G799" s="4"/>
      <c r="H799" s="72"/>
      <c r="I799" s="73"/>
      <c r="J799" s="74"/>
      <c r="K799" s="7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4"/>
      <c r="B800" s="25"/>
      <c r="C800" s="25"/>
      <c r="D800" s="4"/>
      <c r="E800" s="4"/>
      <c r="F800" s="4"/>
      <c r="G800" s="4"/>
      <c r="H800" s="72"/>
      <c r="I800" s="73"/>
      <c r="J800" s="74"/>
      <c r="K800" s="7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4"/>
      <c r="B801" s="25"/>
      <c r="C801" s="25"/>
      <c r="D801" s="4"/>
      <c r="E801" s="4"/>
      <c r="F801" s="4"/>
      <c r="G801" s="4"/>
      <c r="H801" s="72"/>
      <c r="I801" s="73"/>
      <c r="J801" s="74"/>
      <c r="K801" s="7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4"/>
      <c r="B802" s="25"/>
      <c r="C802" s="25"/>
      <c r="D802" s="4"/>
      <c r="E802" s="4"/>
      <c r="F802" s="4"/>
      <c r="G802" s="4"/>
      <c r="H802" s="72"/>
      <c r="I802" s="73"/>
      <c r="J802" s="74"/>
      <c r="K802" s="7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4"/>
      <c r="B803" s="25"/>
      <c r="C803" s="25"/>
      <c r="D803" s="4"/>
      <c r="E803" s="4"/>
      <c r="F803" s="4"/>
      <c r="G803" s="4"/>
      <c r="H803" s="72"/>
      <c r="I803" s="73"/>
      <c r="J803" s="74"/>
      <c r="K803" s="7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4"/>
      <c r="B804" s="25"/>
      <c r="C804" s="25"/>
      <c r="D804" s="4"/>
      <c r="E804" s="4"/>
      <c r="F804" s="4"/>
      <c r="G804" s="4"/>
      <c r="H804" s="72"/>
      <c r="I804" s="73"/>
      <c r="J804" s="74"/>
      <c r="K804" s="7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4"/>
      <c r="B805" s="25"/>
      <c r="C805" s="25"/>
      <c r="D805" s="4"/>
      <c r="E805" s="4"/>
      <c r="F805" s="4"/>
      <c r="G805" s="4"/>
      <c r="H805" s="72"/>
      <c r="I805" s="73"/>
      <c r="J805" s="74"/>
      <c r="K805" s="7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4"/>
      <c r="B806" s="25"/>
      <c r="C806" s="25"/>
      <c r="D806" s="4"/>
      <c r="E806" s="4"/>
      <c r="F806" s="4"/>
      <c r="G806" s="4"/>
      <c r="H806" s="72"/>
      <c r="I806" s="73"/>
      <c r="J806" s="74"/>
      <c r="K806" s="7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4"/>
      <c r="B807" s="25"/>
      <c r="C807" s="25"/>
      <c r="D807" s="4"/>
      <c r="E807" s="4"/>
      <c r="F807" s="4"/>
      <c r="G807" s="4"/>
      <c r="H807" s="72"/>
      <c r="I807" s="73"/>
      <c r="J807" s="74"/>
      <c r="K807" s="7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4"/>
      <c r="B808" s="25"/>
      <c r="C808" s="25"/>
      <c r="D808" s="4"/>
      <c r="E808" s="4"/>
      <c r="F808" s="4"/>
      <c r="G808" s="4"/>
      <c r="H808" s="72"/>
      <c r="I808" s="73"/>
      <c r="J808" s="74"/>
      <c r="K808" s="7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4"/>
      <c r="B809" s="25"/>
      <c r="C809" s="25"/>
      <c r="D809" s="4"/>
      <c r="E809" s="4"/>
      <c r="F809" s="4"/>
      <c r="G809" s="4"/>
      <c r="H809" s="72"/>
      <c r="I809" s="73"/>
      <c r="J809" s="74"/>
      <c r="K809" s="7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4"/>
      <c r="B810" s="25"/>
      <c r="C810" s="25"/>
      <c r="D810" s="4"/>
      <c r="E810" s="4"/>
      <c r="F810" s="4"/>
      <c r="G810" s="4"/>
      <c r="H810" s="72"/>
      <c r="I810" s="73"/>
      <c r="J810" s="74"/>
      <c r="K810" s="7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4"/>
      <c r="B811" s="25"/>
      <c r="C811" s="25"/>
      <c r="D811" s="4"/>
      <c r="E811" s="4"/>
      <c r="F811" s="4"/>
      <c r="G811" s="4"/>
      <c r="H811" s="72"/>
      <c r="I811" s="73"/>
      <c r="J811" s="74"/>
      <c r="K811" s="7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4"/>
      <c r="B812" s="25"/>
      <c r="C812" s="25"/>
      <c r="D812" s="4"/>
      <c r="E812" s="4"/>
      <c r="F812" s="4"/>
      <c r="G812" s="4"/>
      <c r="H812" s="72"/>
      <c r="I812" s="73"/>
      <c r="J812" s="74"/>
      <c r="K812" s="7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4"/>
      <c r="B813" s="25"/>
      <c r="C813" s="25"/>
      <c r="D813" s="4"/>
      <c r="E813" s="4"/>
      <c r="F813" s="4"/>
      <c r="G813" s="4"/>
      <c r="H813" s="72"/>
      <c r="I813" s="73"/>
      <c r="J813" s="74"/>
      <c r="K813" s="7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4"/>
      <c r="B814" s="25"/>
      <c r="C814" s="25"/>
      <c r="D814" s="4"/>
      <c r="E814" s="4"/>
      <c r="F814" s="4"/>
      <c r="G814" s="4"/>
      <c r="H814" s="72"/>
      <c r="I814" s="73"/>
      <c r="J814" s="74"/>
      <c r="K814" s="7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4"/>
      <c r="B815" s="25"/>
      <c r="C815" s="25"/>
      <c r="D815" s="4"/>
      <c r="E815" s="4"/>
      <c r="F815" s="4"/>
      <c r="G815" s="4"/>
      <c r="H815" s="72"/>
      <c r="I815" s="73"/>
      <c r="J815" s="74"/>
      <c r="K815" s="7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4"/>
      <c r="B816" s="25"/>
      <c r="C816" s="25"/>
      <c r="D816" s="4"/>
      <c r="E816" s="4"/>
      <c r="F816" s="4"/>
      <c r="G816" s="4"/>
      <c r="H816" s="72"/>
      <c r="I816" s="73"/>
      <c r="J816" s="74"/>
      <c r="K816" s="7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4"/>
      <c r="B817" s="25"/>
      <c r="C817" s="25"/>
      <c r="D817" s="4"/>
      <c r="E817" s="4"/>
      <c r="F817" s="4"/>
      <c r="G817" s="4"/>
      <c r="H817" s="72"/>
      <c r="I817" s="73"/>
      <c r="J817" s="74"/>
      <c r="K817" s="7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4"/>
      <c r="B818" s="25"/>
      <c r="C818" s="25"/>
      <c r="D818" s="4"/>
      <c r="E818" s="4"/>
      <c r="F818" s="4"/>
      <c r="G818" s="4"/>
      <c r="H818" s="72"/>
      <c r="I818" s="73"/>
      <c r="J818" s="74"/>
      <c r="K818" s="7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4"/>
      <c r="B819" s="25"/>
      <c r="C819" s="25"/>
      <c r="D819" s="4"/>
      <c r="E819" s="4"/>
      <c r="F819" s="4"/>
      <c r="G819" s="4"/>
      <c r="H819" s="72"/>
      <c r="I819" s="73"/>
      <c r="J819" s="74"/>
      <c r="K819" s="7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4"/>
      <c r="B820" s="25"/>
      <c r="C820" s="25"/>
      <c r="D820" s="4"/>
      <c r="E820" s="4"/>
      <c r="F820" s="4"/>
      <c r="G820" s="4"/>
      <c r="H820" s="72"/>
      <c r="I820" s="73"/>
      <c r="J820" s="74"/>
      <c r="K820" s="7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4"/>
      <c r="B821" s="25"/>
      <c r="C821" s="25"/>
      <c r="D821" s="4"/>
      <c r="E821" s="4"/>
      <c r="F821" s="4"/>
      <c r="G821" s="4"/>
      <c r="H821" s="72"/>
      <c r="I821" s="73"/>
      <c r="J821" s="74"/>
      <c r="K821" s="7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4"/>
      <c r="B822" s="25"/>
      <c r="C822" s="25"/>
      <c r="D822" s="4"/>
      <c r="E822" s="4"/>
      <c r="F822" s="4"/>
      <c r="G822" s="4"/>
      <c r="H822" s="72"/>
      <c r="I822" s="73"/>
      <c r="J822" s="74"/>
      <c r="K822" s="7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4"/>
      <c r="B823" s="25"/>
      <c r="C823" s="25"/>
      <c r="D823" s="4"/>
      <c r="E823" s="4"/>
      <c r="F823" s="4"/>
      <c r="G823" s="4"/>
      <c r="H823" s="72"/>
      <c r="I823" s="73"/>
      <c r="J823" s="74"/>
      <c r="K823" s="7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4"/>
      <c r="B824" s="25"/>
      <c r="C824" s="25"/>
      <c r="D824" s="4"/>
      <c r="E824" s="4"/>
      <c r="F824" s="4"/>
      <c r="G824" s="4"/>
      <c r="H824" s="72"/>
      <c r="I824" s="73"/>
      <c r="J824" s="74"/>
      <c r="K824" s="7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4"/>
      <c r="B825" s="25"/>
      <c r="C825" s="25"/>
      <c r="D825" s="4"/>
      <c r="E825" s="4"/>
      <c r="F825" s="4"/>
      <c r="G825" s="4"/>
      <c r="H825" s="72"/>
      <c r="I825" s="73"/>
      <c r="J825" s="74"/>
      <c r="K825" s="7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4"/>
      <c r="B826" s="25"/>
      <c r="C826" s="25"/>
      <c r="D826" s="4"/>
      <c r="E826" s="4"/>
      <c r="F826" s="4"/>
      <c r="G826" s="4"/>
      <c r="H826" s="72"/>
      <c r="I826" s="73"/>
      <c r="J826" s="74"/>
      <c r="K826" s="7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4"/>
      <c r="B827" s="25"/>
      <c r="C827" s="25"/>
      <c r="D827" s="4"/>
      <c r="E827" s="4"/>
      <c r="F827" s="4"/>
      <c r="G827" s="4"/>
      <c r="H827" s="72"/>
      <c r="I827" s="73"/>
      <c r="J827" s="74"/>
      <c r="K827" s="7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4"/>
      <c r="B828" s="25"/>
      <c r="C828" s="25"/>
      <c r="D828" s="4"/>
      <c r="E828" s="4"/>
      <c r="F828" s="4"/>
      <c r="G828" s="4"/>
      <c r="H828" s="72"/>
      <c r="I828" s="73"/>
      <c r="J828" s="74"/>
      <c r="K828" s="7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4"/>
      <c r="B829" s="25"/>
      <c r="C829" s="25"/>
      <c r="D829" s="4"/>
      <c r="E829" s="4"/>
      <c r="F829" s="4"/>
      <c r="G829" s="4"/>
      <c r="H829" s="72"/>
      <c r="I829" s="73"/>
      <c r="J829" s="74"/>
      <c r="K829" s="7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4"/>
      <c r="B830" s="25"/>
      <c r="C830" s="25"/>
      <c r="D830" s="4"/>
      <c r="E830" s="4"/>
      <c r="F830" s="4"/>
      <c r="G830" s="4"/>
      <c r="H830" s="72"/>
      <c r="I830" s="73"/>
      <c r="J830" s="74"/>
      <c r="K830" s="7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4"/>
      <c r="B831" s="25"/>
      <c r="C831" s="25"/>
      <c r="D831" s="4"/>
      <c r="E831" s="4"/>
      <c r="F831" s="4"/>
      <c r="G831" s="4"/>
      <c r="H831" s="72"/>
      <c r="I831" s="73"/>
      <c r="J831" s="74"/>
      <c r="K831" s="7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4"/>
      <c r="B832" s="25"/>
      <c r="C832" s="25"/>
      <c r="D832" s="4"/>
      <c r="E832" s="4"/>
      <c r="F832" s="4"/>
      <c r="G832" s="4"/>
      <c r="H832" s="72"/>
      <c r="I832" s="73"/>
      <c r="J832" s="74"/>
      <c r="K832" s="7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4"/>
      <c r="B833" s="25"/>
      <c r="C833" s="25"/>
      <c r="D833" s="4"/>
      <c r="E833" s="4"/>
      <c r="F833" s="4"/>
      <c r="G833" s="4"/>
      <c r="H833" s="72"/>
      <c r="I833" s="73"/>
      <c r="J833" s="74"/>
      <c r="K833" s="7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4"/>
      <c r="B834" s="25"/>
      <c r="C834" s="25"/>
      <c r="D834" s="4"/>
      <c r="E834" s="4"/>
      <c r="F834" s="4"/>
      <c r="G834" s="4"/>
      <c r="H834" s="72"/>
      <c r="I834" s="73"/>
      <c r="J834" s="74"/>
      <c r="K834" s="7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4"/>
      <c r="B835" s="25"/>
      <c r="C835" s="25"/>
      <c r="D835" s="4"/>
      <c r="E835" s="4"/>
      <c r="F835" s="4"/>
      <c r="G835" s="4"/>
      <c r="H835" s="72"/>
      <c r="I835" s="73"/>
      <c r="J835" s="74"/>
      <c r="K835" s="7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4"/>
      <c r="B836" s="25"/>
      <c r="C836" s="25"/>
      <c r="D836" s="4"/>
      <c r="E836" s="4"/>
      <c r="F836" s="4"/>
      <c r="G836" s="4"/>
      <c r="H836" s="72"/>
      <c r="I836" s="73"/>
      <c r="J836" s="74"/>
      <c r="K836" s="7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4"/>
      <c r="B837" s="25"/>
      <c r="C837" s="25"/>
      <c r="D837" s="4"/>
      <c r="E837" s="4"/>
      <c r="F837" s="4"/>
      <c r="G837" s="4"/>
      <c r="H837" s="72"/>
      <c r="I837" s="73"/>
      <c r="J837" s="74"/>
      <c r="K837" s="7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4"/>
      <c r="B838" s="25"/>
      <c r="C838" s="25"/>
      <c r="D838" s="4"/>
      <c r="E838" s="4"/>
      <c r="F838" s="4"/>
      <c r="G838" s="4"/>
      <c r="H838" s="72"/>
      <c r="I838" s="73"/>
      <c r="J838" s="74"/>
      <c r="K838" s="7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4"/>
      <c r="B839" s="25"/>
      <c r="C839" s="25"/>
      <c r="D839" s="4"/>
      <c r="E839" s="4"/>
      <c r="F839" s="4"/>
      <c r="G839" s="4"/>
      <c r="H839" s="72"/>
      <c r="I839" s="73"/>
      <c r="J839" s="74"/>
      <c r="K839" s="7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4"/>
      <c r="B840" s="25"/>
      <c r="C840" s="25"/>
      <c r="D840" s="4"/>
      <c r="E840" s="4"/>
      <c r="F840" s="4"/>
      <c r="G840" s="4"/>
      <c r="H840" s="72"/>
      <c r="I840" s="73"/>
      <c r="J840" s="74"/>
      <c r="K840" s="7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4"/>
      <c r="B841" s="25"/>
      <c r="C841" s="25"/>
      <c r="D841" s="4"/>
      <c r="E841" s="4"/>
      <c r="F841" s="4"/>
      <c r="G841" s="4"/>
      <c r="H841" s="72"/>
      <c r="I841" s="73"/>
      <c r="J841" s="74"/>
      <c r="K841" s="7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4"/>
      <c r="B842" s="25"/>
      <c r="C842" s="25"/>
      <c r="D842" s="4"/>
      <c r="E842" s="4"/>
      <c r="F842" s="4"/>
      <c r="G842" s="4"/>
      <c r="H842" s="72"/>
      <c r="I842" s="73"/>
      <c r="J842" s="74"/>
      <c r="K842" s="7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4"/>
      <c r="B843" s="25"/>
      <c r="C843" s="25"/>
      <c r="D843" s="4"/>
      <c r="E843" s="4"/>
      <c r="F843" s="4"/>
      <c r="G843" s="4"/>
      <c r="H843" s="72"/>
      <c r="I843" s="73"/>
      <c r="J843" s="74"/>
      <c r="K843" s="7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4"/>
      <c r="B844" s="25"/>
      <c r="C844" s="25"/>
      <c r="D844" s="4"/>
      <c r="E844" s="4"/>
      <c r="F844" s="4"/>
      <c r="G844" s="4"/>
      <c r="H844" s="72"/>
      <c r="I844" s="73"/>
      <c r="J844" s="74"/>
      <c r="K844" s="7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4"/>
      <c r="B845" s="25"/>
      <c r="C845" s="25"/>
      <c r="D845" s="4"/>
      <c r="E845" s="4"/>
      <c r="F845" s="4"/>
      <c r="G845" s="4"/>
      <c r="H845" s="72"/>
      <c r="I845" s="73"/>
      <c r="J845" s="74"/>
      <c r="K845" s="7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4"/>
      <c r="B846" s="25"/>
      <c r="C846" s="25"/>
      <c r="D846" s="4"/>
      <c r="E846" s="4"/>
      <c r="F846" s="4"/>
      <c r="G846" s="4"/>
      <c r="H846" s="72"/>
      <c r="I846" s="73"/>
      <c r="J846" s="74"/>
      <c r="K846" s="7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4"/>
      <c r="B847" s="25"/>
      <c r="C847" s="25"/>
      <c r="D847" s="4"/>
      <c r="E847" s="4"/>
      <c r="F847" s="4"/>
      <c r="G847" s="4"/>
      <c r="H847" s="72"/>
      <c r="I847" s="73"/>
      <c r="J847" s="74"/>
      <c r="K847" s="7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4"/>
      <c r="B848" s="25"/>
      <c r="C848" s="25"/>
      <c r="D848" s="4"/>
      <c r="E848" s="4"/>
      <c r="F848" s="4"/>
      <c r="G848" s="4"/>
      <c r="H848" s="72"/>
      <c r="I848" s="73"/>
      <c r="J848" s="74"/>
      <c r="K848" s="7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4"/>
      <c r="B849" s="25"/>
      <c r="C849" s="25"/>
      <c r="D849" s="4"/>
      <c r="E849" s="4"/>
      <c r="F849" s="4"/>
      <c r="G849" s="4"/>
      <c r="H849" s="72"/>
      <c r="I849" s="73"/>
      <c r="J849" s="74"/>
      <c r="K849" s="7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4"/>
      <c r="B850" s="25"/>
      <c r="C850" s="25"/>
      <c r="D850" s="4"/>
      <c r="E850" s="4"/>
      <c r="F850" s="4"/>
      <c r="G850" s="4"/>
      <c r="H850" s="72"/>
      <c r="I850" s="73"/>
      <c r="J850" s="74"/>
      <c r="K850" s="7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4"/>
      <c r="B851" s="25"/>
      <c r="C851" s="25"/>
      <c r="D851" s="4"/>
      <c r="E851" s="4"/>
      <c r="F851" s="4"/>
      <c r="G851" s="4"/>
      <c r="H851" s="72"/>
      <c r="I851" s="73"/>
      <c r="J851" s="74"/>
      <c r="K851" s="7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4"/>
      <c r="B852" s="25"/>
      <c r="C852" s="25"/>
      <c r="D852" s="4"/>
      <c r="E852" s="4"/>
      <c r="F852" s="4"/>
      <c r="G852" s="4"/>
      <c r="H852" s="72"/>
      <c r="I852" s="73"/>
      <c r="J852" s="74"/>
      <c r="K852" s="7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4"/>
      <c r="B853" s="25"/>
      <c r="C853" s="25"/>
      <c r="D853" s="4"/>
      <c r="E853" s="4"/>
      <c r="F853" s="4"/>
      <c r="G853" s="4"/>
      <c r="H853" s="72"/>
      <c r="I853" s="73"/>
      <c r="J853" s="74"/>
      <c r="K853" s="7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4"/>
      <c r="B854" s="25"/>
      <c r="C854" s="25"/>
      <c r="D854" s="4"/>
      <c r="E854" s="4"/>
      <c r="F854" s="4"/>
      <c r="G854" s="4"/>
      <c r="H854" s="72"/>
      <c r="I854" s="73"/>
      <c r="J854" s="74"/>
      <c r="K854" s="7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4"/>
      <c r="B855" s="25"/>
      <c r="C855" s="25"/>
      <c r="D855" s="4"/>
      <c r="E855" s="4"/>
      <c r="F855" s="4"/>
      <c r="G855" s="4"/>
      <c r="H855" s="72"/>
      <c r="I855" s="73"/>
      <c r="J855" s="74"/>
      <c r="K855" s="7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4"/>
      <c r="B856" s="25"/>
      <c r="C856" s="25"/>
      <c r="D856" s="4"/>
      <c r="E856" s="4"/>
      <c r="F856" s="4"/>
      <c r="G856" s="4"/>
      <c r="H856" s="72"/>
      <c r="I856" s="73"/>
      <c r="J856" s="74"/>
      <c r="K856" s="7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4"/>
      <c r="B857" s="25"/>
      <c r="C857" s="25"/>
      <c r="D857" s="4"/>
      <c r="E857" s="4"/>
      <c r="F857" s="4"/>
      <c r="G857" s="4"/>
      <c r="H857" s="72"/>
      <c r="I857" s="73"/>
      <c r="J857" s="74"/>
      <c r="K857" s="7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4"/>
      <c r="B858" s="25"/>
      <c r="C858" s="25"/>
      <c r="D858" s="4"/>
      <c r="E858" s="4"/>
      <c r="F858" s="4"/>
      <c r="G858" s="4"/>
      <c r="H858" s="72"/>
      <c r="I858" s="73"/>
      <c r="J858" s="74"/>
      <c r="K858" s="7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4"/>
      <c r="B859" s="25"/>
      <c r="C859" s="25"/>
      <c r="D859" s="4"/>
      <c r="E859" s="4"/>
      <c r="F859" s="4"/>
      <c r="G859" s="4"/>
      <c r="H859" s="72"/>
      <c r="I859" s="73"/>
      <c r="J859" s="74"/>
      <c r="K859" s="7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4"/>
      <c r="B860" s="25"/>
      <c r="C860" s="25"/>
      <c r="D860" s="4"/>
      <c r="E860" s="4"/>
      <c r="F860" s="4"/>
      <c r="G860" s="4"/>
      <c r="H860" s="72"/>
      <c r="I860" s="73"/>
      <c r="J860" s="74"/>
      <c r="K860" s="7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4"/>
      <c r="B861" s="25"/>
      <c r="C861" s="25"/>
      <c r="D861" s="4"/>
      <c r="E861" s="4"/>
      <c r="F861" s="4"/>
      <c r="G861" s="4"/>
      <c r="H861" s="72"/>
      <c r="I861" s="73"/>
      <c r="J861" s="74"/>
      <c r="K861" s="7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4"/>
      <c r="B862" s="25"/>
      <c r="C862" s="25"/>
      <c r="D862" s="4"/>
      <c r="E862" s="4"/>
      <c r="F862" s="4"/>
      <c r="G862" s="4"/>
      <c r="H862" s="72"/>
      <c r="I862" s="73"/>
      <c r="J862" s="74"/>
      <c r="K862" s="7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4"/>
      <c r="B863" s="25"/>
      <c r="C863" s="25"/>
      <c r="D863" s="4"/>
      <c r="E863" s="4"/>
      <c r="F863" s="4"/>
      <c r="G863" s="4"/>
      <c r="H863" s="72"/>
      <c r="I863" s="73"/>
      <c r="J863" s="74"/>
      <c r="K863" s="7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4"/>
      <c r="B864" s="25"/>
      <c r="C864" s="25"/>
      <c r="D864" s="4"/>
      <c r="E864" s="4"/>
      <c r="F864" s="4"/>
      <c r="G864" s="4"/>
      <c r="H864" s="72"/>
      <c r="I864" s="73"/>
      <c r="J864" s="74"/>
      <c r="K864" s="7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4"/>
      <c r="B865" s="25"/>
      <c r="C865" s="25"/>
      <c r="D865" s="4"/>
      <c r="E865" s="4"/>
      <c r="F865" s="4"/>
      <c r="G865" s="4"/>
      <c r="H865" s="72"/>
      <c r="I865" s="73"/>
      <c r="J865" s="74"/>
      <c r="K865" s="7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4"/>
      <c r="B866" s="25"/>
      <c r="C866" s="25"/>
      <c r="D866" s="4"/>
      <c r="E866" s="4"/>
      <c r="F866" s="4"/>
      <c r="G866" s="4"/>
      <c r="H866" s="72"/>
      <c r="I866" s="73"/>
      <c r="J866" s="74"/>
      <c r="K866" s="7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4"/>
      <c r="B867" s="25"/>
      <c r="C867" s="25"/>
      <c r="D867" s="4"/>
      <c r="E867" s="4"/>
      <c r="F867" s="4"/>
      <c r="G867" s="4"/>
      <c r="H867" s="72"/>
      <c r="I867" s="73"/>
      <c r="J867" s="74"/>
      <c r="K867" s="7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4"/>
      <c r="B868" s="25"/>
      <c r="C868" s="25"/>
      <c r="D868" s="4"/>
      <c r="E868" s="4"/>
      <c r="F868" s="4"/>
      <c r="G868" s="4"/>
      <c r="H868" s="72"/>
      <c r="I868" s="73"/>
      <c r="J868" s="74"/>
      <c r="K868" s="7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4"/>
      <c r="B869" s="25"/>
      <c r="C869" s="25"/>
      <c r="D869" s="4"/>
      <c r="E869" s="4"/>
      <c r="F869" s="4"/>
      <c r="G869" s="4"/>
      <c r="H869" s="72"/>
      <c r="I869" s="73"/>
      <c r="J869" s="74"/>
      <c r="K869" s="7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4"/>
      <c r="B870" s="25"/>
      <c r="C870" s="25"/>
      <c r="D870" s="4"/>
      <c r="E870" s="4"/>
      <c r="F870" s="4"/>
      <c r="G870" s="4"/>
      <c r="H870" s="72"/>
      <c r="I870" s="73"/>
      <c r="J870" s="74"/>
      <c r="K870" s="7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4"/>
      <c r="B871" s="25"/>
      <c r="C871" s="25"/>
      <c r="D871" s="4"/>
      <c r="E871" s="4"/>
      <c r="F871" s="4"/>
      <c r="G871" s="4"/>
      <c r="H871" s="72"/>
      <c r="I871" s="73"/>
      <c r="J871" s="74"/>
      <c r="K871" s="7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4"/>
      <c r="B872" s="25"/>
      <c r="C872" s="25"/>
      <c r="D872" s="4"/>
      <c r="E872" s="4"/>
      <c r="F872" s="4"/>
      <c r="G872" s="4"/>
      <c r="H872" s="72"/>
      <c r="I872" s="73"/>
      <c r="J872" s="74"/>
      <c r="K872" s="7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4"/>
      <c r="B873" s="25"/>
      <c r="C873" s="25"/>
      <c r="D873" s="4"/>
      <c r="E873" s="4"/>
      <c r="F873" s="4"/>
      <c r="G873" s="4"/>
      <c r="H873" s="72"/>
      <c r="I873" s="73"/>
      <c r="J873" s="74"/>
      <c r="K873" s="7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4"/>
      <c r="B874" s="25"/>
      <c r="C874" s="25"/>
      <c r="D874" s="4"/>
      <c r="E874" s="4"/>
      <c r="F874" s="4"/>
      <c r="G874" s="4"/>
      <c r="H874" s="72"/>
      <c r="I874" s="73"/>
      <c r="J874" s="74"/>
      <c r="K874" s="7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4"/>
      <c r="B875" s="25"/>
      <c r="C875" s="25"/>
      <c r="D875" s="4"/>
      <c r="E875" s="4"/>
      <c r="F875" s="4"/>
      <c r="G875" s="4"/>
      <c r="H875" s="72"/>
      <c r="I875" s="73"/>
      <c r="J875" s="74"/>
      <c r="K875" s="7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4"/>
      <c r="B876" s="25"/>
      <c r="C876" s="25"/>
      <c r="D876" s="4"/>
      <c r="E876" s="4"/>
      <c r="F876" s="4"/>
      <c r="G876" s="4"/>
      <c r="H876" s="72"/>
      <c r="I876" s="73"/>
      <c r="J876" s="74"/>
      <c r="K876" s="7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4"/>
      <c r="B877" s="25"/>
      <c r="C877" s="25"/>
      <c r="D877" s="4"/>
      <c r="E877" s="4"/>
      <c r="F877" s="4"/>
      <c r="G877" s="4"/>
      <c r="H877" s="72"/>
      <c r="I877" s="73"/>
      <c r="J877" s="74"/>
      <c r="K877" s="7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4"/>
      <c r="B878" s="25"/>
      <c r="C878" s="25"/>
      <c r="D878" s="4"/>
      <c r="E878" s="4"/>
      <c r="F878" s="4"/>
      <c r="G878" s="4"/>
      <c r="H878" s="72"/>
      <c r="I878" s="73"/>
      <c r="J878" s="74"/>
      <c r="K878" s="7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4"/>
      <c r="B879" s="25"/>
      <c r="C879" s="25"/>
      <c r="D879" s="4"/>
      <c r="E879" s="4"/>
      <c r="F879" s="4"/>
      <c r="G879" s="4"/>
      <c r="H879" s="72"/>
      <c r="I879" s="73"/>
      <c r="J879" s="74"/>
      <c r="K879" s="7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4"/>
      <c r="B880" s="25"/>
      <c r="C880" s="25"/>
      <c r="D880" s="4"/>
      <c r="E880" s="4"/>
      <c r="F880" s="4"/>
      <c r="G880" s="4"/>
      <c r="H880" s="72"/>
      <c r="I880" s="73"/>
      <c r="J880" s="74"/>
      <c r="K880" s="7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4"/>
      <c r="B881" s="25"/>
      <c r="C881" s="25"/>
      <c r="D881" s="4"/>
      <c r="E881" s="4"/>
      <c r="F881" s="4"/>
      <c r="G881" s="4"/>
      <c r="H881" s="72"/>
      <c r="I881" s="73"/>
      <c r="J881" s="74"/>
      <c r="K881" s="7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4"/>
      <c r="B882" s="25"/>
      <c r="C882" s="25"/>
      <c r="D882" s="4"/>
      <c r="E882" s="4"/>
      <c r="F882" s="4"/>
      <c r="G882" s="4"/>
      <c r="H882" s="72"/>
      <c r="I882" s="73"/>
      <c r="J882" s="74"/>
      <c r="K882" s="7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4"/>
      <c r="B883" s="25"/>
      <c r="C883" s="25"/>
      <c r="D883" s="4"/>
      <c r="E883" s="4"/>
      <c r="F883" s="4"/>
      <c r="G883" s="4"/>
      <c r="H883" s="72"/>
      <c r="I883" s="73"/>
      <c r="J883" s="74"/>
      <c r="K883" s="7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4"/>
      <c r="B884" s="25"/>
      <c r="C884" s="25"/>
      <c r="D884" s="4"/>
      <c r="E884" s="4"/>
      <c r="F884" s="4"/>
      <c r="G884" s="4"/>
      <c r="H884" s="72"/>
      <c r="I884" s="73"/>
      <c r="J884" s="74"/>
      <c r="K884" s="7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4"/>
      <c r="B885" s="25"/>
      <c r="C885" s="25"/>
      <c r="D885" s="4"/>
      <c r="E885" s="4"/>
      <c r="F885" s="4"/>
      <c r="G885" s="4"/>
      <c r="H885" s="72"/>
      <c r="I885" s="73"/>
      <c r="J885" s="74"/>
      <c r="K885" s="7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4"/>
      <c r="B886" s="25"/>
      <c r="C886" s="25"/>
      <c r="D886" s="4"/>
      <c r="E886" s="4"/>
      <c r="F886" s="4"/>
      <c r="G886" s="4"/>
      <c r="H886" s="72"/>
      <c r="I886" s="73"/>
      <c r="J886" s="74"/>
      <c r="K886" s="7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4"/>
      <c r="B887" s="25"/>
      <c r="C887" s="25"/>
      <c r="D887" s="4"/>
      <c r="E887" s="4"/>
      <c r="F887" s="4"/>
      <c r="G887" s="4"/>
      <c r="H887" s="72"/>
      <c r="I887" s="73"/>
      <c r="J887" s="74"/>
      <c r="K887" s="7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4"/>
      <c r="B888" s="25"/>
      <c r="C888" s="25"/>
      <c r="D888" s="4"/>
      <c r="E888" s="4"/>
      <c r="F888" s="4"/>
      <c r="G888" s="4"/>
      <c r="H888" s="72"/>
      <c r="I888" s="73"/>
      <c r="J888" s="74"/>
      <c r="K888" s="7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4"/>
      <c r="B889" s="25"/>
      <c r="C889" s="25"/>
      <c r="D889" s="4"/>
      <c r="E889" s="4"/>
      <c r="F889" s="4"/>
      <c r="G889" s="4"/>
      <c r="H889" s="72"/>
      <c r="I889" s="73"/>
      <c r="J889" s="74"/>
      <c r="K889" s="7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4"/>
      <c r="B890" s="25"/>
      <c r="C890" s="25"/>
      <c r="D890" s="4"/>
      <c r="E890" s="4"/>
      <c r="F890" s="4"/>
      <c r="G890" s="4"/>
      <c r="H890" s="72"/>
      <c r="I890" s="73"/>
      <c r="J890" s="74"/>
      <c r="K890" s="7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4"/>
      <c r="B891" s="25"/>
      <c r="C891" s="25"/>
      <c r="D891" s="4"/>
      <c r="E891" s="4"/>
      <c r="F891" s="4"/>
      <c r="G891" s="4"/>
      <c r="H891" s="72"/>
      <c r="I891" s="73"/>
      <c r="J891" s="74"/>
      <c r="K891" s="7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4"/>
      <c r="B892" s="25"/>
      <c r="C892" s="25"/>
      <c r="D892" s="4"/>
      <c r="E892" s="4"/>
      <c r="F892" s="4"/>
      <c r="G892" s="4"/>
      <c r="H892" s="72"/>
      <c r="I892" s="73"/>
      <c r="J892" s="74"/>
      <c r="K892" s="7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4"/>
      <c r="B893" s="25"/>
      <c r="C893" s="25"/>
      <c r="D893" s="4"/>
      <c r="E893" s="4"/>
      <c r="F893" s="4"/>
      <c r="G893" s="4"/>
      <c r="H893" s="72"/>
      <c r="I893" s="73"/>
      <c r="J893" s="74"/>
      <c r="K893" s="7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4"/>
      <c r="B894" s="25"/>
      <c r="C894" s="25"/>
      <c r="D894" s="4"/>
      <c r="E894" s="4"/>
      <c r="F894" s="4"/>
      <c r="G894" s="4"/>
      <c r="H894" s="72"/>
      <c r="I894" s="73"/>
      <c r="J894" s="74"/>
      <c r="K894" s="7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4"/>
      <c r="B895" s="25"/>
      <c r="C895" s="25"/>
      <c r="D895" s="4"/>
      <c r="E895" s="4"/>
      <c r="F895" s="4"/>
      <c r="G895" s="4"/>
      <c r="H895" s="72"/>
      <c r="I895" s="73"/>
      <c r="J895" s="74"/>
      <c r="K895" s="7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4"/>
      <c r="B896" s="25"/>
      <c r="C896" s="25"/>
      <c r="D896" s="4"/>
      <c r="E896" s="4"/>
      <c r="F896" s="4"/>
      <c r="G896" s="4"/>
      <c r="H896" s="72"/>
      <c r="I896" s="73"/>
      <c r="J896" s="74"/>
      <c r="K896" s="7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4"/>
      <c r="B897" s="25"/>
      <c r="C897" s="25"/>
      <c r="D897" s="4"/>
      <c r="E897" s="4"/>
      <c r="F897" s="4"/>
      <c r="G897" s="4"/>
      <c r="H897" s="72"/>
      <c r="I897" s="73"/>
      <c r="J897" s="74"/>
      <c r="K897" s="7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4"/>
      <c r="B898" s="25"/>
      <c r="C898" s="25"/>
      <c r="D898" s="4"/>
      <c r="E898" s="4"/>
      <c r="F898" s="4"/>
      <c r="G898" s="4"/>
      <c r="H898" s="72"/>
      <c r="I898" s="73"/>
      <c r="J898" s="74"/>
      <c r="K898" s="7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4"/>
      <c r="B899" s="25"/>
      <c r="C899" s="25"/>
      <c r="D899" s="4"/>
      <c r="E899" s="4"/>
      <c r="F899" s="4"/>
      <c r="G899" s="4"/>
      <c r="H899" s="72"/>
      <c r="I899" s="73"/>
      <c r="J899" s="74"/>
      <c r="K899" s="7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4"/>
      <c r="B900" s="25"/>
      <c r="C900" s="25"/>
      <c r="D900" s="4"/>
      <c r="E900" s="4"/>
      <c r="F900" s="4"/>
      <c r="G900" s="4"/>
      <c r="H900" s="72"/>
      <c r="I900" s="73"/>
      <c r="J900" s="74"/>
      <c r="K900" s="7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4"/>
      <c r="B901" s="25"/>
      <c r="C901" s="25"/>
      <c r="D901" s="4"/>
      <c r="E901" s="4"/>
      <c r="F901" s="4"/>
      <c r="G901" s="4"/>
      <c r="H901" s="72"/>
      <c r="I901" s="73"/>
      <c r="J901" s="74"/>
      <c r="K901" s="7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4"/>
      <c r="B902" s="25"/>
      <c r="C902" s="25"/>
      <c r="D902" s="4"/>
      <c r="E902" s="4"/>
      <c r="F902" s="4"/>
      <c r="G902" s="4"/>
      <c r="H902" s="72"/>
      <c r="I902" s="73"/>
      <c r="J902" s="74"/>
      <c r="K902" s="7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4"/>
      <c r="B903" s="25"/>
      <c r="C903" s="25"/>
      <c r="D903" s="4"/>
      <c r="E903" s="4"/>
      <c r="F903" s="4"/>
      <c r="G903" s="4"/>
      <c r="H903" s="72"/>
      <c r="I903" s="73"/>
      <c r="J903" s="74"/>
      <c r="K903" s="7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4"/>
      <c r="B904" s="25"/>
      <c r="C904" s="25"/>
      <c r="D904" s="4"/>
      <c r="E904" s="4"/>
      <c r="F904" s="4"/>
      <c r="G904" s="4"/>
      <c r="H904" s="72"/>
      <c r="I904" s="73"/>
      <c r="J904" s="74"/>
      <c r="K904" s="7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4"/>
      <c r="B905" s="25"/>
      <c r="C905" s="25"/>
      <c r="D905" s="4"/>
      <c r="E905" s="4"/>
      <c r="F905" s="4"/>
      <c r="G905" s="4"/>
      <c r="H905" s="72"/>
      <c r="I905" s="73"/>
      <c r="J905" s="74"/>
      <c r="K905" s="7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4"/>
      <c r="B906" s="25"/>
      <c r="C906" s="25"/>
      <c r="D906" s="4"/>
      <c r="E906" s="4"/>
      <c r="F906" s="4"/>
      <c r="G906" s="4"/>
      <c r="H906" s="72"/>
      <c r="I906" s="73"/>
      <c r="J906" s="74"/>
      <c r="K906" s="7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4"/>
      <c r="B907" s="25"/>
      <c r="C907" s="25"/>
      <c r="D907" s="4"/>
      <c r="E907" s="4"/>
      <c r="F907" s="4"/>
      <c r="G907" s="4"/>
      <c r="H907" s="72"/>
      <c r="I907" s="73"/>
      <c r="J907" s="74"/>
      <c r="K907" s="7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4"/>
      <c r="B908" s="25"/>
      <c r="C908" s="25"/>
      <c r="D908" s="4"/>
      <c r="E908" s="4"/>
      <c r="F908" s="4"/>
      <c r="G908" s="4"/>
      <c r="H908" s="72"/>
      <c r="I908" s="73"/>
      <c r="J908" s="74"/>
      <c r="K908" s="7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4"/>
      <c r="B909" s="25"/>
      <c r="C909" s="25"/>
      <c r="D909" s="4"/>
      <c r="E909" s="4"/>
      <c r="F909" s="4"/>
      <c r="G909" s="4"/>
      <c r="H909" s="72"/>
      <c r="I909" s="73"/>
      <c r="J909" s="74"/>
      <c r="K909" s="7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4"/>
      <c r="B910" s="25"/>
      <c r="C910" s="25"/>
      <c r="D910" s="4"/>
      <c r="E910" s="4"/>
      <c r="F910" s="4"/>
      <c r="G910" s="4"/>
      <c r="H910" s="72"/>
      <c r="I910" s="73"/>
      <c r="J910" s="74"/>
      <c r="K910" s="7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4"/>
      <c r="B911" s="25"/>
      <c r="C911" s="25"/>
      <c r="D911" s="4"/>
      <c r="E911" s="4"/>
      <c r="F911" s="4"/>
      <c r="G911" s="4"/>
      <c r="H911" s="72"/>
      <c r="I911" s="73"/>
      <c r="J911" s="74"/>
      <c r="K911" s="7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4"/>
      <c r="B912" s="25"/>
      <c r="C912" s="25"/>
      <c r="D912" s="4"/>
      <c r="E912" s="4"/>
      <c r="F912" s="4"/>
      <c r="G912" s="4"/>
      <c r="H912" s="72"/>
      <c r="I912" s="73"/>
      <c r="J912" s="74"/>
      <c r="K912" s="7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4"/>
      <c r="B913" s="25"/>
      <c r="C913" s="25"/>
      <c r="D913" s="4"/>
      <c r="E913" s="4"/>
      <c r="F913" s="4"/>
      <c r="G913" s="4"/>
      <c r="H913" s="72"/>
      <c r="I913" s="73"/>
      <c r="J913" s="74"/>
      <c r="K913" s="7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4"/>
      <c r="B914" s="25"/>
      <c r="C914" s="25"/>
      <c r="D914" s="4"/>
      <c r="E914" s="4"/>
      <c r="F914" s="4"/>
      <c r="G914" s="4"/>
      <c r="H914" s="72"/>
      <c r="I914" s="73"/>
      <c r="J914" s="74"/>
      <c r="K914" s="7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4"/>
      <c r="B915" s="25"/>
      <c r="C915" s="25"/>
      <c r="D915" s="4"/>
      <c r="E915" s="4"/>
      <c r="F915" s="4"/>
      <c r="G915" s="4"/>
      <c r="H915" s="72"/>
      <c r="I915" s="73"/>
      <c r="J915" s="74"/>
      <c r="K915" s="7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4"/>
      <c r="B916" s="25"/>
      <c r="C916" s="25"/>
      <c r="D916" s="4"/>
      <c r="E916" s="4"/>
      <c r="F916" s="4"/>
      <c r="G916" s="4"/>
      <c r="H916" s="72"/>
      <c r="I916" s="73"/>
      <c r="J916" s="74"/>
      <c r="K916" s="7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4"/>
      <c r="B917" s="25"/>
      <c r="C917" s="25"/>
      <c r="D917" s="4"/>
      <c r="E917" s="4"/>
      <c r="F917" s="4"/>
      <c r="G917" s="4"/>
      <c r="H917" s="72"/>
      <c r="I917" s="73"/>
      <c r="J917" s="74"/>
      <c r="K917" s="7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4"/>
      <c r="B918" s="25"/>
      <c r="C918" s="25"/>
      <c r="D918" s="4"/>
      <c r="E918" s="4"/>
      <c r="F918" s="4"/>
      <c r="G918" s="4"/>
      <c r="H918" s="72"/>
      <c r="I918" s="73"/>
      <c r="J918" s="74"/>
      <c r="K918" s="7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4"/>
      <c r="B919" s="25"/>
      <c r="C919" s="25"/>
      <c r="D919" s="4"/>
      <c r="E919" s="4"/>
      <c r="F919" s="4"/>
      <c r="G919" s="4"/>
      <c r="H919" s="72"/>
      <c r="I919" s="73"/>
      <c r="J919" s="74"/>
      <c r="K919" s="7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4"/>
      <c r="B920" s="25"/>
      <c r="C920" s="25"/>
      <c r="D920" s="4"/>
      <c r="E920" s="4"/>
      <c r="F920" s="4"/>
      <c r="G920" s="4"/>
      <c r="H920" s="72"/>
      <c r="I920" s="73"/>
      <c r="J920" s="74"/>
      <c r="K920" s="7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4"/>
      <c r="B921" s="25"/>
      <c r="C921" s="25"/>
      <c r="D921" s="4"/>
      <c r="E921" s="4"/>
      <c r="F921" s="4"/>
      <c r="G921" s="4"/>
      <c r="H921" s="72"/>
      <c r="I921" s="73"/>
      <c r="J921" s="74"/>
      <c r="K921" s="7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4"/>
      <c r="B922" s="25"/>
      <c r="C922" s="25"/>
      <c r="D922" s="4"/>
      <c r="E922" s="4"/>
      <c r="F922" s="4"/>
      <c r="G922" s="4"/>
      <c r="H922" s="72"/>
      <c r="I922" s="73"/>
      <c r="J922" s="74"/>
      <c r="K922" s="7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4"/>
      <c r="B923" s="25"/>
      <c r="C923" s="25"/>
      <c r="D923" s="4"/>
      <c r="E923" s="4"/>
      <c r="F923" s="4"/>
      <c r="G923" s="4"/>
      <c r="H923" s="72"/>
      <c r="I923" s="73"/>
      <c r="J923" s="74"/>
      <c r="K923" s="7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4"/>
      <c r="B924" s="25"/>
      <c r="C924" s="25"/>
      <c r="D924" s="4"/>
      <c r="E924" s="4"/>
      <c r="F924" s="4"/>
      <c r="G924" s="4"/>
      <c r="H924" s="72"/>
      <c r="I924" s="73"/>
      <c r="J924" s="74"/>
      <c r="K924" s="7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4"/>
      <c r="B925" s="25"/>
      <c r="C925" s="25"/>
      <c r="D925" s="4"/>
      <c r="E925" s="4"/>
      <c r="F925" s="4"/>
      <c r="G925" s="4"/>
      <c r="H925" s="72"/>
      <c r="I925" s="73"/>
      <c r="J925" s="74"/>
      <c r="K925" s="7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4"/>
      <c r="B926" s="25"/>
      <c r="C926" s="25"/>
      <c r="D926" s="4"/>
      <c r="E926" s="4"/>
      <c r="F926" s="4"/>
      <c r="G926" s="4"/>
      <c r="H926" s="72"/>
      <c r="I926" s="73"/>
      <c r="J926" s="74"/>
      <c r="K926" s="7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4"/>
      <c r="B927" s="25"/>
      <c r="C927" s="25"/>
      <c r="D927" s="4"/>
      <c r="E927" s="4"/>
      <c r="F927" s="4"/>
      <c r="G927" s="4"/>
      <c r="H927" s="72"/>
      <c r="I927" s="73"/>
      <c r="J927" s="74"/>
      <c r="K927" s="7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4"/>
      <c r="B928" s="25"/>
      <c r="C928" s="25"/>
      <c r="D928" s="4"/>
      <c r="E928" s="4"/>
      <c r="F928" s="4"/>
      <c r="G928" s="4"/>
      <c r="H928" s="72"/>
      <c r="I928" s="73"/>
      <c r="J928" s="74"/>
      <c r="K928" s="7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4"/>
      <c r="B929" s="25"/>
      <c r="C929" s="25"/>
      <c r="D929" s="4"/>
      <c r="E929" s="4"/>
      <c r="F929" s="4"/>
      <c r="G929" s="4"/>
      <c r="H929" s="72"/>
      <c r="I929" s="73"/>
      <c r="J929" s="74"/>
      <c r="K929" s="7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4"/>
      <c r="B930" s="25"/>
      <c r="C930" s="25"/>
      <c r="D930" s="4"/>
      <c r="E930" s="4"/>
      <c r="F930" s="4"/>
      <c r="G930" s="4"/>
      <c r="H930" s="72"/>
      <c r="I930" s="73"/>
      <c r="J930" s="74"/>
      <c r="K930" s="7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4"/>
      <c r="B931" s="25"/>
      <c r="C931" s="25"/>
      <c r="D931" s="4"/>
      <c r="E931" s="4"/>
      <c r="F931" s="4"/>
      <c r="G931" s="4"/>
      <c r="H931" s="72"/>
      <c r="I931" s="73"/>
      <c r="J931" s="74"/>
      <c r="K931" s="7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4"/>
      <c r="B932" s="25"/>
      <c r="C932" s="25"/>
      <c r="D932" s="4"/>
      <c r="E932" s="4"/>
      <c r="F932" s="4"/>
      <c r="G932" s="4"/>
      <c r="H932" s="72"/>
      <c r="I932" s="73"/>
      <c r="J932" s="74"/>
      <c r="K932" s="7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4"/>
      <c r="B933" s="25"/>
      <c r="C933" s="25"/>
      <c r="D933" s="4"/>
      <c r="E933" s="4"/>
      <c r="F933" s="4"/>
      <c r="G933" s="4"/>
      <c r="H933" s="72"/>
      <c r="I933" s="73"/>
      <c r="J933" s="74"/>
      <c r="K933" s="7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4"/>
      <c r="B934" s="25"/>
      <c r="C934" s="25"/>
      <c r="D934" s="4"/>
      <c r="E934" s="4"/>
      <c r="F934" s="4"/>
      <c r="G934" s="4"/>
      <c r="H934" s="72"/>
      <c r="I934" s="73"/>
      <c r="J934" s="74"/>
      <c r="K934" s="7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4"/>
      <c r="B935" s="25"/>
      <c r="C935" s="25"/>
      <c r="D935" s="4"/>
      <c r="E935" s="4"/>
      <c r="F935" s="4"/>
      <c r="G935" s="4"/>
      <c r="H935" s="72"/>
      <c r="I935" s="73"/>
      <c r="J935" s="74"/>
      <c r="K935" s="7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4"/>
      <c r="B936" s="25"/>
      <c r="C936" s="25"/>
      <c r="D936" s="4"/>
      <c r="E936" s="4"/>
      <c r="F936" s="4"/>
      <c r="G936" s="4"/>
      <c r="H936" s="72"/>
      <c r="I936" s="73"/>
      <c r="J936" s="74"/>
      <c r="K936" s="7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4"/>
      <c r="B937" s="25"/>
      <c r="C937" s="25"/>
      <c r="D937" s="4"/>
      <c r="E937" s="4"/>
      <c r="F937" s="4"/>
      <c r="G937" s="4"/>
      <c r="H937" s="72"/>
      <c r="I937" s="73"/>
      <c r="J937" s="74"/>
      <c r="K937" s="7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4"/>
      <c r="B938" s="25"/>
      <c r="C938" s="25"/>
      <c r="D938" s="4"/>
      <c r="E938" s="4"/>
      <c r="F938" s="4"/>
      <c r="G938" s="4"/>
      <c r="H938" s="72"/>
      <c r="I938" s="73"/>
      <c r="J938" s="74"/>
      <c r="K938" s="7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4"/>
      <c r="B939" s="25"/>
      <c r="C939" s="25"/>
      <c r="D939" s="4"/>
      <c r="E939" s="4"/>
      <c r="F939" s="4"/>
      <c r="G939" s="4"/>
      <c r="H939" s="72"/>
      <c r="I939" s="73"/>
      <c r="J939" s="74"/>
      <c r="K939" s="7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4"/>
      <c r="B940" s="25"/>
      <c r="C940" s="25"/>
      <c r="D940" s="4"/>
      <c r="E940" s="4"/>
      <c r="F940" s="4"/>
      <c r="G940" s="4"/>
      <c r="H940" s="72"/>
      <c r="I940" s="73"/>
      <c r="J940" s="74"/>
      <c r="K940" s="7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4"/>
      <c r="B941" s="25"/>
      <c r="C941" s="25"/>
      <c r="D941" s="4"/>
      <c r="E941" s="4"/>
      <c r="F941" s="4"/>
      <c r="G941" s="4"/>
      <c r="H941" s="72"/>
      <c r="I941" s="73"/>
      <c r="J941" s="74"/>
      <c r="K941" s="7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4"/>
      <c r="B942" s="25"/>
      <c r="C942" s="25"/>
      <c r="D942" s="4"/>
      <c r="E942" s="4"/>
      <c r="F942" s="4"/>
      <c r="G942" s="4"/>
      <c r="H942" s="72"/>
      <c r="I942" s="73"/>
      <c r="J942" s="74"/>
      <c r="K942" s="7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4"/>
      <c r="B943" s="25"/>
      <c r="C943" s="25"/>
      <c r="D943" s="4"/>
      <c r="E943" s="4"/>
      <c r="F943" s="4"/>
      <c r="G943" s="4"/>
      <c r="H943" s="72"/>
      <c r="I943" s="73"/>
      <c r="J943" s="74"/>
      <c r="K943" s="7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4"/>
      <c r="B944" s="25"/>
      <c r="C944" s="25"/>
      <c r="D944" s="4"/>
      <c r="E944" s="4"/>
      <c r="F944" s="4"/>
      <c r="G944" s="4"/>
      <c r="H944" s="72"/>
      <c r="I944" s="73"/>
      <c r="J944" s="74"/>
      <c r="K944" s="7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4"/>
      <c r="B945" s="25"/>
      <c r="C945" s="25"/>
      <c r="D945" s="4"/>
      <c r="E945" s="4"/>
      <c r="F945" s="4"/>
      <c r="G945" s="4"/>
      <c r="H945" s="72"/>
      <c r="I945" s="73"/>
      <c r="J945" s="74"/>
      <c r="K945" s="7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4"/>
      <c r="B946" s="25"/>
      <c r="C946" s="25"/>
      <c r="D946" s="4"/>
      <c r="E946" s="4"/>
      <c r="F946" s="4"/>
      <c r="G946" s="4"/>
      <c r="H946" s="72"/>
      <c r="I946" s="73"/>
      <c r="J946" s="74"/>
      <c r="K946" s="7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4"/>
      <c r="B947" s="25"/>
      <c r="C947" s="25"/>
      <c r="D947" s="4"/>
      <c r="E947" s="4"/>
      <c r="F947" s="4"/>
      <c r="G947" s="4"/>
      <c r="H947" s="72"/>
      <c r="I947" s="73"/>
      <c r="J947" s="74"/>
      <c r="K947" s="7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4"/>
      <c r="B948" s="25"/>
      <c r="C948" s="25"/>
      <c r="D948" s="4"/>
      <c r="E948" s="4"/>
      <c r="F948" s="4"/>
      <c r="G948" s="4"/>
      <c r="H948" s="72"/>
      <c r="I948" s="73"/>
      <c r="J948" s="74"/>
      <c r="K948" s="7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4"/>
      <c r="B949" s="25"/>
      <c r="C949" s="25"/>
      <c r="D949" s="4"/>
      <c r="E949" s="4"/>
      <c r="F949" s="4"/>
      <c r="G949" s="4"/>
      <c r="H949" s="72"/>
      <c r="I949" s="73"/>
      <c r="J949" s="74"/>
      <c r="K949" s="7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4"/>
      <c r="B950" s="25"/>
      <c r="C950" s="25"/>
      <c r="D950" s="4"/>
      <c r="E950" s="4"/>
      <c r="F950" s="4"/>
      <c r="G950" s="4"/>
      <c r="H950" s="72"/>
      <c r="I950" s="73"/>
      <c r="J950" s="74"/>
      <c r="K950" s="7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4"/>
      <c r="B951" s="25"/>
      <c r="C951" s="25"/>
      <c r="D951" s="4"/>
      <c r="E951" s="4"/>
      <c r="F951" s="4"/>
      <c r="G951" s="4"/>
      <c r="H951" s="72"/>
      <c r="I951" s="73"/>
      <c r="J951" s="74"/>
      <c r="K951" s="7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4"/>
      <c r="B952" s="25"/>
      <c r="C952" s="25"/>
      <c r="D952" s="4"/>
      <c r="E952" s="4"/>
      <c r="F952" s="4"/>
      <c r="G952" s="4"/>
      <c r="H952" s="72"/>
      <c r="I952" s="73"/>
      <c r="J952" s="74"/>
      <c r="K952" s="7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4"/>
      <c r="B953" s="25"/>
      <c r="C953" s="25"/>
      <c r="D953" s="4"/>
      <c r="E953" s="4"/>
      <c r="F953" s="4"/>
      <c r="G953" s="4"/>
      <c r="H953" s="72"/>
      <c r="I953" s="73"/>
      <c r="J953" s="74"/>
      <c r="K953" s="7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4"/>
      <c r="B954" s="25"/>
      <c r="C954" s="25"/>
      <c r="D954" s="4"/>
      <c r="E954" s="4"/>
      <c r="F954" s="4"/>
      <c r="G954" s="4"/>
      <c r="H954" s="72"/>
      <c r="I954" s="73"/>
      <c r="J954" s="74"/>
      <c r="K954" s="7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4"/>
      <c r="B955" s="25"/>
      <c r="C955" s="25"/>
      <c r="D955" s="4"/>
      <c r="E955" s="4"/>
      <c r="F955" s="4"/>
      <c r="G955" s="4"/>
      <c r="H955" s="72"/>
      <c r="I955" s="73"/>
      <c r="J955" s="74"/>
      <c r="K955" s="7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4"/>
      <c r="B956" s="25"/>
      <c r="C956" s="25"/>
      <c r="D956" s="4"/>
      <c r="E956" s="4"/>
      <c r="F956" s="4"/>
      <c r="G956" s="4"/>
      <c r="H956" s="72"/>
      <c r="I956" s="73"/>
      <c r="J956" s="74"/>
      <c r="K956" s="7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4"/>
      <c r="B957" s="25"/>
      <c r="C957" s="25"/>
      <c r="D957" s="4"/>
      <c r="E957" s="4"/>
      <c r="F957" s="4"/>
      <c r="G957" s="4"/>
      <c r="H957" s="72"/>
      <c r="I957" s="73"/>
      <c r="J957" s="74"/>
      <c r="K957" s="7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4"/>
      <c r="B958" s="25"/>
      <c r="C958" s="25"/>
      <c r="D958" s="4"/>
      <c r="E958" s="4"/>
      <c r="F958" s="4"/>
      <c r="G958" s="4"/>
      <c r="H958" s="72"/>
      <c r="I958" s="73"/>
      <c r="J958" s="74"/>
      <c r="K958" s="7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4"/>
      <c r="B959" s="25"/>
      <c r="C959" s="25"/>
      <c r="D959" s="4"/>
      <c r="E959" s="4"/>
      <c r="F959" s="4"/>
      <c r="G959" s="4"/>
      <c r="H959" s="72"/>
      <c r="I959" s="73"/>
      <c r="J959" s="74"/>
      <c r="K959" s="7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4"/>
      <c r="B960" s="25"/>
      <c r="C960" s="25"/>
      <c r="D960" s="4"/>
      <c r="E960" s="4"/>
      <c r="F960" s="4"/>
      <c r="G960" s="4"/>
      <c r="H960" s="72"/>
      <c r="I960" s="73"/>
      <c r="J960" s="74"/>
      <c r="K960" s="7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4"/>
      <c r="B961" s="25"/>
      <c r="C961" s="25"/>
      <c r="D961" s="4"/>
      <c r="E961" s="4"/>
      <c r="F961" s="4"/>
      <c r="G961" s="4"/>
      <c r="H961" s="72"/>
      <c r="I961" s="73"/>
      <c r="J961" s="74"/>
      <c r="K961" s="7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4"/>
      <c r="B962" s="25"/>
      <c r="C962" s="25"/>
      <c r="D962" s="4"/>
      <c r="E962" s="4"/>
      <c r="F962" s="4"/>
      <c r="G962" s="4"/>
      <c r="H962" s="72"/>
      <c r="I962" s="73"/>
      <c r="J962" s="74"/>
      <c r="K962" s="7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4"/>
      <c r="B963" s="25"/>
      <c r="C963" s="25"/>
      <c r="D963" s="4"/>
      <c r="E963" s="4"/>
      <c r="F963" s="4"/>
      <c r="G963" s="4"/>
      <c r="H963" s="72"/>
      <c r="I963" s="73"/>
      <c r="J963" s="74"/>
      <c r="K963" s="7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4"/>
      <c r="B964" s="25"/>
      <c r="C964" s="25"/>
      <c r="D964" s="4"/>
      <c r="E964" s="4"/>
      <c r="F964" s="4"/>
      <c r="G964" s="4"/>
      <c r="H964" s="72"/>
      <c r="I964" s="73"/>
      <c r="J964" s="74"/>
      <c r="K964" s="7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4"/>
      <c r="B965" s="25"/>
      <c r="C965" s="25"/>
      <c r="D965" s="4"/>
      <c r="E965" s="4"/>
      <c r="F965" s="4"/>
      <c r="G965" s="4"/>
      <c r="H965" s="72"/>
      <c r="I965" s="73"/>
      <c r="J965" s="74"/>
      <c r="K965" s="7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4"/>
      <c r="B966" s="25"/>
      <c r="C966" s="25"/>
      <c r="D966" s="4"/>
      <c r="E966" s="4"/>
      <c r="F966" s="4"/>
      <c r="G966" s="4"/>
      <c r="H966" s="72"/>
      <c r="I966" s="73"/>
      <c r="J966" s="74"/>
      <c r="K966" s="7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4"/>
      <c r="B967" s="25"/>
      <c r="C967" s="25"/>
      <c r="D967" s="4"/>
      <c r="E967" s="4"/>
      <c r="F967" s="4"/>
      <c r="G967" s="4"/>
      <c r="H967" s="72"/>
      <c r="I967" s="73"/>
      <c r="J967" s="74"/>
      <c r="K967" s="7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4"/>
      <c r="B968" s="25"/>
      <c r="C968" s="25"/>
      <c r="D968" s="4"/>
      <c r="E968" s="4"/>
      <c r="F968" s="4"/>
      <c r="G968" s="4"/>
      <c r="H968" s="72"/>
      <c r="I968" s="73"/>
      <c r="J968" s="74"/>
      <c r="K968" s="7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4"/>
      <c r="B969" s="25"/>
      <c r="C969" s="25"/>
      <c r="D969" s="4"/>
      <c r="E969" s="4"/>
      <c r="F969" s="4"/>
      <c r="G969" s="4"/>
      <c r="H969" s="72"/>
      <c r="I969" s="73"/>
      <c r="J969" s="74"/>
      <c r="K969" s="7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4"/>
      <c r="B970" s="25"/>
      <c r="C970" s="25"/>
      <c r="D970" s="4"/>
      <c r="E970" s="4"/>
      <c r="F970" s="4"/>
      <c r="G970" s="4"/>
      <c r="H970" s="72"/>
      <c r="I970" s="73"/>
      <c r="J970" s="74"/>
      <c r="K970" s="7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4"/>
      <c r="B971" s="25"/>
      <c r="C971" s="25"/>
      <c r="D971" s="4"/>
      <c r="E971" s="4"/>
      <c r="F971" s="4"/>
      <c r="G971" s="4"/>
      <c r="H971" s="72"/>
      <c r="I971" s="73"/>
      <c r="J971" s="74"/>
      <c r="K971" s="7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4"/>
      <c r="B972" s="25"/>
      <c r="C972" s="25"/>
      <c r="D972" s="4"/>
      <c r="E972" s="4"/>
      <c r="F972" s="4"/>
      <c r="G972" s="4"/>
      <c r="H972" s="72"/>
      <c r="I972" s="73"/>
      <c r="J972" s="74"/>
      <c r="K972" s="7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4"/>
      <c r="B973" s="25"/>
      <c r="C973" s="25"/>
      <c r="D973" s="4"/>
      <c r="E973" s="4"/>
      <c r="F973" s="4"/>
      <c r="G973" s="4"/>
      <c r="H973" s="72"/>
      <c r="I973" s="73"/>
      <c r="J973" s="74"/>
      <c r="K973" s="7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4"/>
      <c r="B974" s="25"/>
      <c r="C974" s="25"/>
      <c r="D974" s="4"/>
      <c r="E974" s="4"/>
      <c r="F974" s="4"/>
      <c r="G974" s="4"/>
      <c r="H974" s="72"/>
      <c r="I974" s="73"/>
      <c r="J974" s="74"/>
      <c r="K974" s="7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4"/>
      <c r="B975" s="25"/>
      <c r="C975" s="25"/>
      <c r="D975" s="4"/>
      <c r="E975" s="4"/>
      <c r="F975" s="4"/>
      <c r="G975" s="4"/>
      <c r="H975" s="72"/>
      <c r="I975" s="73"/>
      <c r="J975" s="74"/>
      <c r="K975" s="7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4"/>
      <c r="B976" s="25"/>
      <c r="C976" s="25"/>
      <c r="D976" s="4"/>
      <c r="E976" s="4"/>
      <c r="F976" s="4"/>
      <c r="G976" s="4"/>
      <c r="H976" s="72"/>
      <c r="I976" s="73"/>
      <c r="J976" s="74"/>
      <c r="K976" s="7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4"/>
      <c r="B977" s="25"/>
      <c r="C977" s="25"/>
      <c r="D977" s="4"/>
      <c r="E977" s="4"/>
      <c r="F977" s="4"/>
      <c r="G977" s="4"/>
      <c r="H977" s="72"/>
      <c r="I977" s="73"/>
      <c r="J977" s="74"/>
      <c r="K977" s="7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4"/>
      <c r="B978" s="25"/>
      <c r="C978" s="25"/>
      <c r="D978" s="4"/>
      <c r="E978" s="4"/>
      <c r="F978" s="4"/>
      <c r="G978" s="4"/>
      <c r="H978" s="72"/>
      <c r="I978" s="73"/>
      <c r="J978" s="74"/>
      <c r="K978" s="7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4"/>
      <c r="B979" s="25"/>
      <c r="C979" s="25"/>
      <c r="D979" s="4"/>
      <c r="E979" s="4"/>
      <c r="F979" s="4"/>
      <c r="G979" s="4"/>
      <c r="H979" s="72"/>
      <c r="I979" s="73"/>
      <c r="J979" s="74"/>
      <c r="K979" s="7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4"/>
      <c r="B980" s="25"/>
      <c r="C980" s="25"/>
      <c r="D980" s="4"/>
      <c r="E980" s="4"/>
      <c r="F980" s="4"/>
      <c r="G980" s="4"/>
      <c r="H980" s="72"/>
      <c r="I980" s="73"/>
      <c r="J980" s="74"/>
      <c r="K980" s="7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4"/>
      <c r="B981" s="25"/>
      <c r="C981" s="25"/>
      <c r="D981" s="4"/>
      <c r="E981" s="4"/>
      <c r="F981" s="4"/>
      <c r="G981" s="4"/>
      <c r="H981" s="72"/>
      <c r="I981" s="73"/>
      <c r="J981" s="74"/>
      <c r="K981" s="7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4"/>
      <c r="B982" s="25"/>
      <c r="C982" s="25"/>
      <c r="D982" s="4"/>
      <c r="E982" s="4"/>
      <c r="F982" s="4"/>
      <c r="G982" s="4"/>
      <c r="H982" s="72"/>
      <c r="I982" s="73"/>
      <c r="J982" s="74"/>
      <c r="K982" s="7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4"/>
      <c r="B983" s="25"/>
      <c r="C983" s="25"/>
      <c r="D983" s="4"/>
      <c r="E983" s="4"/>
      <c r="F983" s="4"/>
      <c r="G983" s="4"/>
      <c r="H983" s="72"/>
      <c r="I983" s="73"/>
      <c r="J983" s="74"/>
      <c r="K983" s="7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4"/>
      <c r="B984" s="25"/>
      <c r="C984" s="25"/>
      <c r="D984" s="4"/>
      <c r="E984" s="4"/>
      <c r="F984" s="4"/>
      <c r="G984" s="4"/>
      <c r="H984" s="72"/>
      <c r="I984" s="73"/>
      <c r="J984" s="74"/>
      <c r="K984" s="7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4"/>
      <c r="B985" s="25"/>
      <c r="C985" s="25"/>
      <c r="D985" s="4"/>
      <c r="E985" s="4"/>
      <c r="F985" s="4"/>
      <c r="G985" s="4"/>
      <c r="H985" s="72"/>
      <c r="I985" s="73"/>
      <c r="J985" s="74"/>
      <c r="K985" s="7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4"/>
      <c r="B986" s="25"/>
      <c r="C986" s="25"/>
      <c r="D986" s="4"/>
      <c r="E986" s="4"/>
      <c r="F986" s="4"/>
      <c r="G986" s="4"/>
      <c r="H986" s="72"/>
      <c r="I986" s="73"/>
      <c r="J986" s="74"/>
      <c r="K986" s="7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4"/>
      <c r="B987" s="25"/>
      <c r="C987" s="25"/>
      <c r="D987" s="4"/>
      <c r="E987" s="4"/>
      <c r="F987" s="4"/>
      <c r="G987" s="4"/>
      <c r="H987" s="72"/>
      <c r="I987" s="73"/>
      <c r="J987" s="74"/>
      <c r="K987" s="7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4"/>
      <c r="B988" s="25"/>
      <c r="C988" s="25"/>
      <c r="D988" s="4"/>
      <c r="E988" s="4"/>
      <c r="F988" s="4"/>
      <c r="G988" s="4"/>
      <c r="H988" s="72"/>
      <c r="I988" s="73"/>
      <c r="J988" s="74"/>
      <c r="K988" s="7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4"/>
      <c r="B989" s="25"/>
      <c r="C989" s="25"/>
      <c r="D989" s="4"/>
      <c r="E989" s="4"/>
      <c r="F989" s="4"/>
      <c r="G989" s="4"/>
      <c r="H989" s="72"/>
      <c r="I989" s="73"/>
      <c r="J989" s="74"/>
      <c r="K989" s="7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4"/>
      <c r="B990" s="25"/>
      <c r="C990" s="25"/>
      <c r="D990" s="4"/>
      <c r="E990" s="4"/>
      <c r="F990" s="4"/>
      <c r="G990" s="4"/>
      <c r="H990" s="72"/>
      <c r="I990" s="73"/>
      <c r="J990" s="74"/>
      <c r="K990" s="7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4"/>
      <c r="B991" s="25"/>
      <c r="C991" s="25"/>
      <c r="D991" s="4"/>
      <c r="E991" s="4"/>
      <c r="F991" s="4"/>
      <c r="G991" s="4"/>
      <c r="H991" s="72"/>
      <c r="I991" s="73"/>
      <c r="J991" s="74"/>
      <c r="K991" s="7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5.75" customHeight="1">
      <c r="A992" s="4"/>
      <c r="B992" s="25"/>
      <c r="C992" s="25"/>
      <c r="D992" s="4"/>
      <c r="E992" s="4"/>
      <c r="F992" s="4"/>
      <c r="G992" s="4"/>
      <c r="H992" s="72"/>
      <c r="I992" s="73"/>
      <c r="J992" s="74"/>
      <c r="K992" s="7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5.75" customHeight="1">
      <c r="A993" s="4"/>
      <c r="B993" s="25"/>
      <c r="C993" s="25"/>
      <c r="D993" s="4"/>
      <c r="E993" s="4"/>
      <c r="F993" s="4"/>
      <c r="G993" s="4"/>
      <c r="H993" s="72"/>
      <c r="I993" s="73"/>
      <c r="J993" s="74"/>
      <c r="K993" s="7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5.75" customHeight="1">
      <c r="A994" s="4"/>
      <c r="B994" s="25"/>
      <c r="C994" s="25"/>
      <c r="D994" s="4"/>
      <c r="E994" s="4"/>
      <c r="F994" s="4"/>
      <c r="G994" s="4"/>
      <c r="H994" s="72"/>
      <c r="I994" s="73"/>
      <c r="J994" s="74"/>
      <c r="K994" s="7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</sheetData>
  <mergeCells count="4">
    <mergeCell ref="B27:F27"/>
    <mergeCell ref="D28:F28"/>
    <mergeCell ref="D29:F29"/>
    <mergeCell ref="D30:F30"/>
  </mergeCells>
  <hyperlinks>
    <hyperlink r:id="rId1" ref="K5"/>
    <hyperlink r:id="rId2" ref="K6"/>
    <hyperlink r:id="rId3" ref="K7"/>
    <hyperlink r:id="rId4" ref="K8"/>
    <hyperlink r:id="rId5" ref="K9"/>
    <hyperlink r:id="rId6" ref="K10"/>
    <hyperlink r:id="rId7" ref="K11"/>
    <hyperlink r:id="rId8" ref="K12"/>
    <hyperlink r:id="rId9" ref="K13"/>
    <hyperlink r:id="rId10" ref="K14"/>
    <hyperlink r:id="rId11" ref="K15"/>
    <hyperlink r:id="rId12" ref="K16"/>
    <hyperlink r:id="rId13" ref="K17"/>
    <hyperlink r:id="rId14" ref="K18"/>
    <hyperlink r:id="rId15" ref="K19"/>
    <hyperlink r:id="rId16" ref="K20"/>
    <hyperlink r:id="rId17" ref="K21"/>
    <hyperlink r:id="rId18" ref="K22"/>
    <hyperlink r:id="rId19" ref="K23"/>
  </hyperlinks>
  <printOptions/>
  <pageMargins bottom="1.0" footer="0.0" header="0.0" left="0.75" right="0.75" top="1.0"/>
  <pageSetup orientation="landscape"/>
  <drawing r:id="rId2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7.63"/>
    <col customWidth="1" min="3" max="3" width="12.63"/>
    <col customWidth="1" hidden="1" min="4" max="4" width="20.5"/>
    <col customWidth="1" min="5" max="5" width="16.75"/>
    <col customWidth="1" min="6" max="6" width="28.25"/>
    <col customWidth="1" min="7" max="7" width="10.25"/>
    <col customWidth="1" min="8" max="9" width="13.5"/>
    <col customWidth="1" min="10" max="10" width="44.88"/>
    <col customWidth="1" min="11" max="11" width="32.88"/>
    <col customWidth="1" min="12" max="12" width="15.0"/>
    <col customWidth="1" min="13" max="30" width="7.63"/>
  </cols>
  <sheetData>
    <row r="1" ht="29.25" customHeight="1">
      <c r="A1" s="66"/>
      <c r="F1" s="74"/>
      <c r="G1" s="76"/>
      <c r="H1" s="190"/>
      <c r="I1" s="190"/>
      <c r="J1" s="158"/>
      <c r="K1" s="158"/>
      <c r="L1" s="158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>
      <c r="A2" s="32"/>
      <c r="B2" s="292" t="s">
        <v>463</v>
      </c>
      <c r="C2" s="292"/>
      <c r="D2" s="74"/>
      <c r="E2" s="74"/>
      <c r="F2" s="74"/>
      <c r="G2" s="25"/>
      <c r="H2" s="72"/>
      <c r="I2" s="72"/>
      <c r="J2" s="74"/>
      <c r="K2" s="74"/>
      <c r="L2" s="7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>
      <c r="A3" s="120"/>
      <c r="B3" s="77" t="s">
        <v>20</v>
      </c>
      <c r="C3" s="77" t="s">
        <v>22</v>
      </c>
      <c r="D3" s="293" t="s">
        <v>24</v>
      </c>
      <c r="E3" s="293" t="s">
        <v>26</v>
      </c>
      <c r="F3" s="81" t="s">
        <v>28</v>
      </c>
      <c r="G3" s="77" t="s">
        <v>30</v>
      </c>
      <c r="H3" s="80" t="s">
        <v>33</v>
      </c>
      <c r="I3" s="80" t="s">
        <v>36</v>
      </c>
      <c r="J3" s="81" t="s">
        <v>279</v>
      </c>
      <c r="K3" s="81" t="s">
        <v>41</v>
      </c>
      <c r="L3" s="293" t="s">
        <v>16</v>
      </c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</row>
    <row r="4">
      <c r="A4" s="32"/>
      <c r="B4" s="91">
        <v>1.0</v>
      </c>
      <c r="C4" s="91" t="str">
        <f>IF(ISNUMBER(B4), "P10" &amp; TEXT(B4, "00"), IF(D4&lt;&gt;"", C3, ""))</f>
        <v>P1001</v>
      </c>
      <c r="D4" s="294" t="s">
        <v>464</v>
      </c>
      <c r="E4" s="295" t="s">
        <v>465</v>
      </c>
      <c r="F4" s="217" t="str">
        <f t="shared" ref="F4:F11" si="1">CONCATENATE(E4," - ",D4)</f>
        <v>Matcha Latte - Trà Sữa Matcha</v>
      </c>
      <c r="G4" s="193" t="s">
        <v>89</v>
      </c>
      <c r="H4" s="87">
        <v>8.5</v>
      </c>
      <c r="I4" s="88">
        <f t="shared" ref="I4:I15" si="2">LET(v,H4*1.15,
i,INT(v),
d,v-i,
IF(d&lt;=0.2,
i-0.1,
IF(d&lt;=0.7,
i+0.5,
i+0.9)))
</f>
        <v>9.9</v>
      </c>
      <c r="J4" s="89" t="s">
        <v>466</v>
      </c>
      <c r="K4" s="92" t="s">
        <v>467</v>
      </c>
      <c r="L4" s="217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 ht="33.75" customHeight="1">
      <c r="A5" s="32"/>
      <c r="B5" s="93"/>
      <c r="C5" s="93"/>
      <c r="D5" s="294" t="s">
        <v>464</v>
      </c>
      <c r="E5" s="295" t="s">
        <v>465</v>
      </c>
      <c r="F5" s="217" t="str">
        <f t="shared" si="1"/>
        <v>Matcha Latte - Trà Sữa Matcha</v>
      </c>
      <c r="G5" s="193" t="s">
        <v>52</v>
      </c>
      <c r="H5" s="87">
        <v>9.5</v>
      </c>
      <c r="I5" s="88">
        <f t="shared" si="2"/>
        <v>10.9</v>
      </c>
      <c r="J5" s="89" t="s">
        <v>466</v>
      </c>
      <c r="K5" s="93"/>
      <c r="L5" s="217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>
      <c r="A6" s="32"/>
      <c r="B6" s="91">
        <v>2.0</v>
      </c>
      <c r="C6" s="91" t="str">
        <f>IF(ISNUMBER(B6), "P10" &amp; TEXT(B6, "00"), IF(D6&lt;&gt;"", C5, ""))</f>
        <v>P1002</v>
      </c>
      <c r="D6" s="294" t="s">
        <v>468</v>
      </c>
      <c r="E6" s="295" t="s">
        <v>469</v>
      </c>
      <c r="F6" s="217" t="str">
        <f t="shared" si="1"/>
        <v>Matcha Cheese - Matcha Kem Cheese</v>
      </c>
      <c r="G6" s="193" t="s">
        <v>89</v>
      </c>
      <c r="H6" s="87">
        <v>9.9</v>
      </c>
      <c r="I6" s="88">
        <f t="shared" si="2"/>
        <v>11.5</v>
      </c>
      <c r="J6" s="89" t="s">
        <v>470</v>
      </c>
      <c r="K6" s="92" t="s">
        <v>471</v>
      </c>
      <c r="L6" s="217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>
      <c r="A7" s="32"/>
      <c r="B7" s="93"/>
      <c r="C7" s="93"/>
      <c r="D7" s="294" t="s">
        <v>468</v>
      </c>
      <c r="E7" s="295" t="s">
        <v>469</v>
      </c>
      <c r="F7" s="217" t="str">
        <f t="shared" si="1"/>
        <v>Matcha Cheese - Matcha Kem Cheese</v>
      </c>
      <c r="G7" s="193" t="s">
        <v>52</v>
      </c>
      <c r="H7" s="87">
        <v>10.9</v>
      </c>
      <c r="I7" s="88">
        <f t="shared" si="2"/>
        <v>12.5</v>
      </c>
      <c r="J7" s="89" t="s">
        <v>470</v>
      </c>
      <c r="K7" s="93"/>
      <c r="L7" s="217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>
      <c r="A8" s="32"/>
      <c r="B8" s="296">
        <v>3.0</v>
      </c>
      <c r="C8" s="297" t="str">
        <f t="shared" ref="C8:C10" si="3">IF(ISNUMBER(B8), "P10" &amp; TEXT(B8, "00"), IF(D8&lt;&gt;"", C7, ""))</f>
        <v>P1003</v>
      </c>
      <c r="D8" s="298" t="s">
        <v>472</v>
      </c>
      <c r="E8" s="295" t="s">
        <v>473</v>
      </c>
      <c r="F8" s="217" t="str">
        <f t="shared" si="1"/>
        <v>Matcha Mango - Matcha Xoài</v>
      </c>
      <c r="G8" s="193" t="s">
        <v>89</v>
      </c>
      <c r="H8" s="88">
        <v>10.5</v>
      </c>
      <c r="I8" s="88">
        <f t="shared" si="2"/>
        <v>11.9</v>
      </c>
      <c r="J8" s="89" t="s">
        <v>474</v>
      </c>
      <c r="K8" s="90" t="s">
        <v>475</v>
      </c>
      <c r="L8" s="217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>
      <c r="A9" s="32"/>
      <c r="B9" s="299">
        <v>4.0</v>
      </c>
      <c r="C9" s="270" t="str">
        <f t="shared" si="3"/>
        <v>P1004</v>
      </c>
      <c r="D9" s="298" t="s">
        <v>476</v>
      </c>
      <c r="E9" s="295" t="s">
        <v>477</v>
      </c>
      <c r="F9" s="217" t="str">
        <f t="shared" si="1"/>
        <v>Matcha Strawberry - Matcha Dâu Tây</v>
      </c>
      <c r="G9" s="193" t="s">
        <v>89</v>
      </c>
      <c r="H9" s="88">
        <v>10.5</v>
      </c>
      <c r="I9" s="88">
        <f t="shared" si="2"/>
        <v>11.9</v>
      </c>
      <c r="J9" s="89" t="s">
        <v>478</v>
      </c>
      <c r="K9" s="90" t="s">
        <v>479</v>
      </c>
      <c r="L9" s="217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ht="33.75" customHeight="1">
      <c r="A10" s="32"/>
      <c r="B10" s="300">
        <v>5.0</v>
      </c>
      <c r="C10" s="301" t="str">
        <f t="shared" si="3"/>
        <v>P1005</v>
      </c>
      <c r="D10" s="302" t="s">
        <v>480</v>
      </c>
      <c r="E10" s="303" t="s">
        <v>481</v>
      </c>
      <c r="F10" s="304" t="str">
        <f t="shared" si="1"/>
        <v>Dirty Matcha - Matcha Cà Phê</v>
      </c>
      <c r="G10" s="91" t="s">
        <v>89</v>
      </c>
      <c r="H10" s="305">
        <v>8.9</v>
      </c>
      <c r="I10" s="272">
        <f t="shared" si="2"/>
        <v>10.5</v>
      </c>
      <c r="J10" s="306" t="s">
        <v>482</v>
      </c>
      <c r="K10" s="307" t="s">
        <v>483</v>
      </c>
      <c r="L10" s="308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ht="22.5" customHeight="1">
      <c r="A11" s="32"/>
      <c r="B11" s="309"/>
      <c r="C11" s="310"/>
      <c r="D11" s="311" t="s">
        <v>480</v>
      </c>
      <c r="E11" s="311" t="s">
        <v>481</v>
      </c>
      <c r="F11" s="312" t="str">
        <f t="shared" si="1"/>
        <v>Dirty Matcha - Matcha Cà Phê</v>
      </c>
      <c r="G11" s="270" t="s">
        <v>52</v>
      </c>
      <c r="H11" s="289">
        <v>9.9</v>
      </c>
      <c r="I11" s="276">
        <f t="shared" si="2"/>
        <v>11.5</v>
      </c>
      <c r="J11" s="313" t="s">
        <v>482</v>
      </c>
      <c r="K11" s="309"/>
      <c r="L11" s="290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>
      <c r="A12" s="32"/>
      <c r="B12" s="314">
        <v>6.0</v>
      </c>
      <c r="C12" s="301" t="str">
        <f>IF(ISNUMBER(B12), "P10" &amp; TEXT(B12, "00"), IF(D12&lt;&gt;"", C11, ""))</f>
        <v>P1006</v>
      </c>
      <c r="D12" s="311" t="s">
        <v>484</v>
      </c>
      <c r="E12" s="311" t="s">
        <v>485</v>
      </c>
      <c r="F12" s="290" t="s">
        <v>486</v>
      </c>
      <c r="G12" s="270" t="s">
        <v>89</v>
      </c>
      <c r="H12" s="113">
        <v>9.9</v>
      </c>
      <c r="I12" s="276">
        <f t="shared" si="2"/>
        <v>11.5</v>
      </c>
      <c r="J12" s="312"/>
      <c r="K12" s="315" t="s">
        <v>487</v>
      </c>
      <c r="L12" s="31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>
      <c r="A13" s="32"/>
      <c r="B13" s="309"/>
      <c r="C13" s="310"/>
      <c r="D13" s="311" t="s">
        <v>484</v>
      </c>
      <c r="E13" s="311" t="s">
        <v>485</v>
      </c>
      <c r="F13" s="290" t="s">
        <v>486</v>
      </c>
      <c r="G13" s="270" t="s">
        <v>52</v>
      </c>
      <c r="H13" s="113">
        <v>11.9</v>
      </c>
      <c r="I13" s="276">
        <f t="shared" si="2"/>
        <v>13.5</v>
      </c>
      <c r="J13" s="107"/>
      <c r="K13" s="153"/>
      <c r="L13" s="107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>
      <c r="A14" s="32"/>
      <c r="B14" s="314">
        <v>7.0</v>
      </c>
      <c r="C14" s="301" t="str">
        <f>IF(ISNUMBER(B14), "P10" &amp; TEXT(B14, "00"), IF(D14&lt;&gt;"", C13, ""))</f>
        <v>P1007</v>
      </c>
      <c r="D14" s="311" t="s">
        <v>488</v>
      </c>
      <c r="E14" s="311" t="s">
        <v>489</v>
      </c>
      <c r="F14" s="290" t="s">
        <v>490</v>
      </c>
      <c r="G14" s="270" t="s">
        <v>89</v>
      </c>
      <c r="H14" s="113">
        <v>9.9</v>
      </c>
      <c r="I14" s="276">
        <f t="shared" si="2"/>
        <v>11.5</v>
      </c>
      <c r="J14" s="107"/>
      <c r="K14" s="315" t="s">
        <v>491</v>
      </c>
      <c r="L14" s="107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>
      <c r="A15" s="32"/>
      <c r="B15" s="309"/>
      <c r="C15" s="310"/>
      <c r="D15" s="316" t="s">
        <v>488</v>
      </c>
      <c r="E15" s="316" t="s">
        <v>489</v>
      </c>
      <c r="F15" s="317" t="s">
        <v>490</v>
      </c>
      <c r="G15" s="270" t="s">
        <v>52</v>
      </c>
      <c r="H15" s="113">
        <v>11.9</v>
      </c>
      <c r="I15" s="276">
        <f t="shared" si="2"/>
        <v>13.5</v>
      </c>
      <c r="J15" s="107"/>
      <c r="K15" s="153"/>
      <c r="L15" s="107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>
      <c r="A16" s="32"/>
      <c r="B16" s="65"/>
      <c r="C16" s="65"/>
      <c r="D16" s="32"/>
      <c r="E16" s="32"/>
      <c r="F16" s="32"/>
      <c r="G16" s="65"/>
      <c r="H16" s="67"/>
      <c r="I16" s="67"/>
      <c r="J16" s="32"/>
      <c r="K16" s="68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>
      <c r="A17" s="32"/>
      <c r="B17" s="69"/>
      <c r="G17" s="65"/>
      <c r="H17" s="67"/>
      <c r="I17" s="67"/>
      <c r="J17" s="32"/>
      <c r="K17" s="68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>
      <c r="A18" s="32"/>
      <c r="B18" s="188" t="s">
        <v>264</v>
      </c>
      <c r="C18" s="188"/>
      <c r="D18" s="318" t="s">
        <v>492</v>
      </c>
      <c r="E18" s="318" t="s">
        <v>493</v>
      </c>
      <c r="F18" s="71"/>
      <c r="G18" s="65"/>
      <c r="H18" s="67"/>
      <c r="I18" s="67"/>
      <c r="J18" s="32"/>
      <c r="K18" s="68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ht="15.75" customHeight="1">
      <c r="A19" s="32"/>
      <c r="B19" s="70"/>
      <c r="C19" s="70"/>
      <c r="D19" s="71"/>
      <c r="G19" s="65"/>
      <c r="H19" s="67"/>
      <c r="I19" s="67"/>
      <c r="J19" s="32"/>
      <c r="K19" s="68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ht="15.75" customHeight="1">
      <c r="A20" s="32"/>
      <c r="B20" s="25"/>
      <c r="C20" s="25"/>
      <c r="D20" s="117"/>
      <c r="G20" s="65"/>
      <c r="H20" s="67"/>
      <c r="I20" s="67"/>
      <c r="J20" s="32"/>
      <c r="K20" s="68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ht="15.75" customHeight="1">
      <c r="A21" s="32"/>
      <c r="B21" s="65"/>
      <c r="C21" s="65"/>
      <c r="D21" s="32"/>
      <c r="E21" s="32"/>
      <c r="F21" s="32"/>
      <c r="G21" s="65"/>
      <c r="H21" s="67"/>
      <c r="I21" s="67"/>
      <c r="J21" s="32"/>
      <c r="K21" s="68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ht="15.75" customHeight="1">
      <c r="A22" s="32"/>
      <c r="B22" s="65"/>
      <c r="C22" s="65"/>
      <c r="D22" s="32"/>
      <c r="E22" s="32"/>
      <c r="F22" s="32"/>
      <c r="G22" s="65"/>
      <c r="H22" s="67"/>
      <c r="I22" s="67"/>
      <c r="J22" s="32"/>
      <c r="K22" s="68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ht="15.75" customHeight="1">
      <c r="A23" s="32"/>
      <c r="B23" s="65"/>
      <c r="C23" s="65"/>
      <c r="D23" s="32"/>
      <c r="E23" s="32"/>
      <c r="F23" s="32"/>
      <c r="G23" s="65"/>
      <c r="H23" s="67"/>
      <c r="I23" s="67"/>
      <c r="J23" s="32"/>
      <c r="K23" s="68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ht="15.75" customHeight="1">
      <c r="A24" s="32"/>
      <c r="B24" s="65"/>
      <c r="C24" s="65"/>
      <c r="D24" s="32"/>
      <c r="E24" s="32"/>
      <c r="F24" s="32"/>
      <c r="G24" s="65"/>
      <c r="H24" s="67"/>
      <c r="I24" s="67"/>
      <c r="J24" s="32"/>
      <c r="K24" s="68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ht="15.75" customHeight="1">
      <c r="A25" s="32"/>
      <c r="B25" s="65"/>
      <c r="C25" s="65"/>
      <c r="D25" s="32"/>
      <c r="E25" s="32"/>
      <c r="F25" s="32"/>
      <c r="G25" s="65"/>
      <c r="H25" s="67"/>
      <c r="I25" s="67"/>
      <c r="J25" s="32"/>
      <c r="K25" s="68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ht="15.75" customHeight="1">
      <c r="A26" s="32"/>
      <c r="B26" s="65"/>
      <c r="C26" s="65"/>
      <c r="D26" s="32"/>
      <c r="E26" s="32"/>
      <c r="F26" s="32"/>
      <c r="G26" s="65"/>
      <c r="H26" s="67"/>
      <c r="I26" s="67"/>
      <c r="J26" s="32"/>
      <c r="K26" s="68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ht="15.75" customHeight="1">
      <c r="A27" s="32"/>
      <c r="B27" s="65"/>
      <c r="C27" s="65"/>
      <c r="D27" s="32"/>
      <c r="E27" s="32"/>
      <c r="F27" s="32"/>
      <c r="G27" s="65"/>
      <c r="H27" s="67"/>
      <c r="I27" s="67"/>
      <c r="J27" s="32"/>
      <c r="K27" s="68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ht="15.75" customHeight="1">
      <c r="A28" s="32"/>
      <c r="B28" s="65"/>
      <c r="C28" s="65"/>
      <c r="D28" s="32"/>
      <c r="E28" s="32"/>
      <c r="F28" s="32"/>
      <c r="G28" s="65"/>
      <c r="H28" s="67"/>
      <c r="I28" s="67"/>
      <c r="J28" s="32"/>
      <c r="K28" s="68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ht="15.75" customHeight="1">
      <c r="A29" s="32"/>
      <c r="B29" s="65"/>
      <c r="C29" s="65"/>
      <c r="D29" s="32"/>
      <c r="E29" s="32"/>
      <c r="F29" s="32"/>
      <c r="G29" s="65"/>
      <c r="H29" s="67"/>
      <c r="I29" s="67"/>
      <c r="J29" s="32"/>
      <c r="K29" s="68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ht="15.75" customHeight="1">
      <c r="A30" s="32"/>
      <c r="B30" s="65"/>
      <c r="C30" s="65"/>
      <c r="D30" s="32"/>
      <c r="E30" s="32"/>
      <c r="F30" s="32"/>
      <c r="G30" s="65"/>
      <c r="H30" s="67"/>
      <c r="I30" s="67"/>
      <c r="J30" s="32"/>
      <c r="K30" s="68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ht="15.75" customHeight="1">
      <c r="A31" s="32"/>
      <c r="B31" s="65"/>
      <c r="C31" s="65"/>
      <c r="D31" s="32"/>
      <c r="E31" s="32"/>
      <c r="F31" s="32"/>
      <c r="G31" s="65"/>
      <c r="H31" s="67"/>
      <c r="I31" s="67"/>
      <c r="J31" s="32"/>
      <c r="K31" s="68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ht="15.75" customHeight="1">
      <c r="A32" s="32"/>
      <c r="B32" s="65"/>
      <c r="C32" s="65"/>
      <c r="D32" s="32"/>
      <c r="E32" s="32"/>
      <c r="F32" s="32"/>
      <c r="G32" s="65"/>
      <c r="H32" s="67"/>
      <c r="I32" s="67"/>
      <c r="J32" s="32"/>
      <c r="K32" s="68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ht="15.75" customHeight="1">
      <c r="A33" s="32"/>
      <c r="B33" s="65"/>
      <c r="C33" s="65"/>
      <c r="D33" s="32"/>
      <c r="E33" s="32"/>
      <c r="F33" s="32"/>
      <c r="G33" s="65"/>
      <c r="H33" s="67"/>
      <c r="I33" s="67"/>
      <c r="J33" s="32"/>
      <c r="K33" s="68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ht="15.75" customHeight="1">
      <c r="A34" s="32"/>
      <c r="B34" s="65"/>
      <c r="C34" s="65"/>
      <c r="D34" s="32"/>
      <c r="E34" s="32"/>
      <c r="F34" s="32"/>
      <c r="G34" s="65"/>
      <c r="H34" s="67"/>
      <c r="I34" s="67"/>
      <c r="J34" s="32"/>
      <c r="K34" s="68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ht="15.75" customHeight="1">
      <c r="A35" s="32"/>
      <c r="B35" s="65"/>
      <c r="C35" s="65"/>
      <c r="D35" s="32"/>
      <c r="E35" s="32"/>
      <c r="F35" s="32"/>
      <c r="G35" s="65"/>
      <c r="H35" s="67"/>
      <c r="I35" s="67"/>
      <c r="J35" s="32"/>
      <c r="K35" s="68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ht="15.75" customHeight="1">
      <c r="A36" s="32"/>
      <c r="B36" s="65"/>
      <c r="C36" s="65"/>
      <c r="D36" s="32"/>
      <c r="E36" s="32"/>
      <c r="F36" s="32"/>
      <c r="G36" s="65"/>
      <c r="H36" s="67"/>
      <c r="I36" s="67"/>
      <c r="J36" s="32"/>
      <c r="K36" s="68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ht="15.75" customHeight="1">
      <c r="A37" s="32"/>
      <c r="B37" s="65"/>
      <c r="C37" s="65"/>
      <c r="D37" s="32"/>
      <c r="E37" s="32"/>
      <c r="F37" s="32"/>
      <c r="G37" s="65"/>
      <c r="H37" s="67"/>
      <c r="I37" s="67"/>
      <c r="J37" s="32"/>
      <c r="K37" s="68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ht="15.75" customHeight="1">
      <c r="A38" s="32"/>
      <c r="B38" s="65"/>
      <c r="C38" s="65"/>
      <c r="D38" s="32"/>
      <c r="E38" s="32"/>
      <c r="F38" s="32"/>
      <c r="G38" s="65"/>
      <c r="H38" s="67"/>
      <c r="I38" s="67"/>
      <c r="J38" s="32"/>
      <c r="K38" s="68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ht="15.75" customHeight="1">
      <c r="A39" s="32"/>
      <c r="B39" s="65"/>
      <c r="C39" s="65"/>
      <c r="D39" s="32"/>
      <c r="E39" s="32"/>
      <c r="F39" s="32"/>
      <c r="G39" s="65"/>
      <c r="H39" s="67"/>
      <c r="I39" s="67"/>
      <c r="J39" s="32"/>
      <c r="K39" s="68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ht="15.75" customHeight="1">
      <c r="A40" s="32"/>
      <c r="B40" s="65"/>
      <c r="C40" s="65"/>
      <c r="D40" s="32"/>
      <c r="E40" s="32"/>
      <c r="F40" s="32"/>
      <c r="G40" s="65"/>
      <c r="H40" s="67"/>
      <c r="I40" s="67"/>
      <c r="J40" s="32"/>
      <c r="K40" s="68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ht="15.75" customHeight="1">
      <c r="A41" s="32"/>
      <c r="B41" s="65"/>
      <c r="C41" s="65"/>
      <c r="D41" s="32"/>
      <c r="E41" s="32"/>
      <c r="F41" s="32"/>
      <c r="G41" s="65"/>
      <c r="H41" s="67"/>
      <c r="I41" s="67"/>
      <c r="J41" s="32"/>
      <c r="K41" s="68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ht="15.75" customHeight="1">
      <c r="A42" s="32"/>
      <c r="B42" s="65"/>
      <c r="C42" s="65"/>
      <c r="D42" s="32"/>
      <c r="E42" s="32"/>
      <c r="F42" s="32"/>
      <c r="G42" s="65"/>
      <c r="H42" s="67"/>
      <c r="I42" s="67"/>
      <c r="J42" s="32"/>
      <c r="K42" s="68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ht="15.75" customHeight="1">
      <c r="A43" s="32"/>
      <c r="B43" s="65"/>
      <c r="C43" s="65"/>
      <c r="D43" s="32"/>
      <c r="E43" s="32"/>
      <c r="F43" s="32"/>
      <c r="G43" s="65"/>
      <c r="H43" s="67"/>
      <c r="I43" s="67"/>
      <c r="J43" s="32"/>
      <c r="K43" s="68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ht="15.75" customHeight="1">
      <c r="A44" s="32"/>
      <c r="B44" s="65"/>
      <c r="C44" s="65"/>
      <c r="D44" s="32"/>
      <c r="E44" s="32"/>
      <c r="F44" s="32"/>
      <c r="G44" s="65"/>
      <c r="H44" s="67"/>
      <c r="I44" s="67"/>
      <c r="J44" s="32"/>
      <c r="K44" s="68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ht="15.75" customHeight="1">
      <c r="A45" s="32"/>
      <c r="B45" s="65"/>
      <c r="C45" s="65"/>
      <c r="D45" s="32"/>
      <c r="E45" s="32"/>
      <c r="F45" s="32"/>
      <c r="G45" s="65"/>
      <c r="H45" s="67"/>
      <c r="I45" s="67"/>
      <c r="J45" s="32"/>
      <c r="K45" s="68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ht="15.75" customHeight="1">
      <c r="A46" s="32"/>
      <c r="B46" s="65"/>
      <c r="C46" s="65"/>
      <c r="D46" s="32"/>
      <c r="E46" s="32"/>
      <c r="F46" s="32"/>
      <c r="G46" s="65"/>
      <c r="H46" s="67"/>
      <c r="I46" s="67"/>
      <c r="J46" s="32"/>
      <c r="K46" s="68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ht="15.75" customHeight="1">
      <c r="A47" s="32"/>
      <c r="B47" s="65"/>
      <c r="C47" s="65"/>
      <c r="D47" s="32"/>
      <c r="E47" s="32"/>
      <c r="F47" s="32"/>
      <c r="G47" s="65"/>
      <c r="H47" s="67"/>
      <c r="I47" s="67"/>
      <c r="J47" s="32"/>
      <c r="K47" s="68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ht="15.75" customHeight="1">
      <c r="A48" s="32"/>
      <c r="B48" s="65"/>
      <c r="C48" s="65"/>
      <c r="D48" s="32"/>
      <c r="E48" s="32"/>
      <c r="F48" s="32"/>
      <c r="G48" s="65"/>
      <c r="H48" s="67"/>
      <c r="I48" s="67"/>
      <c r="J48" s="32"/>
      <c r="K48" s="68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15.75" customHeight="1">
      <c r="A49" s="32"/>
      <c r="B49" s="65"/>
      <c r="C49" s="65"/>
      <c r="D49" s="32"/>
      <c r="E49" s="32"/>
      <c r="F49" s="32"/>
      <c r="G49" s="65"/>
      <c r="H49" s="67"/>
      <c r="I49" s="67"/>
      <c r="J49" s="32"/>
      <c r="K49" s="68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ht="15.75" customHeight="1">
      <c r="A50" s="32"/>
      <c r="B50" s="65"/>
      <c r="C50" s="65"/>
      <c r="D50" s="32"/>
      <c r="E50" s="32"/>
      <c r="F50" s="32"/>
      <c r="G50" s="65"/>
      <c r="H50" s="67"/>
      <c r="I50" s="67"/>
      <c r="J50" s="32"/>
      <c r="K50" s="68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ht="15.75" customHeight="1">
      <c r="A51" s="32"/>
      <c r="B51" s="65"/>
      <c r="C51" s="65"/>
      <c r="D51" s="32"/>
      <c r="E51" s="32"/>
      <c r="F51" s="32"/>
      <c r="G51" s="65"/>
      <c r="H51" s="67"/>
      <c r="I51" s="67"/>
      <c r="J51" s="32"/>
      <c r="K51" s="68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ht="15.75" customHeight="1">
      <c r="A52" s="32"/>
      <c r="B52" s="65"/>
      <c r="C52" s="65"/>
      <c r="D52" s="32"/>
      <c r="E52" s="32"/>
      <c r="F52" s="32"/>
      <c r="G52" s="65"/>
      <c r="H52" s="67"/>
      <c r="I52" s="67"/>
      <c r="J52" s="32"/>
      <c r="K52" s="6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ht="15.75" customHeight="1">
      <c r="A53" s="32"/>
      <c r="B53" s="65"/>
      <c r="C53" s="65"/>
      <c r="D53" s="32"/>
      <c r="E53" s="32"/>
      <c r="F53" s="32"/>
      <c r="G53" s="65"/>
      <c r="H53" s="67"/>
      <c r="I53" s="67"/>
      <c r="J53" s="32"/>
      <c r="K53" s="68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ht="15.75" customHeight="1">
      <c r="A54" s="32"/>
      <c r="B54" s="65"/>
      <c r="C54" s="65"/>
      <c r="D54" s="32"/>
      <c r="E54" s="32"/>
      <c r="F54" s="32"/>
      <c r="G54" s="65"/>
      <c r="H54" s="67"/>
      <c r="I54" s="67"/>
      <c r="J54" s="32"/>
      <c r="K54" s="68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ht="15.75" customHeight="1">
      <c r="A55" s="32"/>
      <c r="B55" s="65"/>
      <c r="C55" s="65"/>
      <c r="D55" s="32"/>
      <c r="E55" s="32"/>
      <c r="F55" s="32"/>
      <c r="G55" s="65"/>
      <c r="H55" s="67"/>
      <c r="I55" s="67"/>
      <c r="J55" s="32"/>
      <c r="K55" s="68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ht="15.75" customHeight="1">
      <c r="A56" s="32"/>
      <c r="B56" s="65"/>
      <c r="C56" s="65"/>
      <c r="D56" s="32"/>
      <c r="E56" s="32"/>
      <c r="F56" s="32"/>
      <c r="G56" s="65"/>
      <c r="H56" s="67"/>
      <c r="I56" s="67"/>
      <c r="J56" s="32"/>
      <c r="K56" s="68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ht="15.75" customHeight="1">
      <c r="A57" s="32"/>
      <c r="B57" s="65"/>
      <c r="C57" s="65"/>
      <c r="D57" s="32"/>
      <c r="E57" s="32"/>
      <c r="F57" s="32"/>
      <c r="G57" s="65"/>
      <c r="H57" s="67"/>
      <c r="I57" s="67"/>
      <c r="J57" s="32"/>
      <c r="K57" s="68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ht="15.75" customHeight="1">
      <c r="A58" s="32"/>
      <c r="B58" s="65"/>
      <c r="C58" s="65"/>
      <c r="D58" s="32"/>
      <c r="E58" s="32"/>
      <c r="F58" s="32"/>
      <c r="G58" s="65"/>
      <c r="H58" s="67"/>
      <c r="I58" s="67"/>
      <c r="J58" s="32"/>
      <c r="K58" s="68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ht="15.75" customHeight="1">
      <c r="A59" s="32"/>
      <c r="B59" s="65"/>
      <c r="C59" s="65"/>
      <c r="D59" s="32"/>
      <c r="E59" s="32"/>
      <c r="F59" s="32"/>
      <c r="G59" s="65"/>
      <c r="H59" s="67"/>
      <c r="I59" s="67"/>
      <c r="J59" s="32"/>
      <c r="K59" s="68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ht="15.75" customHeight="1">
      <c r="A60" s="32"/>
      <c r="B60" s="65"/>
      <c r="C60" s="65"/>
      <c r="D60" s="32"/>
      <c r="E60" s="32"/>
      <c r="F60" s="32"/>
      <c r="G60" s="65"/>
      <c r="H60" s="67"/>
      <c r="I60" s="67"/>
      <c r="J60" s="32"/>
      <c r="K60" s="68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ht="15.75" customHeight="1">
      <c r="A61" s="32"/>
      <c r="B61" s="65"/>
      <c r="C61" s="65"/>
      <c r="D61" s="32"/>
      <c r="E61" s="32"/>
      <c r="F61" s="32"/>
      <c r="G61" s="65"/>
      <c r="H61" s="67"/>
      <c r="I61" s="67"/>
      <c r="J61" s="32"/>
      <c r="K61" s="68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ht="15.75" customHeight="1">
      <c r="A62" s="32"/>
      <c r="B62" s="65"/>
      <c r="C62" s="65"/>
      <c r="D62" s="32"/>
      <c r="E62" s="32"/>
      <c r="F62" s="32"/>
      <c r="G62" s="65"/>
      <c r="H62" s="67"/>
      <c r="I62" s="67"/>
      <c r="J62" s="32"/>
      <c r="K62" s="68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ht="15.75" customHeight="1">
      <c r="A63" s="32"/>
      <c r="B63" s="65"/>
      <c r="C63" s="65"/>
      <c r="D63" s="32"/>
      <c r="E63" s="32"/>
      <c r="F63" s="32"/>
      <c r="G63" s="65"/>
      <c r="H63" s="67"/>
      <c r="I63" s="67"/>
      <c r="J63" s="32"/>
      <c r="K63" s="68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ht="15.75" customHeight="1">
      <c r="A64" s="32"/>
      <c r="B64" s="65"/>
      <c r="C64" s="65"/>
      <c r="D64" s="32"/>
      <c r="E64" s="32"/>
      <c r="F64" s="32"/>
      <c r="G64" s="65"/>
      <c r="H64" s="67"/>
      <c r="I64" s="67"/>
      <c r="J64" s="32"/>
      <c r="K64" s="68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ht="15.75" customHeight="1">
      <c r="A65" s="32"/>
      <c r="B65" s="65"/>
      <c r="C65" s="65"/>
      <c r="D65" s="32"/>
      <c r="E65" s="32"/>
      <c r="F65" s="32"/>
      <c r="G65" s="65"/>
      <c r="H65" s="67"/>
      <c r="I65" s="67"/>
      <c r="J65" s="32"/>
      <c r="K65" s="68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ht="15.75" customHeight="1">
      <c r="A66" s="32"/>
      <c r="B66" s="65"/>
      <c r="C66" s="65"/>
      <c r="D66" s="32"/>
      <c r="E66" s="32"/>
      <c r="F66" s="32"/>
      <c r="G66" s="65"/>
      <c r="H66" s="67"/>
      <c r="I66" s="67"/>
      <c r="J66" s="32"/>
      <c r="K66" s="68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ht="15.75" customHeight="1">
      <c r="A67" s="32"/>
      <c r="B67" s="65"/>
      <c r="C67" s="65"/>
      <c r="D67" s="32"/>
      <c r="E67" s="32"/>
      <c r="F67" s="32"/>
      <c r="G67" s="65"/>
      <c r="H67" s="67"/>
      <c r="I67" s="67"/>
      <c r="J67" s="32"/>
      <c r="K67" s="68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ht="15.75" customHeight="1">
      <c r="A68" s="32"/>
      <c r="B68" s="65"/>
      <c r="C68" s="65"/>
      <c r="D68" s="32"/>
      <c r="E68" s="32"/>
      <c r="F68" s="32"/>
      <c r="G68" s="65"/>
      <c r="H68" s="67"/>
      <c r="I68" s="67"/>
      <c r="J68" s="32"/>
      <c r="K68" s="68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ht="15.75" customHeight="1">
      <c r="A69" s="32"/>
      <c r="B69" s="65"/>
      <c r="C69" s="65"/>
      <c r="D69" s="32"/>
      <c r="E69" s="32"/>
      <c r="F69" s="32"/>
      <c r="G69" s="65"/>
      <c r="H69" s="67"/>
      <c r="I69" s="67"/>
      <c r="J69" s="32"/>
      <c r="K69" s="68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ht="15.75" customHeight="1">
      <c r="A70" s="32"/>
      <c r="B70" s="65"/>
      <c r="C70" s="65"/>
      <c r="D70" s="32"/>
      <c r="E70" s="32"/>
      <c r="F70" s="32"/>
      <c r="G70" s="65"/>
      <c r="H70" s="67"/>
      <c r="I70" s="67"/>
      <c r="J70" s="32"/>
      <c r="K70" s="6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ht="15.75" customHeight="1">
      <c r="A71" s="32"/>
      <c r="B71" s="65"/>
      <c r="C71" s="65"/>
      <c r="D71" s="32"/>
      <c r="E71" s="32"/>
      <c r="F71" s="32"/>
      <c r="G71" s="65"/>
      <c r="H71" s="67"/>
      <c r="I71" s="67"/>
      <c r="J71" s="32"/>
      <c r="K71" s="6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ht="15.75" customHeight="1">
      <c r="A72" s="32"/>
      <c r="B72" s="65"/>
      <c r="C72" s="65"/>
      <c r="D72" s="32"/>
      <c r="E72" s="32"/>
      <c r="F72" s="32"/>
      <c r="G72" s="65"/>
      <c r="H72" s="67"/>
      <c r="I72" s="67"/>
      <c r="J72" s="32"/>
      <c r="K72" s="68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ht="15.75" customHeight="1">
      <c r="A73" s="32"/>
      <c r="B73" s="65"/>
      <c r="C73" s="65"/>
      <c r="D73" s="32"/>
      <c r="E73" s="32"/>
      <c r="F73" s="32"/>
      <c r="G73" s="65"/>
      <c r="H73" s="67"/>
      <c r="I73" s="67"/>
      <c r="J73" s="32"/>
      <c r="K73" s="68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ht="15.75" customHeight="1">
      <c r="A74" s="32"/>
      <c r="B74" s="65"/>
      <c r="C74" s="65"/>
      <c r="D74" s="32"/>
      <c r="E74" s="32"/>
      <c r="F74" s="32"/>
      <c r="G74" s="65"/>
      <c r="H74" s="67"/>
      <c r="I74" s="67"/>
      <c r="J74" s="32"/>
      <c r="K74" s="68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ht="15.75" customHeight="1">
      <c r="A75" s="32"/>
      <c r="B75" s="65"/>
      <c r="C75" s="65"/>
      <c r="D75" s="32"/>
      <c r="E75" s="32"/>
      <c r="F75" s="32"/>
      <c r="G75" s="65"/>
      <c r="H75" s="67"/>
      <c r="I75" s="67"/>
      <c r="J75" s="32"/>
      <c r="K75" s="68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ht="15.75" customHeight="1">
      <c r="A76" s="32"/>
      <c r="B76" s="65"/>
      <c r="C76" s="65"/>
      <c r="D76" s="32"/>
      <c r="E76" s="32"/>
      <c r="F76" s="32"/>
      <c r="G76" s="65"/>
      <c r="H76" s="67"/>
      <c r="I76" s="67"/>
      <c r="J76" s="32"/>
      <c r="K76" s="68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ht="15.75" customHeight="1">
      <c r="A77" s="32"/>
      <c r="B77" s="65"/>
      <c r="C77" s="65"/>
      <c r="D77" s="32"/>
      <c r="E77" s="32"/>
      <c r="F77" s="32"/>
      <c r="G77" s="65"/>
      <c r="H77" s="67"/>
      <c r="I77" s="67"/>
      <c r="J77" s="32"/>
      <c r="K77" s="68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ht="15.75" customHeight="1">
      <c r="A78" s="32"/>
      <c r="B78" s="65"/>
      <c r="C78" s="65"/>
      <c r="D78" s="32"/>
      <c r="E78" s="32"/>
      <c r="F78" s="32"/>
      <c r="G78" s="65"/>
      <c r="H78" s="67"/>
      <c r="I78" s="67"/>
      <c r="J78" s="32"/>
      <c r="K78" s="68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ht="15.75" customHeight="1">
      <c r="A79" s="32"/>
      <c r="B79" s="65"/>
      <c r="C79" s="65"/>
      <c r="D79" s="32"/>
      <c r="E79" s="32"/>
      <c r="F79" s="32"/>
      <c r="G79" s="65"/>
      <c r="H79" s="67"/>
      <c r="I79" s="67"/>
      <c r="J79" s="32"/>
      <c r="K79" s="68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ht="15.75" customHeight="1">
      <c r="A80" s="32"/>
      <c r="B80" s="65"/>
      <c r="C80" s="65"/>
      <c r="D80" s="32"/>
      <c r="E80" s="32"/>
      <c r="F80" s="32"/>
      <c r="G80" s="65"/>
      <c r="H80" s="67"/>
      <c r="I80" s="67"/>
      <c r="J80" s="32"/>
      <c r="K80" s="68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ht="15.75" customHeight="1">
      <c r="A81" s="32"/>
      <c r="B81" s="65"/>
      <c r="C81" s="65"/>
      <c r="D81" s="32"/>
      <c r="E81" s="32"/>
      <c r="F81" s="32"/>
      <c r="G81" s="65"/>
      <c r="H81" s="67"/>
      <c r="I81" s="67"/>
      <c r="J81" s="32"/>
      <c r="K81" s="68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ht="15.75" customHeight="1">
      <c r="A82" s="32"/>
      <c r="B82" s="65"/>
      <c r="C82" s="65"/>
      <c r="D82" s="32"/>
      <c r="E82" s="32"/>
      <c r="F82" s="32"/>
      <c r="G82" s="65"/>
      <c r="H82" s="67"/>
      <c r="I82" s="67"/>
      <c r="J82" s="32"/>
      <c r="K82" s="68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ht="15.75" customHeight="1">
      <c r="A83" s="32"/>
      <c r="B83" s="65"/>
      <c r="C83" s="65"/>
      <c r="D83" s="32"/>
      <c r="E83" s="32"/>
      <c r="F83" s="32"/>
      <c r="G83" s="65"/>
      <c r="H83" s="67"/>
      <c r="I83" s="67"/>
      <c r="J83" s="32"/>
      <c r="K83" s="6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ht="15.75" customHeight="1">
      <c r="A84" s="32"/>
      <c r="B84" s="65"/>
      <c r="C84" s="65"/>
      <c r="D84" s="32"/>
      <c r="E84" s="32"/>
      <c r="F84" s="32"/>
      <c r="G84" s="65"/>
      <c r="H84" s="67"/>
      <c r="I84" s="67"/>
      <c r="J84" s="32"/>
      <c r="K84" s="6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ht="15.75" customHeight="1">
      <c r="A85" s="32"/>
      <c r="B85" s="65"/>
      <c r="C85" s="65"/>
      <c r="D85" s="32"/>
      <c r="E85" s="32"/>
      <c r="F85" s="32"/>
      <c r="G85" s="65"/>
      <c r="H85" s="67"/>
      <c r="I85" s="67"/>
      <c r="J85" s="32"/>
      <c r="K85" s="6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ht="15.75" customHeight="1">
      <c r="A86" s="32"/>
      <c r="B86" s="65"/>
      <c r="C86" s="65"/>
      <c r="D86" s="32"/>
      <c r="E86" s="32"/>
      <c r="F86" s="32"/>
      <c r="G86" s="65"/>
      <c r="H86" s="67"/>
      <c r="I86" s="67"/>
      <c r="J86" s="32"/>
      <c r="K86" s="6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ht="15.75" customHeight="1">
      <c r="A87" s="32"/>
      <c r="B87" s="65"/>
      <c r="C87" s="65"/>
      <c r="D87" s="32"/>
      <c r="E87" s="32"/>
      <c r="F87" s="32"/>
      <c r="G87" s="65"/>
      <c r="H87" s="67"/>
      <c r="I87" s="67"/>
      <c r="J87" s="32"/>
      <c r="K87" s="68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ht="15.75" customHeight="1">
      <c r="A88" s="32"/>
      <c r="B88" s="65"/>
      <c r="C88" s="65"/>
      <c r="D88" s="32"/>
      <c r="E88" s="32"/>
      <c r="F88" s="32"/>
      <c r="G88" s="65"/>
      <c r="H88" s="67"/>
      <c r="I88" s="67"/>
      <c r="J88" s="32"/>
      <c r="K88" s="68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ht="15.75" customHeight="1">
      <c r="A89" s="32"/>
      <c r="B89" s="65"/>
      <c r="C89" s="65"/>
      <c r="D89" s="32"/>
      <c r="E89" s="32"/>
      <c r="F89" s="32"/>
      <c r="G89" s="65"/>
      <c r="H89" s="67"/>
      <c r="I89" s="67"/>
      <c r="J89" s="32"/>
      <c r="K89" s="68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ht="15.75" customHeight="1">
      <c r="A90" s="32"/>
      <c r="B90" s="65"/>
      <c r="C90" s="65"/>
      <c r="D90" s="32"/>
      <c r="E90" s="32"/>
      <c r="F90" s="32"/>
      <c r="G90" s="65"/>
      <c r="H90" s="67"/>
      <c r="I90" s="67"/>
      <c r="J90" s="32"/>
      <c r="K90" s="68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ht="15.75" customHeight="1">
      <c r="A91" s="32"/>
      <c r="B91" s="65"/>
      <c r="C91" s="65"/>
      <c r="D91" s="32"/>
      <c r="E91" s="32"/>
      <c r="F91" s="32"/>
      <c r="G91" s="65"/>
      <c r="H91" s="67"/>
      <c r="I91" s="67"/>
      <c r="J91" s="32"/>
      <c r="K91" s="68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ht="15.75" customHeight="1">
      <c r="A92" s="32"/>
      <c r="B92" s="65"/>
      <c r="C92" s="65"/>
      <c r="D92" s="32"/>
      <c r="E92" s="32"/>
      <c r="F92" s="32"/>
      <c r="G92" s="65"/>
      <c r="H92" s="67"/>
      <c r="I92" s="67"/>
      <c r="J92" s="32"/>
      <c r="K92" s="68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ht="15.75" customHeight="1">
      <c r="A93" s="32"/>
      <c r="B93" s="65"/>
      <c r="C93" s="65"/>
      <c r="D93" s="32"/>
      <c r="E93" s="32"/>
      <c r="F93" s="32"/>
      <c r="G93" s="65"/>
      <c r="H93" s="67"/>
      <c r="I93" s="67"/>
      <c r="J93" s="32"/>
      <c r="K93" s="68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ht="15.75" customHeight="1">
      <c r="A94" s="32"/>
      <c r="B94" s="65"/>
      <c r="C94" s="65"/>
      <c r="D94" s="32"/>
      <c r="E94" s="32"/>
      <c r="F94" s="32"/>
      <c r="G94" s="65"/>
      <c r="H94" s="67"/>
      <c r="I94" s="67"/>
      <c r="J94" s="32"/>
      <c r="K94" s="68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ht="15.75" customHeight="1">
      <c r="A95" s="32"/>
      <c r="B95" s="65"/>
      <c r="C95" s="65"/>
      <c r="D95" s="32"/>
      <c r="E95" s="32"/>
      <c r="F95" s="32"/>
      <c r="G95" s="65"/>
      <c r="H95" s="67"/>
      <c r="I95" s="67"/>
      <c r="J95" s="32"/>
      <c r="K95" s="68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ht="15.75" customHeight="1">
      <c r="A96" s="32"/>
      <c r="B96" s="65"/>
      <c r="C96" s="65"/>
      <c r="D96" s="32"/>
      <c r="E96" s="32"/>
      <c r="F96" s="32"/>
      <c r="G96" s="65"/>
      <c r="H96" s="67"/>
      <c r="I96" s="67"/>
      <c r="J96" s="32"/>
      <c r="K96" s="6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ht="15.75" customHeight="1">
      <c r="A97" s="32"/>
      <c r="B97" s="65"/>
      <c r="C97" s="65"/>
      <c r="D97" s="32"/>
      <c r="E97" s="32"/>
      <c r="F97" s="32"/>
      <c r="G97" s="65"/>
      <c r="H97" s="67"/>
      <c r="I97" s="67"/>
      <c r="J97" s="32"/>
      <c r="K97" s="68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ht="15.75" customHeight="1">
      <c r="A98" s="32"/>
      <c r="B98" s="65"/>
      <c r="C98" s="65"/>
      <c r="D98" s="32"/>
      <c r="E98" s="32"/>
      <c r="F98" s="32"/>
      <c r="G98" s="65"/>
      <c r="H98" s="67"/>
      <c r="I98" s="67"/>
      <c r="J98" s="32"/>
      <c r="K98" s="68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ht="15.75" customHeight="1">
      <c r="A99" s="32"/>
      <c r="B99" s="65"/>
      <c r="C99" s="65"/>
      <c r="D99" s="32"/>
      <c r="E99" s="32"/>
      <c r="F99" s="32"/>
      <c r="G99" s="65"/>
      <c r="H99" s="67"/>
      <c r="I99" s="67"/>
      <c r="J99" s="32"/>
      <c r="K99" s="68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ht="15.75" customHeight="1">
      <c r="A100" s="32"/>
      <c r="B100" s="65"/>
      <c r="C100" s="65"/>
      <c r="D100" s="32"/>
      <c r="E100" s="32"/>
      <c r="F100" s="32"/>
      <c r="G100" s="65"/>
      <c r="H100" s="67"/>
      <c r="I100" s="67"/>
      <c r="J100" s="32"/>
      <c r="K100" s="6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ht="15.75" customHeight="1">
      <c r="A101" s="32"/>
      <c r="B101" s="65"/>
      <c r="C101" s="65"/>
      <c r="D101" s="32"/>
      <c r="E101" s="32"/>
      <c r="F101" s="32"/>
      <c r="G101" s="65"/>
      <c r="H101" s="67"/>
      <c r="I101" s="67"/>
      <c r="J101" s="32"/>
      <c r="K101" s="68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ht="15.75" customHeight="1">
      <c r="A102" s="32"/>
      <c r="B102" s="65"/>
      <c r="C102" s="65"/>
      <c r="D102" s="32"/>
      <c r="E102" s="32"/>
      <c r="F102" s="32"/>
      <c r="G102" s="65"/>
      <c r="H102" s="67"/>
      <c r="I102" s="67"/>
      <c r="J102" s="32"/>
      <c r="K102" s="68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ht="15.75" customHeight="1">
      <c r="A103" s="32"/>
      <c r="B103" s="65"/>
      <c r="C103" s="65"/>
      <c r="D103" s="32"/>
      <c r="E103" s="32"/>
      <c r="F103" s="32"/>
      <c r="G103" s="65"/>
      <c r="H103" s="67"/>
      <c r="I103" s="67"/>
      <c r="J103" s="32"/>
      <c r="K103" s="68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ht="15.75" customHeight="1">
      <c r="A104" s="32"/>
      <c r="B104" s="65"/>
      <c r="C104" s="65"/>
      <c r="D104" s="32"/>
      <c r="E104" s="32"/>
      <c r="F104" s="32"/>
      <c r="G104" s="65"/>
      <c r="H104" s="67"/>
      <c r="I104" s="67"/>
      <c r="J104" s="32"/>
      <c r="K104" s="68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ht="15.75" customHeight="1">
      <c r="A105" s="32"/>
      <c r="B105" s="65"/>
      <c r="C105" s="65"/>
      <c r="D105" s="32"/>
      <c r="E105" s="32"/>
      <c r="F105" s="32"/>
      <c r="G105" s="65"/>
      <c r="H105" s="67"/>
      <c r="I105" s="67"/>
      <c r="J105" s="32"/>
      <c r="K105" s="68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ht="15.75" customHeight="1">
      <c r="A106" s="32"/>
      <c r="B106" s="65"/>
      <c r="C106" s="65"/>
      <c r="D106" s="32"/>
      <c r="E106" s="32"/>
      <c r="F106" s="32"/>
      <c r="G106" s="65"/>
      <c r="H106" s="67"/>
      <c r="I106" s="67"/>
      <c r="J106" s="32"/>
      <c r="K106" s="6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ht="15.75" customHeight="1">
      <c r="A107" s="32"/>
      <c r="B107" s="65"/>
      <c r="C107" s="65"/>
      <c r="D107" s="32"/>
      <c r="E107" s="32"/>
      <c r="F107" s="32"/>
      <c r="G107" s="65"/>
      <c r="H107" s="67"/>
      <c r="I107" s="67"/>
      <c r="J107" s="32"/>
      <c r="K107" s="6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ht="15.75" customHeight="1">
      <c r="A108" s="32"/>
      <c r="B108" s="65"/>
      <c r="C108" s="65"/>
      <c r="D108" s="32"/>
      <c r="E108" s="32"/>
      <c r="F108" s="32"/>
      <c r="G108" s="65"/>
      <c r="H108" s="67"/>
      <c r="I108" s="67"/>
      <c r="J108" s="32"/>
      <c r="K108" s="6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ht="15.75" customHeight="1">
      <c r="A109" s="32"/>
      <c r="B109" s="65"/>
      <c r="C109" s="65"/>
      <c r="D109" s="32"/>
      <c r="E109" s="32"/>
      <c r="F109" s="32"/>
      <c r="G109" s="65"/>
      <c r="H109" s="67"/>
      <c r="I109" s="67"/>
      <c r="J109" s="32"/>
      <c r="K109" s="6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ht="15.75" customHeight="1">
      <c r="A110" s="32"/>
      <c r="B110" s="65"/>
      <c r="C110" s="65"/>
      <c r="D110" s="32"/>
      <c r="E110" s="32"/>
      <c r="F110" s="32"/>
      <c r="G110" s="65"/>
      <c r="H110" s="67"/>
      <c r="I110" s="67"/>
      <c r="J110" s="32"/>
      <c r="K110" s="6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ht="15.75" customHeight="1">
      <c r="A111" s="32"/>
      <c r="B111" s="65"/>
      <c r="C111" s="65"/>
      <c r="D111" s="32"/>
      <c r="E111" s="32"/>
      <c r="F111" s="32"/>
      <c r="G111" s="65"/>
      <c r="H111" s="67"/>
      <c r="I111" s="67"/>
      <c r="J111" s="32"/>
      <c r="K111" s="6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ht="15.75" customHeight="1">
      <c r="A112" s="32"/>
      <c r="B112" s="65"/>
      <c r="C112" s="65"/>
      <c r="D112" s="32"/>
      <c r="E112" s="32"/>
      <c r="F112" s="32"/>
      <c r="G112" s="65"/>
      <c r="H112" s="67"/>
      <c r="I112" s="67"/>
      <c r="J112" s="32"/>
      <c r="K112" s="6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ht="15.75" customHeight="1">
      <c r="A113" s="32"/>
      <c r="B113" s="65"/>
      <c r="C113" s="65"/>
      <c r="D113" s="32"/>
      <c r="E113" s="32"/>
      <c r="F113" s="32"/>
      <c r="G113" s="65"/>
      <c r="H113" s="67"/>
      <c r="I113" s="67"/>
      <c r="J113" s="32"/>
      <c r="K113" s="6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ht="15.75" customHeight="1">
      <c r="A114" s="32"/>
      <c r="B114" s="65"/>
      <c r="C114" s="65"/>
      <c r="D114" s="32"/>
      <c r="E114" s="32"/>
      <c r="F114" s="32"/>
      <c r="G114" s="65"/>
      <c r="H114" s="67"/>
      <c r="I114" s="67"/>
      <c r="J114" s="32"/>
      <c r="K114" s="6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 ht="15.75" customHeight="1">
      <c r="A115" s="32"/>
      <c r="B115" s="65"/>
      <c r="C115" s="65"/>
      <c r="D115" s="32"/>
      <c r="E115" s="32"/>
      <c r="F115" s="32"/>
      <c r="G115" s="65"/>
      <c r="H115" s="67"/>
      <c r="I115" s="67"/>
      <c r="J115" s="32"/>
      <c r="K115" s="6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 ht="15.75" customHeight="1">
      <c r="A116" s="32"/>
      <c r="B116" s="65"/>
      <c r="C116" s="65"/>
      <c r="D116" s="32"/>
      <c r="E116" s="32"/>
      <c r="F116" s="32"/>
      <c r="G116" s="65"/>
      <c r="H116" s="67"/>
      <c r="I116" s="67"/>
      <c r="J116" s="32"/>
      <c r="K116" s="6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 ht="15.75" customHeight="1">
      <c r="A117" s="32"/>
      <c r="B117" s="65"/>
      <c r="C117" s="65"/>
      <c r="D117" s="32"/>
      <c r="E117" s="32"/>
      <c r="F117" s="32"/>
      <c r="G117" s="65"/>
      <c r="H117" s="67"/>
      <c r="I117" s="67"/>
      <c r="J117" s="32"/>
      <c r="K117" s="68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 ht="15.75" customHeight="1">
      <c r="A118" s="32"/>
      <c r="B118" s="65"/>
      <c r="C118" s="65"/>
      <c r="D118" s="32"/>
      <c r="E118" s="32"/>
      <c r="F118" s="32"/>
      <c r="G118" s="65"/>
      <c r="H118" s="67"/>
      <c r="I118" s="67"/>
      <c r="J118" s="32"/>
      <c r="K118" s="68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 ht="15.75" customHeight="1">
      <c r="A119" s="32"/>
      <c r="B119" s="65"/>
      <c r="C119" s="65"/>
      <c r="D119" s="32"/>
      <c r="E119" s="32"/>
      <c r="F119" s="32"/>
      <c r="G119" s="65"/>
      <c r="H119" s="67"/>
      <c r="I119" s="67"/>
      <c r="J119" s="32"/>
      <c r="K119" s="68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 ht="15.75" customHeight="1">
      <c r="A120" s="32"/>
      <c r="B120" s="65"/>
      <c r="C120" s="65"/>
      <c r="D120" s="32"/>
      <c r="E120" s="32"/>
      <c r="F120" s="32"/>
      <c r="G120" s="65"/>
      <c r="H120" s="67"/>
      <c r="I120" s="67"/>
      <c r="J120" s="32"/>
      <c r="K120" s="68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 ht="15.75" customHeight="1">
      <c r="A121" s="32"/>
      <c r="B121" s="65"/>
      <c r="C121" s="65"/>
      <c r="D121" s="32"/>
      <c r="E121" s="32"/>
      <c r="F121" s="32"/>
      <c r="G121" s="65"/>
      <c r="H121" s="67"/>
      <c r="I121" s="67"/>
      <c r="J121" s="32"/>
      <c r="K121" s="68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 ht="15.75" customHeight="1">
      <c r="A122" s="32"/>
      <c r="B122" s="65"/>
      <c r="C122" s="65"/>
      <c r="D122" s="32"/>
      <c r="E122" s="32"/>
      <c r="F122" s="32"/>
      <c r="G122" s="65"/>
      <c r="H122" s="67"/>
      <c r="I122" s="67"/>
      <c r="J122" s="32"/>
      <c r="K122" s="68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 ht="15.75" customHeight="1">
      <c r="A123" s="32"/>
      <c r="B123" s="65"/>
      <c r="C123" s="65"/>
      <c r="D123" s="32"/>
      <c r="E123" s="32"/>
      <c r="F123" s="32"/>
      <c r="G123" s="65"/>
      <c r="H123" s="67"/>
      <c r="I123" s="67"/>
      <c r="J123" s="32"/>
      <c r="K123" s="68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 ht="15.75" customHeight="1">
      <c r="A124" s="32"/>
      <c r="B124" s="65"/>
      <c r="C124" s="65"/>
      <c r="D124" s="32"/>
      <c r="E124" s="32"/>
      <c r="F124" s="32"/>
      <c r="G124" s="65"/>
      <c r="H124" s="67"/>
      <c r="I124" s="67"/>
      <c r="J124" s="32"/>
      <c r="K124" s="68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 ht="15.75" customHeight="1">
      <c r="A125" s="32"/>
      <c r="B125" s="65"/>
      <c r="C125" s="65"/>
      <c r="D125" s="32"/>
      <c r="E125" s="32"/>
      <c r="F125" s="32"/>
      <c r="G125" s="65"/>
      <c r="H125" s="67"/>
      <c r="I125" s="67"/>
      <c r="J125" s="32"/>
      <c r="K125" s="68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 ht="15.75" customHeight="1">
      <c r="A126" s="32"/>
      <c r="B126" s="65"/>
      <c r="C126" s="65"/>
      <c r="D126" s="32"/>
      <c r="E126" s="32"/>
      <c r="F126" s="32"/>
      <c r="G126" s="65"/>
      <c r="H126" s="67"/>
      <c r="I126" s="67"/>
      <c r="J126" s="32"/>
      <c r="K126" s="68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 ht="15.75" customHeight="1">
      <c r="A127" s="32"/>
      <c r="B127" s="65"/>
      <c r="C127" s="65"/>
      <c r="D127" s="32"/>
      <c r="E127" s="32"/>
      <c r="F127" s="32"/>
      <c r="G127" s="65"/>
      <c r="H127" s="67"/>
      <c r="I127" s="67"/>
      <c r="J127" s="32"/>
      <c r="K127" s="68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 ht="15.75" customHeight="1">
      <c r="A128" s="32"/>
      <c r="B128" s="65"/>
      <c r="C128" s="65"/>
      <c r="D128" s="32"/>
      <c r="E128" s="32"/>
      <c r="F128" s="32"/>
      <c r="G128" s="65"/>
      <c r="H128" s="67"/>
      <c r="I128" s="67"/>
      <c r="J128" s="32"/>
      <c r="K128" s="68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ht="15.75" customHeight="1">
      <c r="A129" s="32"/>
      <c r="B129" s="65"/>
      <c r="C129" s="65"/>
      <c r="D129" s="32"/>
      <c r="E129" s="32"/>
      <c r="F129" s="32"/>
      <c r="G129" s="65"/>
      <c r="H129" s="67"/>
      <c r="I129" s="67"/>
      <c r="J129" s="32"/>
      <c r="K129" s="68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 ht="15.75" customHeight="1">
      <c r="A130" s="32"/>
      <c r="B130" s="65"/>
      <c r="C130" s="65"/>
      <c r="D130" s="32"/>
      <c r="E130" s="32"/>
      <c r="F130" s="32"/>
      <c r="G130" s="65"/>
      <c r="H130" s="67"/>
      <c r="I130" s="67"/>
      <c r="J130" s="32"/>
      <c r="K130" s="68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 ht="15.75" customHeight="1">
      <c r="A131" s="32"/>
      <c r="B131" s="65"/>
      <c r="C131" s="65"/>
      <c r="D131" s="32"/>
      <c r="E131" s="32"/>
      <c r="F131" s="32"/>
      <c r="G131" s="65"/>
      <c r="H131" s="67"/>
      <c r="I131" s="67"/>
      <c r="J131" s="32"/>
      <c r="K131" s="68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 ht="15.75" customHeight="1">
      <c r="A132" s="32"/>
      <c r="B132" s="65"/>
      <c r="C132" s="65"/>
      <c r="D132" s="32"/>
      <c r="E132" s="32"/>
      <c r="F132" s="32"/>
      <c r="G132" s="65"/>
      <c r="H132" s="67"/>
      <c r="I132" s="67"/>
      <c r="J132" s="32"/>
      <c r="K132" s="68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ht="15.75" customHeight="1">
      <c r="A133" s="32"/>
      <c r="B133" s="65"/>
      <c r="C133" s="65"/>
      <c r="D133" s="32"/>
      <c r="E133" s="32"/>
      <c r="F133" s="32"/>
      <c r="G133" s="65"/>
      <c r="H133" s="67"/>
      <c r="I133" s="67"/>
      <c r="J133" s="32"/>
      <c r="K133" s="68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ht="15.75" customHeight="1">
      <c r="A134" s="32"/>
      <c r="B134" s="65"/>
      <c r="C134" s="65"/>
      <c r="D134" s="32"/>
      <c r="E134" s="32"/>
      <c r="F134" s="32"/>
      <c r="G134" s="65"/>
      <c r="H134" s="67"/>
      <c r="I134" s="67"/>
      <c r="J134" s="32"/>
      <c r="K134" s="68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 ht="15.75" customHeight="1">
      <c r="A135" s="32"/>
      <c r="B135" s="65"/>
      <c r="C135" s="65"/>
      <c r="D135" s="32"/>
      <c r="E135" s="32"/>
      <c r="F135" s="32"/>
      <c r="G135" s="65"/>
      <c r="H135" s="67"/>
      <c r="I135" s="67"/>
      <c r="J135" s="32"/>
      <c r="K135" s="68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 ht="15.75" customHeight="1">
      <c r="A136" s="32"/>
      <c r="B136" s="65"/>
      <c r="C136" s="65"/>
      <c r="D136" s="32"/>
      <c r="E136" s="32"/>
      <c r="F136" s="32"/>
      <c r="G136" s="65"/>
      <c r="H136" s="67"/>
      <c r="I136" s="67"/>
      <c r="J136" s="32"/>
      <c r="K136" s="68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 ht="15.75" customHeight="1">
      <c r="A137" s="32"/>
      <c r="B137" s="65"/>
      <c r="C137" s="65"/>
      <c r="D137" s="32"/>
      <c r="E137" s="32"/>
      <c r="F137" s="32"/>
      <c r="G137" s="65"/>
      <c r="H137" s="67"/>
      <c r="I137" s="67"/>
      <c r="J137" s="32"/>
      <c r="K137" s="68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 ht="15.75" customHeight="1">
      <c r="A138" s="32"/>
      <c r="B138" s="65"/>
      <c r="C138" s="65"/>
      <c r="D138" s="32"/>
      <c r="E138" s="32"/>
      <c r="F138" s="32"/>
      <c r="G138" s="65"/>
      <c r="H138" s="67"/>
      <c r="I138" s="67"/>
      <c r="J138" s="32"/>
      <c r="K138" s="68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 ht="15.75" customHeight="1">
      <c r="A139" s="32"/>
      <c r="B139" s="65"/>
      <c r="C139" s="65"/>
      <c r="D139" s="32"/>
      <c r="E139" s="32"/>
      <c r="F139" s="32"/>
      <c r="G139" s="65"/>
      <c r="H139" s="67"/>
      <c r="I139" s="67"/>
      <c r="J139" s="32"/>
      <c r="K139" s="68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 ht="15.75" customHeight="1">
      <c r="A140" s="32"/>
      <c r="B140" s="65"/>
      <c r="C140" s="65"/>
      <c r="D140" s="32"/>
      <c r="E140" s="32"/>
      <c r="F140" s="32"/>
      <c r="G140" s="65"/>
      <c r="H140" s="67"/>
      <c r="I140" s="67"/>
      <c r="J140" s="32"/>
      <c r="K140" s="68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 ht="15.75" customHeight="1">
      <c r="A141" s="32"/>
      <c r="B141" s="65"/>
      <c r="C141" s="65"/>
      <c r="D141" s="32"/>
      <c r="E141" s="32"/>
      <c r="F141" s="32"/>
      <c r="G141" s="65"/>
      <c r="H141" s="67"/>
      <c r="I141" s="67"/>
      <c r="J141" s="32"/>
      <c r="K141" s="68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 ht="15.75" customHeight="1">
      <c r="A142" s="32"/>
      <c r="B142" s="65"/>
      <c r="C142" s="65"/>
      <c r="D142" s="32"/>
      <c r="E142" s="32"/>
      <c r="F142" s="32"/>
      <c r="G142" s="65"/>
      <c r="H142" s="67"/>
      <c r="I142" s="67"/>
      <c r="J142" s="32"/>
      <c r="K142" s="68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 ht="15.75" customHeight="1">
      <c r="A143" s="32"/>
      <c r="B143" s="65"/>
      <c r="C143" s="65"/>
      <c r="D143" s="32"/>
      <c r="E143" s="32"/>
      <c r="F143" s="32"/>
      <c r="G143" s="65"/>
      <c r="H143" s="67"/>
      <c r="I143" s="67"/>
      <c r="J143" s="32"/>
      <c r="K143" s="68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 ht="15.75" customHeight="1">
      <c r="A144" s="32"/>
      <c r="B144" s="65"/>
      <c r="C144" s="65"/>
      <c r="D144" s="32"/>
      <c r="E144" s="32"/>
      <c r="F144" s="32"/>
      <c r="G144" s="65"/>
      <c r="H144" s="67"/>
      <c r="I144" s="67"/>
      <c r="J144" s="32"/>
      <c r="K144" s="68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 ht="15.75" customHeight="1">
      <c r="A145" s="32"/>
      <c r="B145" s="65"/>
      <c r="C145" s="65"/>
      <c r="D145" s="32"/>
      <c r="E145" s="32"/>
      <c r="F145" s="32"/>
      <c r="G145" s="65"/>
      <c r="H145" s="67"/>
      <c r="I145" s="67"/>
      <c r="J145" s="32"/>
      <c r="K145" s="68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 ht="15.75" customHeight="1">
      <c r="A146" s="32"/>
      <c r="B146" s="65"/>
      <c r="C146" s="65"/>
      <c r="D146" s="32"/>
      <c r="E146" s="32"/>
      <c r="F146" s="32"/>
      <c r="G146" s="65"/>
      <c r="H146" s="67"/>
      <c r="I146" s="67"/>
      <c r="J146" s="32"/>
      <c r="K146" s="68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 ht="15.75" customHeight="1">
      <c r="A147" s="32"/>
      <c r="B147" s="65"/>
      <c r="C147" s="65"/>
      <c r="D147" s="32"/>
      <c r="E147" s="32"/>
      <c r="F147" s="32"/>
      <c r="G147" s="65"/>
      <c r="H147" s="67"/>
      <c r="I147" s="67"/>
      <c r="J147" s="32"/>
      <c r="K147" s="68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 ht="15.75" customHeight="1">
      <c r="A148" s="32"/>
      <c r="B148" s="65"/>
      <c r="C148" s="65"/>
      <c r="D148" s="32"/>
      <c r="E148" s="32"/>
      <c r="F148" s="32"/>
      <c r="G148" s="65"/>
      <c r="H148" s="67"/>
      <c r="I148" s="67"/>
      <c r="J148" s="32"/>
      <c r="K148" s="68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 ht="15.75" customHeight="1">
      <c r="A149" s="32"/>
      <c r="B149" s="65"/>
      <c r="C149" s="65"/>
      <c r="D149" s="32"/>
      <c r="E149" s="32"/>
      <c r="F149" s="32"/>
      <c r="G149" s="65"/>
      <c r="H149" s="67"/>
      <c r="I149" s="67"/>
      <c r="J149" s="32"/>
      <c r="K149" s="68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 ht="15.75" customHeight="1">
      <c r="A150" s="32"/>
      <c r="B150" s="65"/>
      <c r="C150" s="65"/>
      <c r="D150" s="32"/>
      <c r="E150" s="32"/>
      <c r="F150" s="32"/>
      <c r="G150" s="65"/>
      <c r="H150" s="67"/>
      <c r="I150" s="67"/>
      <c r="J150" s="32"/>
      <c r="K150" s="68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 ht="15.75" customHeight="1">
      <c r="A151" s="32"/>
      <c r="B151" s="65"/>
      <c r="C151" s="65"/>
      <c r="D151" s="32"/>
      <c r="E151" s="32"/>
      <c r="F151" s="32"/>
      <c r="G151" s="65"/>
      <c r="H151" s="67"/>
      <c r="I151" s="67"/>
      <c r="J151" s="32"/>
      <c r="K151" s="68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 ht="15.75" customHeight="1">
      <c r="A152" s="32"/>
      <c r="B152" s="65"/>
      <c r="C152" s="65"/>
      <c r="D152" s="32"/>
      <c r="E152" s="32"/>
      <c r="F152" s="32"/>
      <c r="G152" s="65"/>
      <c r="H152" s="67"/>
      <c r="I152" s="67"/>
      <c r="J152" s="32"/>
      <c r="K152" s="68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 ht="15.75" customHeight="1">
      <c r="A153" s="32"/>
      <c r="B153" s="65"/>
      <c r="C153" s="65"/>
      <c r="D153" s="32"/>
      <c r="E153" s="32"/>
      <c r="F153" s="32"/>
      <c r="G153" s="65"/>
      <c r="H153" s="67"/>
      <c r="I153" s="67"/>
      <c r="J153" s="32"/>
      <c r="K153" s="68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 ht="15.75" customHeight="1">
      <c r="A154" s="32"/>
      <c r="B154" s="65"/>
      <c r="C154" s="65"/>
      <c r="D154" s="32"/>
      <c r="E154" s="32"/>
      <c r="F154" s="32"/>
      <c r="G154" s="65"/>
      <c r="H154" s="67"/>
      <c r="I154" s="67"/>
      <c r="J154" s="32"/>
      <c r="K154" s="68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 ht="15.75" customHeight="1">
      <c r="A155" s="32"/>
      <c r="B155" s="65"/>
      <c r="C155" s="65"/>
      <c r="D155" s="32"/>
      <c r="E155" s="32"/>
      <c r="F155" s="32"/>
      <c r="G155" s="65"/>
      <c r="H155" s="67"/>
      <c r="I155" s="67"/>
      <c r="J155" s="32"/>
      <c r="K155" s="68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 ht="15.75" customHeight="1">
      <c r="A156" s="32"/>
      <c r="B156" s="65"/>
      <c r="C156" s="65"/>
      <c r="D156" s="32"/>
      <c r="E156" s="32"/>
      <c r="F156" s="32"/>
      <c r="G156" s="65"/>
      <c r="H156" s="67"/>
      <c r="I156" s="67"/>
      <c r="J156" s="32"/>
      <c r="K156" s="68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 ht="15.75" customHeight="1">
      <c r="A157" s="32"/>
      <c r="B157" s="65"/>
      <c r="C157" s="65"/>
      <c r="D157" s="32"/>
      <c r="E157" s="32"/>
      <c r="F157" s="32"/>
      <c r="G157" s="65"/>
      <c r="H157" s="67"/>
      <c r="I157" s="67"/>
      <c r="J157" s="32"/>
      <c r="K157" s="68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 ht="15.75" customHeight="1">
      <c r="A158" s="32"/>
      <c r="B158" s="65"/>
      <c r="C158" s="65"/>
      <c r="D158" s="32"/>
      <c r="E158" s="32"/>
      <c r="F158" s="32"/>
      <c r="G158" s="65"/>
      <c r="H158" s="67"/>
      <c r="I158" s="67"/>
      <c r="J158" s="32"/>
      <c r="K158" s="68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 ht="15.75" customHeight="1">
      <c r="A159" s="32"/>
      <c r="B159" s="65"/>
      <c r="C159" s="65"/>
      <c r="D159" s="32"/>
      <c r="E159" s="32"/>
      <c r="F159" s="32"/>
      <c r="G159" s="65"/>
      <c r="H159" s="67"/>
      <c r="I159" s="67"/>
      <c r="J159" s="32"/>
      <c r="K159" s="68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 ht="15.75" customHeight="1">
      <c r="A160" s="32"/>
      <c r="B160" s="65"/>
      <c r="C160" s="65"/>
      <c r="D160" s="32"/>
      <c r="E160" s="32"/>
      <c r="F160" s="32"/>
      <c r="G160" s="65"/>
      <c r="H160" s="67"/>
      <c r="I160" s="67"/>
      <c r="J160" s="32"/>
      <c r="K160" s="68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 ht="15.75" customHeight="1">
      <c r="A161" s="32"/>
      <c r="B161" s="65"/>
      <c r="C161" s="65"/>
      <c r="D161" s="32"/>
      <c r="E161" s="32"/>
      <c r="F161" s="32"/>
      <c r="G161" s="65"/>
      <c r="H161" s="67"/>
      <c r="I161" s="67"/>
      <c r="J161" s="32"/>
      <c r="K161" s="68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 ht="15.75" customHeight="1">
      <c r="A162" s="32"/>
      <c r="B162" s="65"/>
      <c r="C162" s="65"/>
      <c r="D162" s="32"/>
      <c r="E162" s="32"/>
      <c r="F162" s="32"/>
      <c r="G162" s="65"/>
      <c r="H162" s="67"/>
      <c r="I162" s="67"/>
      <c r="J162" s="32"/>
      <c r="K162" s="68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 ht="15.75" customHeight="1">
      <c r="A163" s="32"/>
      <c r="B163" s="65"/>
      <c r="C163" s="65"/>
      <c r="D163" s="32"/>
      <c r="E163" s="32"/>
      <c r="F163" s="32"/>
      <c r="G163" s="65"/>
      <c r="H163" s="67"/>
      <c r="I163" s="67"/>
      <c r="J163" s="32"/>
      <c r="K163" s="68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 ht="15.75" customHeight="1">
      <c r="A164" s="32"/>
      <c r="B164" s="65"/>
      <c r="C164" s="65"/>
      <c r="D164" s="32"/>
      <c r="E164" s="32"/>
      <c r="F164" s="32"/>
      <c r="G164" s="65"/>
      <c r="H164" s="67"/>
      <c r="I164" s="67"/>
      <c r="J164" s="32"/>
      <c r="K164" s="68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 ht="15.75" customHeight="1">
      <c r="A165" s="32"/>
      <c r="B165" s="65"/>
      <c r="C165" s="65"/>
      <c r="D165" s="32"/>
      <c r="E165" s="32"/>
      <c r="F165" s="32"/>
      <c r="G165" s="65"/>
      <c r="H165" s="67"/>
      <c r="I165" s="67"/>
      <c r="J165" s="32"/>
      <c r="K165" s="68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 ht="15.75" customHeight="1">
      <c r="A166" s="32"/>
      <c r="B166" s="65"/>
      <c r="C166" s="65"/>
      <c r="D166" s="32"/>
      <c r="E166" s="32"/>
      <c r="F166" s="32"/>
      <c r="G166" s="65"/>
      <c r="H166" s="67"/>
      <c r="I166" s="67"/>
      <c r="J166" s="32"/>
      <c r="K166" s="68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 ht="15.75" customHeight="1">
      <c r="A167" s="32"/>
      <c r="B167" s="65"/>
      <c r="C167" s="65"/>
      <c r="D167" s="32"/>
      <c r="E167" s="32"/>
      <c r="F167" s="32"/>
      <c r="G167" s="65"/>
      <c r="H167" s="67"/>
      <c r="I167" s="67"/>
      <c r="J167" s="32"/>
      <c r="K167" s="68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 ht="15.75" customHeight="1">
      <c r="A168" s="32"/>
      <c r="B168" s="65"/>
      <c r="C168" s="65"/>
      <c r="D168" s="32"/>
      <c r="E168" s="32"/>
      <c r="F168" s="32"/>
      <c r="G168" s="65"/>
      <c r="H168" s="67"/>
      <c r="I168" s="67"/>
      <c r="J168" s="32"/>
      <c r="K168" s="68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 ht="15.75" customHeight="1">
      <c r="A169" s="32"/>
      <c r="B169" s="65"/>
      <c r="C169" s="65"/>
      <c r="D169" s="32"/>
      <c r="E169" s="32"/>
      <c r="F169" s="32"/>
      <c r="G169" s="65"/>
      <c r="H169" s="67"/>
      <c r="I169" s="67"/>
      <c r="J169" s="32"/>
      <c r="K169" s="68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 ht="15.75" customHeight="1">
      <c r="A170" s="32"/>
      <c r="B170" s="65"/>
      <c r="C170" s="65"/>
      <c r="D170" s="32"/>
      <c r="E170" s="32"/>
      <c r="F170" s="32"/>
      <c r="G170" s="65"/>
      <c r="H170" s="67"/>
      <c r="I170" s="67"/>
      <c r="J170" s="32"/>
      <c r="K170" s="68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 ht="15.75" customHeight="1">
      <c r="A171" s="32"/>
      <c r="B171" s="65"/>
      <c r="C171" s="65"/>
      <c r="D171" s="32"/>
      <c r="E171" s="32"/>
      <c r="F171" s="32"/>
      <c r="G171" s="65"/>
      <c r="H171" s="67"/>
      <c r="I171" s="67"/>
      <c r="J171" s="32"/>
      <c r="K171" s="68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ht="15.75" customHeight="1">
      <c r="A172" s="32"/>
      <c r="B172" s="65"/>
      <c r="C172" s="65"/>
      <c r="D172" s="32"/>
      <c r="E172" s="32"/>
      <c r="F172" s="32"/>
      <c r="G172" s="65"/>
      <c r="H172" s="67"/>
      <c r="I172" s="67"/>
      <c r="J172" s="32"/>
      <c r="K172" s="68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 ht="15.75" customHeight="1">
      <c r="A173" s="32"/>
      <c r="B173" s="65"/>
      <c r="C173" s="65"/>
      <c r="D173" s="32"/>
      <c r="E173" s="32"/>
      <c r="F173" s="32"/>
      <c r="G173" s="65"/>
      <c r="H173" s="67"/>
      <c r="I173" s="67"/>
      <c r="J173" s="32"/>
      <c r="K173" s="68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ht="15.75" customHeight="1">
      <c r="A174" s="32"/>
      <c r="B174" s="65"/>
      <c r="C174" s="65"/>
      <c r="D174" s="32"/>
      <c r="E174" s="32"/>
      <c r="F174" s="32"/>
      <c r="G174" s="65"/>
      <c r="H174" s="67"/>
      <c r="I174" s="67"/>
      <c r="J174" s="32"/>
      <c r="K174" s="68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ht="15.75" customHeight="1">
      <c r="A175" s="32"/>
      <c r="B175" s="65"/>
      <c r="C175" s="65"/>
      <c r="D175" s="32"/>
      <c r="E175" s="32"/>
      <c r="F175" s="32"/>
      <c r="G175" s="65"/>
      <c r="H175" s="67"/>
      <c r="I175" s="67"/>
      <c r="J175" s="32"/>
      <c r="K175" s="68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 ht="15.75" customHeight="1">
      <c r="A176" s="32"/>
      <c r="B176" s="65"/>
      <c r="C176" s="65"/>
      <c r="D176" s="32"/>
      <c r="E176" s="32"/>
      <c r="F176" s="32"/>
      <c r="G176" s="65"/>
      <c r="H176" s="67"/>
      <c r="I176" s="67"/>
      <c r="J176" s="32"/>
      <c r="K176" s="68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 ht="15.75" customHeight="1">
      <c r="A177" s="32"/>
      <c r="B177" s="65"/>
      <c r="C177" s="65"/>
      <c r="D177" s="32"/>
      <c r="E177" s="32"/>
      <c r="F177" s="32"/>
      <c r="G177" s="65"/>
      <c r="H177" s="67"/>
      <c r="I177" s="67"/>
      <c r="J177" s="32"/>
      <c r="K177" s="68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ht="15.75" customHeight="1">
      <c r="A178" s="32"/>
      <c r="B178" s="65"/>
      <c r="C178" s="65"/>
      <c r="D178" s="32"/>
      <c r="E178" s="32"/>
      <c r="F178" s="32"/>
      <c r="G178" s="65"/>
      <c r="H178" s="67"/>
      <c r="I178" s="67"/>
      <c r="J178" s="32"/>
      <c r="K178" s="68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 ht="15.75" customHeight="1">
      <c r="A179" s="32"/>
      <c r="B179" s="65"/>
      <c r="C179" s="65"/>
      <c r="D179" s="32"/>
      <c r="E179" s="32"/>
      <c r="F179" s="32"/>
      <c r="G179" s="65"/>
      <c r="H179" s="67"/>
      <c r="I179" s="67"/>
      <c r="J179" s="32"/>
      <c r="K179" s="68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 ht="15.75" customHeight="1">
      <c r="A180" s="32"/>
      <c r="B180" s="65"/>
      <c r="C180" s="65"/>
      <c r="D180" s="32"/>
      <c r="E180" s="32"/>
      <c r="F180" s="32"/>
      <c r="G180" s="65"/>
      <c r="H180" s="67"/>
      <c r="I180" s="67"/>
      <c r="J180" s="32"/>
      <c r="K180" s="68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 ht="15.75" customHeight="1">
      <c r="A181" s="32"/>
      <c r="B181" s="65"/>
      <c r="C181" s="65"/>
      <c r="D181" s="32"/>
      <c r="E181" s="32"/>
      <c r="F181" s="32"/>
      <c r="G181" s="65"/>
      <c r="H181" s="67"/>
      <c r="I181" s="67"/>
      <c r="J181" s="32"/>
      <c r="K181" s="68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 ht="15.75" customHeight="1">
      <c r="A182" s="32"/>
      <c r="B182" s="65"/>
      <c r="C182" s="65"/>
      <c r="D182" s="32"/>
      <c r="E182" s="32"/>
      <c r="F182" s="32"/>
      <c r="G182" s="65"/>
      <c r="H182" s="67"/>
      <c r="I182" s="67"/>
      <c r="J182" s="32"/>
      <c r="K182" s="68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ht="15.75" customHeight="1">
      <c r="A183" s="32"/>
      <c r="B183" s="65"/>
      <c r="C183" s="65"/>
      <c r="D183" s="32"/>
      <c r="E183" s="32"/>
      <c r="F183" s="32"/>
      <c r="G183" s="65"/>
      <c r="H183" s="67"/>
      <c r="I183" s="67"/>
      <c r="J183" s="32"/>
      <c r="K183" s="68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 ht="15.75" customHeight="1">
      <c r="A184" s="32"/>
      <c r="B184" s="65"/>
      <c r="C184" s="65"/>
      <c r="D184" s="32"/>
      <c r="E184" s="32"/>
      <c r="F184" s="32"/>
      <c r="G184" s="65"/>
      <c r="H184" s="67"/>
      <c r="I184" s="67"/>
      <c r="J184" s="32"/>
      <c r="K184" s="68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 ht="15.75" customHeight="1">
      <c r="A185" s="32"/>
      <c r="B185" s="65"/>
      <c r="C185" s="65"/>
      <c r="D185" s="32"/>
      <c r="E185" s="32"/>
      <c r="F185" s="32"/>
      <c r="G185" s="65"/>
      <c r="H185" s="67"/>
      <c r="I185" s="67"/>
      <c r="J185" s="32"/>
      <c r="K185" s="68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 ht="15.75" customHeight="1">
      <c r="A186" s="32"/>
      <c r="B186" s="65"/>
      <c r="C186" s="65"/>
      <c r="D186" s="32"/>
      <c r="E186" s="32"/>
      <c r="F186" s="32"/>
      <c r="G186" s="65"/>
      <c r="H186" s="67"/>
      <c r="I186" s="67"/>
      <c r="J186" s="32"/>
      <c r="K186" s="68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 ht="15.75" customHeight="1">
      <c r="A187" s="32"/>
      <c r="B187" s="65"/>
      <c r="C187" s="65"/>
      <c r="D187" s="32"/>
      <c r="E187" s="32"/>
      <c r="F187" s="32"/>
      <c r="G187" s="65"/>
      <c r="H187" s="67"/>
      <c r="I187" s="67"/>
      <c r="J187" s="32"/>
      <c r="K187" s="68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 ht="15.75" customHeight="1">
      <c r="A188" s="32"/>
      <c r="B188" s="65"/>
      <c r="C188" s="65"/>
      <c r="D188" s="32"/>
      <c r="E188" s="32"/>
      <c r="F188" s="32"/>
      <c r="G188" s="65"/>
      <c r="H188" s="67"/>
      <c r="I188" s="67"/>
      <c r="J188" s="32"/>
      <c r="K188" s="68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 ht="15.75" customHeight="1">
      <c r="A189" s="32"/>
      <c r="B189" s="65"/>
      <c r="C189" s="65"/>
      <c r="D189" s="32"/>
      <c r="E189" s="32"/>
      <c r="F189" s="32"/>
      <c r="G189" s="65"/>
      <c r="H189" s="67"/>
      <c r="I189" s="67"/>
      <c r="J189" s="32"/>
      <c r="K189" s="68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 ht="15.75" customHeight="1">
      <c r="A190" s="32"/>
      <c r="B190" s="65"/>
      <c r="C190" s="65"/>
      <c r="D190" s="32"/>
      <c r="E190" s="32"/>
      <c r="F190" s="32"/>
      <c r="G190" s="65"/>
      <c r="H190" s="67"/>
      <c r="I190" s="67"/>
      <c r="J190" s="32"/>
      <c r="K190" s="68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 ht="15.75" customHeight="1">
      <c r="A191" s="32"/>
      <c r="B191" s="65"/>
      <c r="C191" s="65"/>
      <c r="D191" s="32"/>
      <c r="E191" s="32"/>
      <c r="F191" s="32"/>
      <c r="G191" s="65"/>
      <c r="H191" s="67"/>
      <c r="I191" s="67"/>
      <c r="J191" s="32"/>
      <c r="K191" s="68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 ht="15.75" customHeight="1">
      <c r="A192" s="32"/>
      <c r="B192" s="65"/>
      <c r="C192" s="65"/>
      <c r="D192" s="32"/>
      <c r="E192" s="32"/>
      <c r="F192" s="32"/>
      <c r="G192" s="65"/>
      <c r="H192" s="67"/>
      <c r="I192" s="67"/>
      <c r="J192" s="32"/>
      <c r="K192" s="68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 ht="15.75" customHeight="1">
      <c r="A193" s="32"/>
      <c r="B193" s="65"/>
      <c r="C193" s="65"/>
      <c r="D193" s="32"/>
      <c r="E193" s="32"/>
      <c r="F193" s="32"/>
      <c r="G193" s="65"/>
      <c r="H193" s="67"/>
      <c r="I193" s="67"/>
      <c r="J193" s="32"/>
      <c r="K193" s="68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 ht="15.75" customHeight="1">
      <c r="A194" s="32"/>
      <c r="B194" s="65"/>
      <c r="C194" s="65"/>
      <c r="D194" s="32"/>
      <c r="E194" s="32"/>
      <c r="F194" s="32"/>
      <c r="G194" s="65"/>
      <c r="H194" s="67"/>
      <c r="I194" s="67"/>
      <c r="J194" s="32"/>
      <c r="K194" s="68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 ht="15.75" customHeight="1">
      <c r="A195" s="32"/>
      <c r="B195" s="65"/>
      <c r="C195" s="65"/>
      <c r="D195" s="32"/>
      <c r="E195" s="32"/>
      <c r="F195" s="32"/>
      <c r="G195" s="65"/>
      <c r="H195" s="67"/>
      <c r="I195" s="67"/>
      <c r="J195" s="32"/>
      <c r="K195" s="68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 ht="15.75" customHeight="1">
      <c r="A196" s="32"/>
      <c r="B196" s="65"/>
      <c r="C196" s="65"/>
      <c r="D196" s="32"/>
      <c r="E196" s="32"/>
      <c r="F196" s="32"/>
      <c r="G196" s="65"/>
      <c r="H196" s="67"/>
      <c r="I196" s="67"/>
      <c r="J196" s="32"/>
      <c r="K196" s="68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ht="15.75" customHeight="1">
      <c r="A197" s="32"/>
      <c r="B197" s="65"/>
      <c r="C197" s="65"/>
      <c r="D197" s="32"/>
      <c r="E197" s="32"/>
      <c r="F197" s="32"/>
      <c r="G197" s="65"/>
      <c r="H197" s="67"/>
      <c r="I197" s="67"/>
      <c r="J197" s="32"/>
      <c r="K197" s="68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ht="15.75" customHeight="1">
      <c r="A198" s="32"/>
      <c r="B198" s="65"/>
      <c r="C198" s="65"/>
      <c r="D198" s="32"/>
      <c r="E198" s="32"/>
      <c r="F198" s="32"/>
      <c r="G198" s="65"/>
      <c r="H198" s="67"/>
      <c r="I198" s="67"/>
      <c r="J198" s="32"/>
      <c r="K198" s="68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ht="15.75" customHeight="1">
      <c r="A199" s="32"/>
      <c r="B199" s="65"/>
      <c r="C199" s="65"/>
      <c r="D199" s="32"/>
      <c r="E199" s="32"/>
      <c r="F199" s="32"/>
      <c r="G199" s="65"/>
      <c r="H199" s="67"/>
      <c r="I199" s="67"/>
      <c r="J199" s="32"/>
      <c r="K199" s="68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 ht="15.75" customHeight="1">
      <c r="A200" s="32"/>
      <c r="B200" s="65"/>
      <c r="C200" s="65"/>
      <c r="D200" s="32"/>
      <c r="E200" s="32"/>
      <c r="F200" s="32"/>
      <c r="G200" s="65"/>
      <c r="H200" s="67"/>
      <c r="I200" s="67"/>
      <c r="J200" s="32"/>
      <c r="K200" s="68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 ht="15.75" customHeight="1">
      <c r="A201" s="32"/>
      <c r="B201" s="65"/>
      <c r="C201" s="65"/>
      <c r="D201" s="32"/>
      <c r="E201" s="32"/>
      <c r="F201" s="32"/>
      <c r="G201" s="65"/>
      <c r="H201" s="67"/>
      <c r="I201" s="67"/>
      <c r="J201" s="32"/>
      <c r="K201" s="68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 ht="15.75" customHeight="1">
      <c r="A202" s="32"/>
      <c r="B202" s="65"/>
      <c r="C202" s="65"/>
      <c r="D202" s="32"/>
      <c r="E202" s="32"/>
      <c r="F202" s="32"/>
      <c r="G202" s="65"/>
      <c r="H202" s="67"/>
      <c r="I202" s="67"/>
      <c r="J202" s="32"/>
      <c r="K202" s="68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 ht="15.75" customHeight="1">
      <c r="A203" s="32"/>
      <c r="B203" s="65"/>
      <c r="C203" s="65"/>
      <c r="D203" s="32"/>
      <c r="E203" s="32"/>
      <c r="F203" s="32"/>
      <c r="G203" s="65"/>
      <c r="H203" s="67"/>
      <c r="I203" s="67"/>
      <c r="J203" s="32"/>
      <c r="K203" s="68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 ht="15.75" customHeight="1">
      <c r="A204" s="32"/>
      <c r="B204" s="65"/>
      <c r="C204" s="65"/>
      <c r="D204" s="32"/>
      <c r="E204" s="32"/>
      <c r="F204" s="32"/>
      <c r="G204" s="65"/>
      <c r="H204" s="67"/>
      <c r="I204" s="67"/>
      <c r="J204" s="32"/>
      <c r="K204" s="68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ht="15.75" customHeight="1">
      <c r="A205" s="32"/>
      <c r="B205" s="65"/>
      <c r="C205" s="65"/>
      <c r="D205" s="32"/>
      <c r="E205" s="32"/>
      <c r="F205" s="32"/>
      <c r="G205" s="65"/>
      <c r="H205" s="67"/>
      <c r="I205" s="67"/>
      <c r="J205" s="32"/>
      <c r="K205" s="68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ht="15.75" customHeight="1">
      <c r="A206" s="32"/>
      <c r="B206" s="65"/>
      <c r="C206" s="65"/>
      <c r="D206" s="32"/>
      <c r="E206" s="32"/>
      <c r="F206" s="32"/>
      <c r="G206" s="65"/>
      <c r="H206" s="67"/>
      <c r="I206" s="67"/>
      <c r="J206" s="32"/>
      <c r="K206" s="68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 ht="15.75" customHeight="1">
      <c r="A207" s="32"/>
      <c r="B207" s="65"/>
      <c r="C207" s="65"/>
      <c r="D207" s="32"/>
      <c r="E207" s="32"/>
      <c r="F207" s="32"/>
      <c r="G207" s="65"/>
      <c r="H207" s="67"/>
      <c r="I207" s="67"/>
      <c r="J207" s="32"/>
      <c r="K207" s="68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 ht="15.75" customHeight="1">
      <c r="A208" s="32"/>
      <c r="B208" s="65"/>
      <c r="C208" s="65"/>
      <c r="D208" s="32"/>
      <c r="E208" s="32"/>
      <c r="F208" s="32"/>
      <c r="G208" s="65"/>
      <c r="H208" s="67"/>
      <c r="I208" s="67"/>
      <c r="J208" s="32"/>
      <c r="K208" s="68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 ht="15.75" customHeight="1">
      <c r="A209" s="32"/>
      <c r="B209" s="65"/>
      <c r="C209" s="65"/>
      <c r="D209" s="32"/>
      <c r="E209" s="32"/>
      <c r="F209" s="32"/>
      <c r="G209" s="65"/>
      <c r="H209" s="67"/>
      <c r="I209" s="67"/>
      <c r="J209" s="32"/>
      <c r="K209" s="68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 ht="15.75" customHeight="1">
      <c r="A210" s="32"/>
      <c r="B210" s="65"/>
      <c r="C210" s="65"/>
      <c r="D210" s="32"/>
      <c r="E210" s="32"/>
      <c r="F210" s="32"/>
      <c r="G210" s="65"/>
      <c r="H210" s="67"/>
      <c r="I210" s="67"/>
      <c r="J210" s="32"/>
      <c r="K210" s="68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 ht="15.75" customHeight="1">
      <c r="A211" s="32"/>
      <c r="B211" s="65"/>
      <c r="C211" s="65"/>
      <c r="D211" s="32"/>
      <c r="E211" s="32"/>
      <c r="F211" s="32"/>
      <c r="G211" s="65"/>
      <c r="H211" s="67"/>
      <c r="I211" s="67"/>
      <c r="J211" s="32"/>
      <c r="K211" s="68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ht="15.75" customHeight="1">
      <c r="A212" s="32"/>
      <c r="B212" s="65"/>
      <c r="C212" s="65"/>
      <c r="D212" s="32"/>
      <c r="E212" s="32"/>
      <c r="F212" s="32"/>
      <c r="G212" s="65"/>
      <c r="H212" s="67"/>
      <c r="I212" s="67"/>
      <c r="J212" s="32"/>
      <c r="K212" s="68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 ht="15.75" customHeight="1">
      <c r="A213" s="32"/>
      <c r="B213" s="65"/>
      <c r="C213" s="65"/>
      <c r="D213" s="32"/>
      <c r="E213" s="32"/>
      <c r="F213" s="32"/>
      <c r="G213" s="65"/>
      <c r="H213" s="67"/>
      <c r="I213" s="67"/>
      <c r="J213" s="32"/>
      <c r="K213" s="68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 ht="15.75" customHeight="1">
      <c r="A214" s="32"/>
      <c r="B214" s="65"/>
      <c r="C214" s="65"/>
      <c r="D214" s="32"/>
      <c r="E214" s="32"/>
      <c r="F214" s="32"/>
      <c r="G214" s="65"/>
      <c r="H214" s="67"/>
      <c r="I214" s="67"/>
      <c r="J214" s="32"/>
      <c r="K214" s="68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 ht="15.75" customHeight="1">
      <c r="A215" s="32"/>
      <c r="B215" s="65"/>
      <c r="C215" s="65"/>
      <c r="D215" s="32"/>
      <c r="E215" s="32"/>
      <c r="F215" s="32"/>
      <c r="G215" s="65"/>
      <c r="H215" s="67"/>
      <c r="I215" s="67"/>
      <c r="J215" s="32"/>
      <c r="K215" s="68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 ht="15.75" customHeight="1">
      <c r="A216" s="32"/>
      <c r="B216" s="65"/>
      <c r="C216" s="65"/>
      <c r="D216" s="32"/>
      <c r="E216" s="32"/>
      <c r="F216" s="32"/>
      <c r="G216" s="65"/>
      <c r="H216" s="67"/>
      <c r="I216" s="67"/>
      <c r="J216" s="32"/>
      <c r="K216" s="68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 ht="15.75" customHeight="1">
      <c r="A217" s="32"/>
      <c r="B217" s="65"/>
      <c r="C217" s="65"/>
      <c r="D217" s="32"/>
      <c r="E217" s="32"/>
      <c r="F217" s="32"/>
      <c r="G217" s="65"/>
      <c r="H217" s="67"/>
      <c r="I217" s="67"/>
      <c r="J217" s="32"/>
      <c r="K217" s="68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 ht="15.75" customHeight="1">
      <c r="A218" s="32"/>
      <c r="B218" s="65"/>
      <c r="C218" s="65"/>
      <c r="D218" s="32"/>
      <c r="E218" s="32"/>
      <c r="F218" s="32"/>
      <c r="G218" s="65"/>
      <c r="H218" s="67"/>
      <c r="I218" s="67"/>
      <c r="J218" s="32"/>
      <c r="K218" s="68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 ht="15.75" customHeight="1">
      <c r="A219" s="32"/>
      <c r="B219" s="65"/>
      <c r="C219" s="65"/>
      <c r="D219" s="32"/>
      <c r="E219" s="32"/>
      <c r="F219" s="32"/>
      <c r="G219" s="65"/>
      <c r="H219" s="67"/>
      <c r="I219" s="67"/>
      <c r="J219" s="32"/>
      <c r="K219" s="68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ht="15.75" customHeight="1">
      <c r="A220" s="32"/>
      <c r="B220" s="65"/>
      <c r="C220" s="65"/>
      <c r="D220" s="32"/>
      <c r="E220" s="32"/>
      <c r="F220" s="32"/>
      <c r="G220" s="65"/>
      <c r="H220" s="67"/>
      <c r="I220" s="67"/>
      <c r="J220" s="32"/>
      <c r="K220" s="68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ht="15.75" customHeight="1">
      <c r="A221" s="32"/>
      <c r="B221" s="65"/>
      <c r="C221" s="65"/>
      <c r="D221" s="32"/>
      <c r="E221" s="32"/>
      <c r="F221" s="32"/>
      <c r="G221" s="65"/>
      <c r="H221" s="67"/>
      <c r="I221" s="67"/>
      <c r="J221" s="32"/>
      <c r="K221" s="68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ht="15.75" customHeight="1">
      <c r="A222" s="32"/>
      <c r="B222" s="65"/>
      <c r="C222" s="65"/>
      <c r="D222" s="32"/>
      <c r="E222" s="32"/>
      <c r="F222" s="32"/>
      <c r="G222" s="65"/>
      <c r="H222" s="67"/>
      <c r="I222" s="67"/>
      <c r="J222" s="32"/>
      <c r="K222" s="68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ht="15.75" customHeight="1">
      <c r="A223" s="32"/>
      <c r="B223" s="65"/>
      <c r="C223" s="65"/>
      <c r="D223" s="32"/>
      <c r="E223" s="32"/>
      <c r="F223" s="32"/>
      <c r="G223" s="65"/>
      <c r="H223" s="67"/>
      <c r="I223" s="67"/>
      <c r="J223" s="32"/>
      <c r="K223" s="68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ht="15.75" customHeight="1">
      <c r="A224" s="32"/>
      <c r="B224" s="65"/>
      <c r="C224" s="65"/>
      <c r="D224" s="32"/>
      <c r="E224" s="32"/>
      <c r="F224" s="32"/>
      <c r="G224" s="65"/>
      <c r="H224" s="67"/>
      <c r="I224" s="67"/>
      <c r="J224" s="32"/>
      <c r="K224" s="68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ht="15.75" customHeight="1">
      <c r="A225" s="32"/>
      <c r="B225" s="65"/>
      <c r="C225" s="65"/>
      <c r="D225" s="32"/>
      <c r="E225" s="32"/>
      <c r="F225" s="32"/>
      <c r="G225" s="65"/>
      <c r="H225" s="67"/>
      <c r="I225" s="67"/>
      <c r="J225" s="32"/>
      <c r="K225" s="68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ht="15.75" customHeight="1">
      <c r="A226" s="32"/>
      <c r="B226" s="65"/>
      <c r="C226" s="65"/>
      <c r="D226" s="32"/>
      <c r="E226" s="32"/>
      <c r="F226" s="32"/>
      <c r="G226" s="65"/>
      <c r="H226" s="67"/>
      <c r="I226" s="67"/>
      <c r="J226" s="32"/>
      <c r="K226" s="68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ht="15.75" customHeight="1">
      <c r="A227" s="32"/>
      <c r="B227" s="65"/>
      <c r="C227" s="65"/>
      <c r="D227" s="32"/>
      <c r="E227" s="32"/>
      <c r="F227" s="32"/>
      <c r="G227" s="65"/>
      <c r="H227" s="67"/>
      <c r="I227" s="67"/>
      <c r="J227" s="32"/>
      <c r="K227" s="68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ht="15.75" customHeight="1">
      <c r="A228" s="32"/>
      <c r="B228" s="65"/>
      <c r="C228" s="65"/>
      <c r="D228" s="32"/>
      <c r="E228" s="32"/>
      <c r="F228" s="32"/>
      <c r="G228" s="65"/>
      <c r="H228" s="67"/>
      <c r="I228" s="67"/>
      <c r="J228" s="32"/>
      <c r="K228" s="68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ht="15.75" customHeight="1">
      <c r="A229" s="32"/>
      <c r="B229" s="65"/>
      <c r="C229" s="65"/>
      <c r="D229" s="32"/>
      <c r="E229" s="32"/>
      <c r="F229" s="32"/>
      <c r="G229" s="65"/>
      <c r="H229" s="67"/>
      <c r="I229" s="67"/>
      <c r="J229" s="32"/>
      <c r="K229" s="68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ht="15.75" customHeight="1">
      <c r="A230" s="32"/>
      <c r="B230" s="65"/>
      <c r="C230" s="65"/>
      <c r="D230" s="32"/>
      <c r="E230" s="32"/>
      <c r="F230" s="32"/>
      <c r="G230" s="65"/>
      <c r="H230" s="67"/>
      <c r="I230" s="67"/>
      <c r="J230" s="32"/>
      <c r="K230" s="68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ht="15.75" customHeight="1">
      <c r="A231" s="32"/>
      <c r="B231" s="65"/>
      <c r="C231" s="65"/>
      <c r="D231" s="32"/>
      <c r="E231" s="32"/>
      <c r="F231" s="32"/>
      <c r="G231" s="65"/>
      <c r="H231" s="67"/>
      <c r="I231" s="67"/>
      <c r="J231" s="32"/>
      <c r="K231" s="68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ht="15.75" customHeight="1">
      <c r="A232" s="32"/>
      <c r="B232" s="65"/>
      <c r="C232" s="65"/>
      <c r="D232" s="32"/>
      <c r="E232" s="32"/>
      <c r="F232" s="32"/>
      <c r="G232" s="65"/>
      <c r="H232" s="67"/>
      <c r="I232" s="67"/>
      <c r="J232" s="32"/>
      <c r="K232" s="68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 ht="15.75" customHeight="1">
      <c r="A233" s="32"/>
      <c r="B233" s="65"/>
      <c r="C233" s="65"/>
      <c r="D233" s="32"/>
      <c r="E233" s="32"/>
      <c r="F233" s="32"/>
      <c r="G233" s="65"/>
      <c r="H233" s="67"/>
      <c r="I233" s="67"/>
      <c r="J233" s="32"/>
      <c r="K233" s="68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 ht="15.75" customHeight="1">
      <c r="A234" s="32"/>
      <c r="B234" s="65"/>
      <c r="C234" s="65"/>
      <c r="D234" s="32"/>
      <c r="E234" s="32"/>
      <c r="F234" s="32"/>
      <c r="G234" s="65"/>
      <c r="H234" s="67"/>
      <c r="I234" s="67"/>
      <c r="J234" s="32"/>
      <c r="K234" s="68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 ht="15.75" customHeight="1">
      <c r="A235" s="32"/>
      <c r="B235" s="65"/>
      <c r="C235" s="65"/>
      <c r="D235" s="32"/>
      <c r="E235" s="32"/>
      <c r="F235" s="32"/>
      <c r="G235" s="65"/>
      <c r="H235" s="67"/>
      <c r="I235" s="67"/>
      <c r="J235" s="32"/>
      <c r="K235" s="68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 ht="15.75" customHeight="1">
      <c r="A236" s="32"/>
      <c r="B236" s="65"/>
      <c r="C236" s="65"/>
      <c r="D236" s="32"/>
      <c r="E236" s="32"/>
      <c r="F236" s="32"/>
      <c r="G236" s="65"/>
      <c r="H236" s="67"/>
      <c r="I236" s="67"/>
      <c r="J236" s="32"/>
      <c r="K236" s="68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 ht="15.75" customHeight="1">
      <c r="A237" s="32"/>
      <c r="B237" s="65"/>
      <c r="C237" s="65"/>
      <c r="D237" s="32"/>
      <c r="E237" s="32"/>
      <c r="F237" s="32"/>
      <c r="G237" s="65"/>
      <c r="H237" s="67"/>
      <c r="I237" s="67"/>
      <c r="J237" s="32"/>
      <c r="K237" s="68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 ht="15.75" customHeight="1">
      <c r="A238" s="32"/>
      <c r="B238" s="65"/>
      <c r="C238" s="65"/>
      <c r="D238" s="32"/>
      <c r="E238" s="32"/>
      <c r="F238" s="32"/>
      <c r="G238" s="65"/>
      <c r="H238" s="67"/>
      <c r="I238" s="67"/>
      <c r="J238" s="32"/>
      <c r="K238" s="68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ht="15.75" customHeight="1">
      <c r="A239" s="32"/>
      <c r="B239" s="65"/>
      <c r="C239" s="65"/>
      <c r="D239" s="32"/>
      <c r="E239" s="32"/>
      <c r="F239" s="32"/>
      <c r="G239" s="65"/>
      <c r="H239" s="67"/>
      <c r="I239" s="67"/>
      <c r="J239" s="32"/>
      <c r="K239" s="68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 ht="15.75" customHeight="1">
      <c r="A240" s="32"/>
      <c r="B240" s="65"/>
      <c r="C240" s="65"/>
      <c r="D240" s="32"/>
      <c r="E240" s="32"/>
      <c r="F240" s="32"/>
      <c r="G240" s="65"/>
      <c r="H240" s="67"/>
      <c r="I240" s="67"/>
      <c r="J240" s="32"/>
      <c r="K240" s="68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 ht="15.75" customHeight="1">
      <c r="A241" s="32"/>
      <c r="B241" s="65"/>
      <c r="C241" s="65"/>
      <c r="D241" s="32"/>
      <c r="E241" s="32"/>
      <c r="F241" s="32"/>
      <c r="G241" s="65"/>
      <c r="H241" s="67"/>
      <c r="I241" s="67"/>
      <c r="J241" s="32"/>
      <c r="K241" s="68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 ht="15.75" customHeight="1">
      <c r="A242" s="32"/>
      <c r="B242" s="65"/>
      <c r="C242" s="65"/>
      <c r="D242" s="32"/>
      <c r="E242" s="32"/>
      <c r="F242" s="32"/>
      <c r="G242" s="65"/>
      <c r="H242" s="67"/>
      <c r="I242" s="67"/>
      <c r="J242" s="32"/>
      <c r="K242" s="68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 ht="15.75" customHeight="1">
      <c r="A243" s="32"/>
      <c r="B243" s="65"/>
      <c r="C243" s="65"/>
      <c r="D243" s="32"/>
      <c r="E243" s="32"/>
      <c r="F243" s="32"/>
      <c r="G243" s="65"/>
      <c r="H243" s="67"/>
      <c r="I243" s="67"/>
      <c r="J243" s="32"/>
      <c r="K243" s="68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 ht="15.75" customHeight="1">
      <c r="A244" s="32"/>
      <c r="B244" s="65"/>
      <c r="C244" s="65"/>
      <c r="D244" s="32"/>
      <c r="E244" s="32"/>
      <c r="F244" s="32"/>
      <c r="G244" s="65"/>
      <c r="H244" s="67"/>
      <c r="I244" s="67"/>
      <c r="J244" s="32"/>
      <c r="K244" s="68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 ht="15.75" customHeight="1">
      <c r="A245" s="32"/>
      <c r="B245" s="65"/>
      <c r="C245" s="65"/>
      <c r="D245" s="32"/>
      <c r="E245" s="32"/>
      <c r="F245" s="32"/>
      <c r="G245" s="65"/>
      <c r="H245" s="67"/>
      <c r="I245" s="67"/>
      <c r="J245" s="32"/>
      <c r="K245" s="68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 ht="15.75" customHeight="1">
      <c r="A246" s="32"/>
      <c r="B246" s="65"/>
      <c r="C246" s="65"/>
      <c r="D246" s="32"/>
      <c r="E246" s="32"/>
      <c r="F246" s="32"/>
      <c r="G246" s="65"/>
      <c r="H246" s="67"/>
      <c r="I246" s="67"/>
      <c r="J246" s="32"/>
      <c r="K246" s="68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 ht="15.75" customHeight="1">
      <c r="A247" s="32"/>
      <c r="B247" s="65"/>
      <c r="C247" s="65"/>
      <c r="D247" s="32"/>
      <c r="E247" s="32"/>
      <c r="F247" s="32"/>
      <c r="G247" s="65"/>
      <c r="H247" s="67"/>
      <c r="I247" s="67"/>
      <c r="J247" s="32"/>
      <c r="K247" s="68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 ht="15.75" customHeight="1">
      <c r="A248" s="32"/>
      <c r="B248" s="65"/>
      <c r="C248" s="65"/>
      <c r="D248" s="32"/>
      <c r="E248" s="32"/>
      <c r="F248" s="32"/>
      <c r="G248" s="65"/>
      <c r="H248" s="67"/>
      <c r="I248" s="67"/>
      <c r="J248" s="32"/>
      <c r="K248" s="68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 ht="15.75" customHeight="1">
      <c r="A249" s="32"/>
      <c r="B249" s="65"/>
      <c r="C249" s="65"/>
      <c r="D249" s="32"/>
      <c r="E249" s="32"/>
      <c r="F249" s="32"/>
      <c r="G249" s="65"/>
      <c r="H249" s="67"/>
      <c r="I249" s="67"/>
      <c r="J249" s="32"/>
      <c r="K249" s="68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 ht="15.75" customHeight="1">
      <c r="A250" s="32"/>
      <c r="B250" s="65"/>
      <c r="C250" s="65"/>
      <c r="D250" s="32"/>
      <c r="E250" s="32"/>
      <c r="F250" s="32"/>
      <c r="G250" s="65"/>
      <c r="H250" s="67"/>
      <c r="I250" s="67"/>
      <c r="J250" s="32"/>
      <c r="K250" s="68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 ht="15.75" customHeight="1">
      <c r="A251" s="32"/>
      <c r="B251" s="65"/>
      <c r="C251" s="65"/>
      <c r="D251" s="32"/>
      <c r="E251" s="32"/>
      <c r="F251" s="32"/>
      <c r="G251" s="65"/>
      <c r="H251" s="67"/>
      <c r="I251" s="67"/>
      <c r="J251" s="32"/>
      <c r="K251" s="68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ht="15.75" customHeight="1">
      <c r="A252" s="32"/>
      <c r="B252" s="65"/>
      <c r="C252" s="65"/>
      <c r="D252" s="32"/>
      <c r="E252" s="32"/>
      <c r="F252" s="32"/>
      <c r="G252" s="65"/>
      <c r="H252" s="67"/>
      <c r="I252" s="67"/>
      <c r="J252" s="32"/>
      <c r="K252" s="68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ht="15.75" customHeight="1">
      <c r="A253" s="32"/>
      <c r="B253" s="65"/>
      <c r="C253" s="65"/>
      <c r="D253" s="32"/>
      <c r="E253" s="32"/>
      <c r="F253" s="32"/>
      <c r="G253" s="65"/>
      <c r="H253" s="67"/>
      <c r="I253" s="67"/>
      <c r="J253" s="32"/>
      <c r="K253" s="68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ht="15.75" customHeight="1">
      <c r="A254" s="32"/>
      <c r="B254" s="65"/>
      <c r="C254" s="65"/>
      <c r="D254" s="32"/>
      <c r="E254" s="32"/>
      <c r="F254" s="32"/>
      <c r="G254" s="65"/>
      <c r="H254" s="67"/>
      <c r="I254" s="67"/>
      <c r="J254" s="32"/>
      <c r="K254" s="68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 ht="15.75" customHeight="1">
      <c r="A255" s="32"/>
      <c r="B255" s="65"/>
      <c r="C255" s="65"/>
      <c r="D255" s="32"/>
      <c r="E255" s="32"/>
      <c r="F255" s="32"/>
      <c r="G255" s="65"/>
      <c r="H255" s="67"/>
      <c r="I255" s="67"/>
      <c r="J255" s="32"/>
      <c r="K255" s="68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 ht="15.75" customHeight="1">
      <c r="A256" s="32"/>
      <c r="B256" s="65"/>
      <c r="C256" s="65"/>
      <c r="D256" s="32"/>
      <c r="E256" s="32"/>
      <c r="F256" s="32"/>
      <c r="G256" s="65"/>
      <c r="H256" s="67"/>
      <c r="I256" s="67"/>
      <c r="J256" s="32"/>
      <c r="K256" s="68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 ht="15.75" customHeight="1">
      <c r="A257" s="32"/>
      <c r="B257" s="65"/>
      <c r="C257" s="65"/>
      <c r="D257" s="32"/>
      <c r="E257" s="32"/>
      <c r="F257" s="32"/>
      <c r="G257" s="65"/>
      <c r="H257" s="67"/>
      <c r="I257" s="67"/>
      <c r="J257" s="32"/>
      <c r="K257" s="68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 ht="15.75" customHeight="1">
      <c r="A258" s="32"/>
      <c r="B258" s="65"/>
      <c r="C258" s="65"/>
      <c r="D258" s="32"/>
      <c r="E258" s="32"/>
      <c r="F258" s="32"/>
      <c r="G258" s="65"/>
      <c r="H258" s="67"/>
      <c r="I258" s="67"/>
      <c r="J258" s="32"/>
      <c r="K258" s="68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 ht="15.75" customHeight="1">
      <c r="A259" s="32"/>
      <c r="B259" s="65"/>
      <c r="C259" s="65"/>
      <c r="D259" s="32"/>
      <c r="E259" s="32"/>
      <c r="F259" s="32"/>
      <c r="G259" s="65"/>
      <c r="H259" s="67"/>
      <c r="I259" s="67"/>
      <c r="J259" s="32"/>
      <c r="K259" s="68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 ht="15.75" customHeight="1">
      <c r="A260" s="32"/>
      <c r="B260" s="65"/>
      <c r="C260" s="65"/>
      <c r="D260" s="32"/>
      <c r="E260" s="32"/>
      <c r="F260" s="32"/>
      <c r="G260" s="65"/>
      <c r="H260" s="67"/>
      <c r="I260" s="67"/>
      <c r="J260" s="32"/>
      <c r="K260" s="68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 ht="15.75" customHeight="1">
      <c r="A261" s="32"/>
      <c r="B261" s="65"/>
      <c r="C261" s="65"/>
      <c r="D261" s="32"/>
      <c r="E261" s="32"/>
      <c r="F261" s="32"/>
      <c r="G261" s="65"/>
      <c r="H261" s="67"/>
      <c r="I261" s="67"/>
      <c r="J261" s="32"/>
      <c r="K261" s="68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 ht="15.75" customHeight="1">
      <c r="A262" s="32"/>
      <c r="B262" s="65"/>
      <c r="C262" s="65"/>
      <c r="D262" s="32"/>
      <c r="E262" s="32"/>
      <c r="F262" s="32"/>
      <c r="G262" s="65"/>
      <c r="H262" s="67"/>
      <c r="I262" s="67"/>
      <c r="J262" s="32"/>
      <c r="K262" s="68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 ht="15.75" customHeight="1">
      <c r="A263" s="32"/>
      <c r="B263" s="65"/>
      <c r="C263" s="65"/>
      <c r="D263" s="32"/>
      <c r="E263" s="32"/>
      <c r="F263" s="32"/>
      <c r="G263" s="65"/>
      <c r="H263" s="67"/>
      <c r="I263" s="67"/>
      <c r="J263" s="32"/>
      <c r="K263" s="68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 ht="15.75" customHeight="1">
      <c r="A264" s="32"/>
      <c r="B264" s="65"/>
      <c r="C264" s="65"/>
      <c r="D264" s="32"/>
      <c r="E264" s="32"/>
      <c r="F264" s="32"/>
      <c r="G264" s="65"/>
      <c r="H264" s="67"/>
      <c r="I264" s="67"/>
      <c r="J264" s="32"/>
      <c r="K264" s="68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ht="15.75" customHeight="1">
      <c r="A265" s="32"/>
      <c r="B265" s="65"/>
      <c r="C265" s="65"/>
      <c r="D265" s="32"/>
      <c r="E265" s="32"/>
      <c r="F265" s="32"/>
      <c r="G265" s="65"/>
      <c r="H265" s="67"/>
      <c r="I265" s="67"/>
      <c r="J265" s="32"/>
      <c r="K265" s="68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 ht="15.75" customHeight="1">
      <c r="A266" s="32"/>
      <c r="B266" s="65"/>
      <c r="C266" s="65"/>
      <c r="D266" s="32"/>
      <c r="E266" s="32"/>
      <c r="F266" s="32"/>
      <c r="G266" s="65"/>
      <c r="H266" s="67"/>
      <c r="I266" s="67"/>
      <c r="J266" s="32"/>
      <c r="K266" s="68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 ht="15.75" customHeight="1">
      <c r="A267" s="32"/>
      <c r="B267" s="65"/>
      <c r="C267" s="65"/>
      <c r="D267" s="32"/>
      <c r="E267" s="32"/>
      <c r="F267" s="32"/>
      <c r="G267" s="65"/>
      <c r="H267" s="67"/>
      <c r="I267" s="67"/>
      <c r="J267" s="32"/>
      <c r="K267" s="68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 ht="15.75" customHeight="1">
      <c r="A268" s="32"/>
      <c r="B268" s="65"/>
      <c r="C268" s="65"/>
      <c r="D268" s="32"/>
      <c r="E268" s="32"/>
      <c r="F268" s="32"/>
      <c r="G268" s="65"/>
      <c r="H268" s="67"/>
      <c r="I268" s="67"/>
      <c r="J268" s="32"/>
      <c r="K268" s="68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 ht="15.75" customHeight="1">
      <c r="A269" s="32"/>
      <c r="B269" s="65"/>
      <c r="C269" s="65"/>
      <c r="D269" s="32"/>
      <c r="E269" s="32"/>
      <c r="F269" s="32"/>
      <c r="G269" s="65"/>
      <c r="H269" s="67"/>
      <c r="I269" s="67"/>
      <c r="J269" s="32"/>
      <c r="K269" s="68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 ht="15.75" customHeight="1">
      <c r="A270" s="32"/>
      <c r="B270" s="65"/>
      <c r="C270" s="65"/>
      <c r="D270" s="32"/>
      <c r="E270" s="32"/>
      <c r="F270" s="32"/>
      <c r="G270" s="65"/>
      <c r="H270" s="67"/>
      <c r="I270" s="67"/>
      <c r="J270" s="32"/>
      <c r="K270" s="68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 ht="15.75" customHeight="1">
      <c r="A271" s="32"/>
      <c r="B271" s="65"/>
      <c r="C271" s="65"/>
      <c r="D271" s="32"/>
      <c r="E271" s="32"/>
      <c r="F271" s="32"/>
      <c r="G271" s="65"/>
      <c r="H271" s="67"/>
      <c r="I271" s="67"/>
      <c r="J271" s="32"/>
      <c r="K271" s="68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 ht="15.75" customHeight="1">
      <c r="A272" s="32"/>
      <c r="B272" s="65"/>
      <c r="C272" s="65"/>
      <c r="D272" s="32"/>
      <c r="E272" s="32"/>
      <c r="F272" s="32"/>
      <c r="G272" s="65"/>
      <c r="H272" s="67"/>
      <c r="I272" s="67"/>
      <c r="J272" s="32"/>
      <c r="K272" s="68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 ht="15.75" customHeight="1">
      <c r="A273" s="32"/>
      <c r="B273" s="65"/>
      <c r="C273" s="65"/>
      <c r="D273" s="32"/>
      <c r="E273" s="32"/>
      <c r="F273" s="32"/>
      <c r="G273" s="65"/>
      <c r="H273" s="67"/>
      <c r="I273" s="67"/>
      <c r="J273" s="32"/>
      <c r="K273" s="68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 ht="15.75" customHeight="1">
      <c r="A274" s="32"/>
      <c r="B274" s="65"/>
      <c r="C274" s="65"/>
      <c r="D274" s="32"/>
      <c r="E274" s="32"/>
      <c r="F274" s="32"/>
      <c r="G274" s="65"/>
      <c r="H274" s="67"/>
      <c r="I274" s="67"/>
      <c r="J274" s="32"/>
      <c r="K274" s="68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 ht="15.75" customHeight="1">
      <c r="A275" s="32"/>
      <c r="B275" s="65"/>
      <c r="C275" s="65"/>
      <c r="D275" s="32"/>
      <c r="E275" s="32"/>
      <c r="F275" s="32"/>
      <c r="G275" s="65"/>
      <c r="H275" s="67"/>
      <c r="I275" s="67"/>
      <c r="J275" s="32"/>
      <c r="K275" s="68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ht="15.75" customHeight="1">
      <c r="A276" s="32"/>
      <c r="B276" s="65"/>
      <c r="C276" s="65"/>
      <c r="D276" s="32"/>
      <c r="E276" s="32"/>
      <c r="F276" s="32"/>
      <c r="G276" s="65"/>
      <c r="H276" s="67"/>
      <c r="I276" s="67"/>
      <c r="J276" s="32"/>
      <c r="K276" s="68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ht="15.75" customHeight="1">
      <c r="A277" s="32"/>
      <c r="B277" s="65"/>
      <c r="C277" s="65"/>
      <c r="D277" s="32"/>
      <c r="E277" s="32"/>
      <c r="F277" s="32"/>
      <c r="G277" s="65"/>
      <c r="H277" s="67"/>
      <c r="I277" s="67"/>
      <c r="J277" s="32"/>
      <c r="K277" s="68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 ht="15.75" customHeight="1">
      <c r="A278" s="32"/>
      <c r="B278" s="65"/>
      <c r="C278" s="65"/>
      <c r="D278" s="32"/>
      <c r="E278" s="32"/>
      <c r="F278" s="32"/>
      <c r="G278" s="65"/>
      <c r="H278" s="67"/>
      <c r="I278" s="67"/>
      <c r="J278" s="32"/>
      <c r="K278" s="68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 ht="15.75" customHeight="1">
      <c r="A279" s="32"/>
      <c r="B279" s="65"/>
      <c r="C279" s="65"/>
      <c r="D279" s="32"/>
      <c r="E279" s="32"/>
      <c r="F279" s="32"/>
      <c r="G279" s="65"/>
      <c r="H279" s="67"/>
      <c r="I279" s="67"/>
      <c r="J279" s="32"/>
      <c r="K279" s="68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 ht="15.75" customHeight="1">
      <c r="A280" s="32"/>
      <c r="B280" s="65"/>
      <c r="C280" s="65"/>
      <c r="D280" s="32"/>
      <c r="E280" s="32"/>
      <c r="F280" s="32"/>
      <c r="G280" s="65"/>
      <c r="H280" s="67"/>
      <c r="I280" s="67"/>
      <c r="J280" s="32"/>
      <c r="K280" s="68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 ht="15.75" customHeight="1">
      <c r="A281" s="32"/>
      <c r="B281" s="65"/>
      <c r="C281" s="65"/>
      <c r="D281" s="32"/>
      <c r="E281" s="32"/>
      <c r="F281" s="32"/>
      <c r="G281" s="65"/>
      <c r="H281" s="67"/>
      <c r="I281" s="67"/>
      <c r="J281" s="32"/>
      <c r="K281" s="68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 ht="15.75" customHeight="1">
      <c r="A282" s="32"/>
      <c r="B282" s="65"/>
      <c r="C282" s="65"/>
      <c r="D282" s="32"/>
      <c r="E282" s="32"/>
      <c r="F282" s="32"/>
      <c r="G282" s="65"/>
      <c r="H282" s="67"/>
      <c r="I282" s="67"/>
      <c r="J282" s="32"/>
      <c r="K282" s="68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 ht="15.75" customHeight="1">
      <c r="A283" s="32"/>
      <c r="B283" s="65"/>
      <c r="C283" s="65"/>
      <c r="D283" s="32"/>
      <c r="E283" s="32"/>
      <c r="F283" s="32"/>
      <c r="G283" s="65"/>
      <c r="H283" s="67"/>
      <c r="I283" s="67"/>
      <c r="J283" s="32"/>
      <c r="K283" s="68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 ht="15.75" customHeight="1">
      <c r="A284" s="32"/>
      <c r="B284" s="65"/>
      <c r="C284" s="65"/>
      <c r="D284" s="32"/>
      <c r="E284" s="32"/>
      <c r="F284" s="32"/>
      <c r="G284" s="65"/>
      <c r="H284" s="67"/>
      <c r="I284" s="67"/>
      <c r="J284" s="32"/>
      <c r="K284" s="68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 ht="15.75" customHeight="1">
      <c r="A285" s="32"/>
      <c r="B285" s="65"/>
      <c r="C285" s="65"/>
      <c r="D285" s="32"/>
      <c r="E285" s="32"/>
      <c r="F285" s="32"/>
      <c r="G285" s="65"/>
      <c r="H285" s="67"/>
      <c r="I285" s="67"/>
      <c r="J285" s="32"/>
      <c r="K285" s="68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 ht="15.75" customHeight="1">
      <c r="A286" s="32"/>
      <c r="B286" s="65"/>
      <c r="C286" s="65"/>
      <c r="D286" s="32"/>
      <c r="E286" s="32"/>
      <c r="F286" s="32"/>
      <c r="G286" s="65"/>
      <c r="H286" s="67"/>
      <c r="I286" s="67"/>
      <c r="J286" s="32"/>
      <c r="K286" s="68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 ht="15.75" customHeight="1">
      <c r="A287" s="32"/>
      <c r="B287" s="65"/>
      <c r="C287" s="65"/>
      <c r="D287" s="32"/>
      <c r="E287" s="32"/>
      <c r="F287" s="32"/>
      <c r="G287" s="65"/>
      <c r="H287" s="67"/>
      <c r="I287" s="67"/>
      <c r="J287" s="32"/>
      <c r="K287" s="68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 ht="15.75" customHeight="1">
      <c r="A288" s="32"/>
      <c r="B288" s="65"/>
      <c r="C288" s="65"/>
      <c r="D288" s="32"/>
      <c r="E288" s="32"/>
      <c r="F288" s="32"/>
      <c r="G288" s="65"/>
      <c r="H288" s="67"/>
      <c r="I288" s="67"/>
      <c r="J288" s="32"/>
      <c r="K288" s="68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 ht="15.75" customHeight="1">
      <c r="A289" s="32"/>
      <c r="B289" s="65"/>
      <c r="C289" s="65"/>
      <c r="D289" s="32"/>
      <c r="E289" s="32"/>
      <c r="F289" s="32"/>
      <c r="G289" s="65"/>
      <c r="H289" s="67"/>
      <c r="I289" s="67"/>
      <c r="J289" s="32"/>
      <c r="K289" s="68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 ht="15.75" customHeight="1">
      <c r="A290" s="32"/>
      <c r="B290" s="65"/>
      <c r="C290" s="65"/>
      <c r="D290" s="32"/>
      <c r="E290" s="32"/>
      <c r="F290" s="32"/>
      <c r="G290" s="65"/>
      <c r="H290" s="67"/>
      <c r="I290" s="67"/>
      <c r="J290" s="32"/>
      <c r="K290" s="68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 ht="15.75" customHeight="1">
      <c r="A291" s="32"/>
      <c r="B291" s="65"/>
      <c r="C291" s="65"/>
      <c r="D291" s="32"/>
      <c r="E291" s="32"/>
      <c r="F291" s="32"/>
      <c r="G291" s="65"/>
      <c r="H291" s="67"/>
      <c r="I291" s="67"/>
      <c r="J291" s="32"/>
      <c r="K291" s="68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 ht="15.75" customHeight="1">
      <c r="A292" s="32"/>
      <c r="B292" s="65"/>
      <c r="C292" s="65"/>
      <c r="D292" s="32"/>
      <c r="E292" s="32"/>
      <c r="F292" s="32"/>
      <c r="G292" s="65"/>
      <c r="H292" s="67"/>
      <c r="I292" s="67"/>
      <c r="J292" s="32"/>
      <c r="K292" s="68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ht="15.75" customHeight="1">
      <c r="A293" s="32"/>
      <c r="B293" s="65"/>
      <c r="C293" s="65"/>
      <c r="D293" s="32"/>
      <c r="E293" s="32"/>
      <c r="F293" s="32"/>
      <c r="G293" s="65"/>
      <c r="H293" s="67"/>
      <c r="I293" s="67"/>
      <c r="J293" s="32"/>
      <c r="K293" s="68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ht="15.75" customHeight="1">
      <c r="A294" s="32"/>
      <c r="B294" s="65"/>
      <c r="C294" s="65"/>
      <c r="D294" s="32"/>
      <c r="E294" s="32"/>
      <c r="F294" s="32"/>
      <c r="G294" s="65"/>
      <c r="H294" s="67"/>
      <c r="I294" s="67"/>
      <c r="J294" s="32"/>
      <c r="K294" s="68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 ht="15.75" customHeight="1">
      <c r="A295" s="32"/>
      <c r="B295" s="65"/>
      <c r="C295" s="65"/>
      <c r="D295" s="32"/>
      <c r="E295" s="32"/>
      <c r="F295" s="32"/>
      <c r="G295" s="65"/>
      <c r="H295" s="67"/>
      <c r="I295" s="67"/>
      <c r="J295" s="32"/>
      <c r="K295" s="68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 ht="15.75" customHeight="1">
      <c r="A296" s="32"/>
      <c r="B296" s="65"/>
      <c r="C296" s="65"/>
      <c r="D296" s="32"/>
      <c r="E296" s="32"/>
      <c r="F296" s="32"/>
      <c r="G296" s="65"/>
      <c r="H296" s="67"/>
      <c r="I296" s="67"/>
      <c r="J296" s="32"/>
      <c r="K296" s="68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 ht="15.75" customHeight="1">
      <c r="A297" s="32"/>
      <c r="B297" s="65"/>
      <c r="C297" s="65"/>
      <c r="D297" s="32"/>
      <c r="E297" s="32"/>
      <c r="F297" s="32"/>
      <c r="G297" s="65"/>
      <c r="H297" s="67"/>
      <c r="I297" s="67"/>
      <c r="J297" s="32"/>
      <c r="K297" s="68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 ht="15.75" customHeight="1">
      <c r="A298" s="32"/>
      <c r="B298" s="65"/>
      <c r="C298" s="65"/>
      <c r="D298" s="32"/>
      <c r="E298" s="32"/>
      <c r="F298" s="32"/>
      <c r="G298" s="65"/>
      <c r="H298" s="67"/>
      <c r="I298" s="67"/>
      <c r="J298" s="32"/>
      <c r="K298" s="68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 ht="15.75" customHeight="1">
      <c r="A299" s="32"/>
      <c r="B299" s="65"/>
      <c r="C299" s="65"/>
      <c r="D299" s="32"/>
      <c r="E299" s="32"/>
      <c r="F299" s="32"/>
      <c r="G299" s="65"/>
      <c r="H299" s="67"/>
      <c r="I299" s="67"/>
      <c r="J299" s="32"/>
      <c r="K299" s="68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ht="15.75" customHeight="1">
      <c r="A300" s="32"/>
      <c r="B300" s="65"/>
      <c r="C300" s="65"/>
      <c r="D300" s="32"/>
      <c r="E300" s="32"/>
      <c r="F300" s="32"/>
      <c r="G300" s="65"/>
      <c r="H300" s="67"/>
      <c r="I300" s="67"/>
      <c r="J300" s="32"/>
      <c r="K300" s="68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 ht="15.75" customHeight="1">
      <c r="A301" s="32"/>
      <c r="B301" s="65"/>
      <c r="C301" s="65"/>
      <c r="D301" s="32"/>
      <c r="E301" s="32"/>
      <c r="F301" s="32"/>
      <c r="G301" s="65"/>
      <c r="H301" s="67"/>
      <c r="I301" s="67"/>
      <c r="J301" s="32"/>
      <c r="K301" s="68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 ht="15.75" customHeight="1">
      <c r="A302" s="32"/>
      <c r="B302" s="65"/>
      <c r="C302" s="65"/>
      <c r="D302" s="32"/>
      <c r="E302" s="32"/>
      <c r="F302" s="32"/>
      <c r="G302" s="65"/>
      <c r="H302" s="67"/>
      <c r="I302" s="67"/>
      <c r="J302" s="32"/>
      <c r="K302" s="68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 ht="15.75" customHeight="1">
      <c r="A303" s="32"/>
      <c r="B303" s="65"/>
      <c r="C303" s="65"/>
      <c r="D303" s="32"/>
      <c r="E303" s="32"/>
      <c r="F303" s="32"/>
      <c r="G303" s="65"/>
      <c r="H303" s="67"/>
      <c r="I303" s="67"/>
      <c r="J303" s="32"/>
      <c r="K303" s="68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 ht="15.75" customHeight="1">
      <c r="A304" s="32"/>
      <c r="B304" s="65"/>
      <c r="C304" s="65"/>
      <c r="D304" s="32"/>
      <c r="E304" s="32"/>
      <c r="F304" s="32"/>
      <c r="G304" s="65"/>
      <c r="H304" s="67"/>
      <c r="I304" s="67"/>
      <c r="J304" s="32"/>
      <c r="K304" s="68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 ht="15.75" customHeight="1">
      <c r="A305" s="32"/>
      <c r="B305" s="65"/>
      <c r="C305" s="65"/>
      <c r="D305" s="32"/>
      <c r="E305" s="32"/>
      <c r="F305" s="32"/>
      <c r="G305" s="65"/>
      <c r="H305" s="67"/>
      <c r="I305" s="67"/>
      <c r="J305" s="32"/>
      <c r="K305" s="68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 ht="15.75" customHeight="1">
      <c r="A306" s="32"/>
      <c r="B306" s="65"/>
      <c r="C306" s="65"/>
      <c r="D306" s="32"/>
      <c r="E306" s="32"/>
      <c r="F306" s="32"/>
      <c r="G306" s="65"/>
      <c r="H306" s="67"/>
      <c r="I306" s="67"/>
      <c r="J306" s="32"/>
      <c r="K306" s="68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 ht="15.75" customHeight="1">
      <c r="A307" s="32"/>
      <c r="B307" s="65"/>
      <c r="C307" s="65"/>
      <c r="D307" s="32"/>
      <c r="E307" s="32"/>
      <c r="F307" s="32"/>
      <c r="G307" s="65"/>
      <c r="H307" s="67"/>
      <c r="I307" s="67"/>
      <c r="J307" s="32"/>
      <c r="K307" s="68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 ht="15.75" customHeight="1">
      <c r="A308" s="32"/>
      <c r="B308" s="65"/>
      <c r="C308" s="65"/>
      <c r="D308" s="32"/>
      <c r="E308" s="32"/>
      <c r="F308" s="32"/>
      <c r="G308" s="65"/>
      <c r="H308" s="67"/>
      <c r="I308" s="67"/>
      <c r="J308" s="32"/>
      <c r="K308" s="68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 ht="15.75" customHeight="1">
      <c r="A309" s="32"/>
      <c r="B309" s="65"/>
      <c r="C309" s="65"/>
      <c r="D309" s="32"/>
      <c r="E309" s="32"/>
      <c r="F309" s="32"/>
      <c r="G309" s="65"/>
      <c r="H309" s="67"/>
      <c r="I309" s="67"/>
      <c r="J309" s="32"/>
      <c r="K309" s="68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 ht="15.75" customHeight="1">
      <c r="A310" s="32"/>
      <c r="B310" s="65"/>
      <c r="C310" s="65"/>
      <c r="D310" s="32"/>
      <c r="E310" s="32"/>
      <c r="F310" s="32"/>
      <c r="G310" s="65"/>
      <c r="H310" s="67"/>
      <c r="I310" s="67"/>
      <c r="J310" s="32"/>
      <c r="K310" s="68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 ht="15.75" customHeight="1">
      <c r="A311" s="32"/>
      <c r="B311" s="65"/>
      <c r="C311" s="65"/>
      <c r="D311" s="32"/>
      <c r="E311" s="32"/>
      <c r="F311" s="32"/>
      <c r="G311" s="65"/>
      <c r="H311" s="67"/>
      <c r="I311" s="67"/>
      <c r="J311" s="32"/>
      <c r="K311" s="68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 ht="15.75" customHeight="1">
      <c r="A312" s="32"/>
      <c r="B312" s="65"/>
      <c r="C312" s="65"/>
      <c r="D312" s="32"/>
      <c r="E312" s="32"/>
      <c r="F312" s="32"/>
      <c r="G312" s="65"/>
      <c r="H312" s="67"/>
      <c r="I312" s="67"/>
      <c r="J312" s="32"/>
      <c r="K312" s="68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 ht="15.75" customHeight="1">
      <c r="A313" s="32"/>
      <c r="B313" s="65"/>
      <c r="C313" s="65"/>
      <c r="D313" s="32"/>
      <c r="E313" s="32"/>
      <c r="F313" s="32"/>
      <c r="G313" s="65"/>
      <c r="H313" s="67"/>
      <c r="I313" s="67"/>
      <c r="J313" s="32"/>
      <c r="K313" s="68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 ht="15.75" customHeight="1">
      <c r="A314" s="32"/>
      <c r="B314" s="65"/>
      <c r="C314" s="65"/>
      <c r="D314" s="32"/>
      <c r="E314" s="32"/>
      <c r="F314" s="32"/>
      <c r="G314" s="65"/>
      <c r="H314" s="67"/>
      <c r="I314" s="67"/>
      <c r="J314" s="32"/>
      <c r="K314" s="68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 ht="15.75" customHeight="1">
      <c r="A315" s="32"/>
      <c r="B315" s="65"/>
      <c r="C315" s="65"/>
      <c r="D315" s="32"/>
      <c r="E315" s="32"/>
      <c r="F315" s="32"/>
      <c r="G315" s="65"/>
      <c r="H315" s="67"/>
      <c r="I315" s="67"/>
      <c r="J315" s="32"/>
      <c r="K315" s="68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 ht="15.75" customHeight="1">
      <c r="A316" s="32"/>
      <c r="B316" s="65"/>
      <c r="C316" s="65"/>
      <c r="D316" s="32"/>
      <c r="E316" s="32"/>
      <c r="F316" s="32"/>
      <c r="G316" s="65"/>
      <c r="H316" s="67"/>
      <c r="I316" s="67"/>
      <c r="J316" s="32"/>
      <c r="K316" s="68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 ht="15.75" customHeight="1">
      <c r="A317" s="32"/>
      <c r="B317" s="65"/>
      <c r="C317" s="65"/>
      <c r="D317" s="32"/>
      <c r="E317" s="32"/>
      <c r="F317" s="32"/>
      <c r="G317" s="65"/>
      <c r="H317" s="67"/>
      <c r="I317" s="67"/>
      <c r="J317" s="32"/>
      <c r="K317" s="68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 ht="15.75" customHeight="1">
      <c r="A318" s="32"/>
      <c r="B318" s="65"/>
      <c r="C318" s="65"/>
      <c r="D318" s="32"/>
      <c r="E318" s="32"/>
      <c r="F318" s="32"/>
      <c r="G318" s="65"/>
      <c r="H318" s="67"/>
      <c r="I318" s="67"/>
      <c r="J318" s="32"/>
      <c r="K318" s="68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 ht="15.75" customHeight="1">
      <c r="A319" s="32"/>
      <c r="B319" s="65"/>
      <c r="C319" s="65"/>
      <c r="D319" s="32"/>
      <c r="E319" s="32"/>
      <c r="F319" s="32"/>
      <c r="G319" s="65"/>
      <c r="H319" s="67"/>
      <c r="I319" s="67"/>
      <c r="J319" s="32"/>
      <c r="K319" s="68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 ht="15.75" customHeight="1">
      <c r="A320" s="32"/>
      <c r="B320" s="65"/>
      <c r="C320" s="65"/>
      <c r="D320" s="32"/>
      <c r="E320" s="32"/>
      <c r="F320" s="32"/>
      <c r="G320" s="65"/>
      <c r="H320" s="67"/>
      <c r="I320" s="67"/>
      <c r="J320" s="32"/>
      <c r="K320" s="68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 ht="15.75" customHeight="1">
      <c r="A321" s="32"/>
      <c r="B321" s="65"/>
      <c r="C321" s="65"/>
      <c r="D321" s="32"/>
      <c r="E321" s="32"/>
      <c r="F321" s="32"/>
      <c r="G321" s="65"/>
      <c r="H321" s="67"/>
      <c r="I321" s="67"/>
      <c r="J321" s="32"/>
      <c r="K321" s="68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 ht="15.75" customHeight="1">
      <c r="A322" s="32"/>
      <c r="B322" s="65"/>
      <c r="C322" s="65"/>
      <c r="D322" s="32"/>
      <c r="E322" s="32"/>
      <c r="F322" s="32"/>
      <c r="G322" s="65"/>
      <c r="H322" s="67"/>
      <c r="I322" s="67"/>
      <c r="J322" s="32"/>
      <c r="K322" s="68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 ht="15.75" customHeight="1">
      <c r="A323" s="32"/>
      <c r="B323" s="65"/>
      <c r="C323" s="65"/>
      <c r="D323" s="32"/>
      <c r="E323" s="32"/>
      <c r="F323" s="32"/>
      <c r="G323" s="65"/>
      <c r="H323" s="67"/>
      <c r="I323" s="67"/>
      <c r="J323" s="32"/>
      <c r="K323" s="68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 ht="15.75" customHeight="1">
      <c r="A324" s="32"/>
      <c r="B324" s="65"/>
      <c r="C324" s="65"/>
      <c r="D324" s="32"/>
      <c r="E324" s="32"/>
      <c r="F324" s="32"/>
      <c r="G324" s="65"/>
      <c r="H324" s="67"/>
      <c r="I324" s="67"/>
      <c r="J324" s="32"/>
      <c r="K324" s="68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 ht="15.75" customHeight="1">
      <c r="A325" s="32"/>
      <c r="B325" s="65"/>
      <c r="C325" s="65"/>
      <c r="D325" s="32"/>
      <c r="E325" s="32"/>
      <c r="F325" s="32"/>
      <c r="G325" s="65"/>
      <c r="H325" s="67"/>
      <c r="I325" s="67"/>
      <c r="J325" s="32"/>
      <c r="K325" s="68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 ht="15.75" customHeight="1">
      <c r="A326" s="32"/>
      <c r="B326" s="65"/>
      <c r="C326" s="65"/>
      <c r="D326" s="32"/>
      <c r="E326" s="32"/>
      <c r="F326" s="32"/>
      <c r="G326" s="65"/>
      <c r="H326" s="67"/>
      <c r="I326" s="67"/>
      <c r="J326" s="32"/>
      <c r="K326" s="68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 ht="15.75" customHeight="1">
      <c r="A327" s="32"/>
      <c r="B327" s="65"/>
      <c r="C327" s="65"/>
      <c r="D327" s="32"/>
      <c r="E327" s="32"/>
      <c r="F327" s="32"/>
      <c r="G327" s="65"/>
      <c r="H327" s="67"/>
      <c r="I327" s="67"/>
      <c r="J327" s="32"/>
      <c r="K327" s="68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 ht="15.75" customHeight="1">
      <c r="A328" s="32"/>
      <c r="B328" s="65"/>
      <c r="C328" s="65"/>
      <c r="D328" s="32"/>
      <c r="E328" s="32"/>
      <c r="F328" s="32"/>
      <c r="G328" s="65"/>
      <c r="H328" s="67"/>
      <c r="I328" s="67"/>
      <c r="J328" s="32"/>
      <c r="K328" s="68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 ht="15.75" customHeight="1">
      <c r="A329" s="32"/>
      <c r="B329" s="65"/>
      <c r="C329" s="65"/>
      <c r="D329" s="32"/>
      <c r="E329" s="32"/>
      <c r="F329" s="32"/>
      <c r="G329" s="65"/>
      <c r="H329" s="67"/>
      <c r="I329" s="67"/>
      <c r="J329" s="32"/>
      <c r="K329" s="68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 ht="15.75" customHeight="1">
      <c r="A330" s="32"/>
      <c r="B330" s="65"/>
      <c r="C330" s="65"/>
      <c r="D330" s="32"/>
      <c r="E330" s="32"/>
      <c r="F330" s="32"/>
      <c r="G330" s="65"/>
      <c r="H330" s="67"/>
      <c r="I330" s="67"/>
      <c r="J330" s="32"/>
      <c r="K330" s="68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 ht="15.75" customHeight="1">
      <c r="A331" s="32"/>
      <c r="B331" s="65"/>
      <c r="C331" s="65"/>
      <c r="D331" s="32"/>
      <c r="E331" s="32"/>
      <c r="F331" s="32"/>
      <c r="G331" s="65"/>
      <c r="H331" s="67"/>
      <c r="I331" s="67"/>
      <c r="J331" s="32"/>
      <c r="K331" s="68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 ht="15.75" customHeight="1">
      <c r="A332" s="32"/>
      <c r="B332" s="65"/>
      <c r="C332" s="65"/>
      <c r="D332" s="32"/>
      <c r="E332" s="32"/>
      <c r="F332" s="32"/>
      <c r="G332" s="65"/>
      <c r="H332" s="67"/>
      <c r="I332" s="67"/>
      <c r="J332" s="32"/>
      <c r="K332" s="68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 ht="15.75" customHeight="1">
      <c r="A333" s="32"/>
      <c r="B333" s="65"/>
      <c r="C333" s="65"/>
      <c r="D333" s="32"/>
      <c r="E333" s="32"/>
      <c r="F333" s="32"/>
      <c r="G333" s="65"/>
      <c r="H333" s="67"/>
      <c r="I333" s="67"/>
      <c r="J333" s="32"/>
      <c r="K333" s="68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 ht="15.75" customHeight="1">
      <c r="A334" s="32"/>
      <c r="B334" s="65"/>
      <c r="C334" s="65"/>
      <c r="D334" s="32"/>
      <c r="E334" s="32"/>
      <c r="F334" s="32"/>
      <c r="G334" s="65"/>
      <c r="H334" s="67"/>
      <c r="I334" s="67"/>
      <c r="J334" s="32"/>
      <c r="K334" s="68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 ht="15.75" customHeight="1">
      <c r="A335" s="32"/>
      <c r="B335" s="65"/>
      <c r="C335" s="65"/>
      <c r="D335" s="32"/>
      <c r="E335" s="32"/>
      <c r="F335" s="32"/>
      <c r="G335" s="65"/>
      <c r="H335" s="67"/>
      <c r="I335" s="67"/>
      <c r="J335" s="32"/>
      <c r="K335" s="68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 ht="15.75" customHeight="1">
      <c r="A336" s="32"/>
      <c r="B336" s="65"/>
      <c r="C336" s="65"/>
      <c r="D336" s="32"/>
      <c r="E336" s="32"/>
      <c r="F336" s="32"/>
      <c r="G336" s="65"/>
      <c r="H336" s="67"/>
      <c r="I336" s="67"/>
      <c r="J336" s="32"/>
      <c r="K336" s="68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 ht="15.75" customHeight="1">
      <c r="A337" s="32"/>
      <c r="B337" s="65"/>
      <c r="C337" s="65"/>
      <c r="D337" s="32"/>
      <c r="E337" s="32"/>
      <c r="F337" s="32"/>
      <c r="G337" s="65"/>
      <c r="H337" s="67"/>
      <c r="I337" s="67"/>
      <c r="J337" s="32"/>
      <c r="K337" s="68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 ht="15.75" customHeight="1">
      <c r="A338" s="32"/>
      <c r="B338" s="65"/>
      <c r="C338" s="65"/>
      <c r="D338" s="32"/>
      <c r="E338" s="32"/>
      <c r="F338" s="32"/>
      <c r="G338" s="65"/>
      <c r="H338" s="67"/>
      <c r="I338" s="67"/>
      <c r="J338" s="32"/>
      <c r="K338" s="68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 ht="15.75" customHeight="1">
      <c r="A339" s="32"/>
      <c r="B339" s="65"/>
      <c r="C339" s="65"/>
      <c r="D339" s="32"/>
      <c r="E339" s="32"/>
      <c r="F339" s="32"/>
      <c r="G339" s="65"/>
      <c r="H339" s="67"/>
      <c r="I339" s="67"/>
      <c r="J339" s="32"/>
      <c r="K339" s="68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 ht="15.75" customHeight="1">
      <c r="A340" s="32"/>
      <c r="B340" s="65"/>
      <c r="C340" s="65"/>
      <c r="D340" s="32"/>
      <c r="E340" s="32"/>
      <c r="F340" s="32"/>
      <c r="G340" s="65"/>
      <c r="H340" s="67"/>
      <c r="I340" s="67"/>
      <c r="J340" s="32"/>
      <c r="K340" s="68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 ht="15.75" customHeight="1">
      <c r="A341" s="32"/>
      <c r="B341" s="65"/>
      <c r="C341" s="65"/>
      <c r="D341" s="32"/>
      <c r="E341" s="32"/>
      <c r="F341" s="32"/>
      <c r="G341" s="65"/>
      <c r="H341" s="67"/>
      <c r="I341" s="67"/>
      <c r="J341" s="32"/>
      <c r="K341" s="68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 ht="15.75" customHeight="1">
      <c r="A342" s="32"/>
      <c r="B342" s="65"/>
      <c r="C342" s="65"/>
      <c r="D342" s="32"/>
      <c r="E342" s="32"/>
      <c r="F342" s="32"/>
      <c r="G342" s="65"/>
      <c r="H342" s="67"/>
      <c r="I342" s="67"/>
      <c r="J342" s="32"/>
      <c r="K342" s="68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 ht="15.75" customHeight="1">
      <c r="A343" s="32"/>
      <c r="B343" s="65"/>
      <c r="C343" s="65"/>
      <c r="D343" s="32"/>
      <c r="E343" s="32"/>
      <c r="F343" s="32"/>
      <c r="G343" s="65"/>
      <c r="H343" s="67"/>
      <c r="I343" s="67"/>
      <c r="J343" s="32"/>
      <c r="K343" s="68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 ht="15.75" customHeight="1">
      <c r="A344" s="32"/>
      <c r="B344" s="65"/>
      <c r="C344" s="65"/>
      <c r="D344" s="32"/>
      <c r="E344" s="32"/>
      <c r="F344" s="32"/>
      <c r="G344" s="65"/>
      <c r="H344" s="67"/>
      <c r="I344" s="67"/>
      <c r="J344" s="32"/>
      <c r="K344" s="68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 ht="15.75" customHeight="1">
      <c r="A345" s="32"/>
      <c r="B345" s="65"/>
      <c r="C345" s="65"/>
      <c r="D345" s="32"/>
      <c r="E345" s="32"/>
      <c r="F345" s="32"/>
      <c r="G345" s="65"/>
      <c r="H345" s="67"/>
      <c r="I345" s="67"/>
      <c r="J345" s="32"/>
      <c r="K345" s="68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 ht="15.75" customHeight="1">
      <c r="A346" s="32"/>
      <c r="B346" s="65"/>
      <c r="C346" s="65"/>
      <c r="D346" s="32"/>
      <c r="E346" s="32"/>
      <c r="F346" s="32"/>
      <c r="G346" s="65"/>
      <c r="H346" s="67"/>
      <c r="I346" s="67"/>
      <c r="J346" s="32"/>
      <c r="K346" s="68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 ht="15.75" customHeight="1">
      <c r="A347" s="32"/>
      <c r="B347" s="65"/>
      <c r="C347" s="65"/>
      <c r="D347" s="32"/>
      <c r="E347" s="32"/>
      <c r="F347" s="32"/>
      <c r="G347" s="65"/>
      <c r="H347" s="67"/>
      <c r="I347" s="67"/>
      <c r="J347" s="32"/>
      <c r="K347" s="68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 ht="15.75" customHeight="1">
      <c r="A348" s="32"/>
      <c r="B348" s="65"/>
      <c r="C348" s="65"/>
      <c r="D348" s="32"/>
      <c r="E348" s="32"/>
      <c r="F348" s="32"/>
      <c r="G348" s="65"/>
      <c r="H348" s="67"/>
      <c r="I348" s="67"/>
      <c r="J348" s="32"/>
      <c r="K348" s="68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 ht="15.75" customHeight="1">
      <c r="A349" s="32"/>
      <c r="B349" s="65"/>
      <c r="C349" s="65"/>
      <c r="D349" s="32"/>
      <c r="E349" s="32"/>
      <c r="F349" s="32"/>
      <c r="G349" s="65"/>
      <c r="H349" s="67"/>
      <c r="I349" s="67"/>
      <c r="J349" s="32"/>
      <c r="K349" s="68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 ht="15.75" customHeight="1">
      <c r="A350" s="32"/>
      <c r="B350" s="65"/>
      <c r="C350" s="65"/>
      <c r="D350" s="32"/>
      <c r="E350" s="32"/>
      <c r="F350" s="32"/>
      <c r="G350" s="65"/>
      <c r="H350" s="67"/>
      <c r="I350" s="67"/>
      <c r="J350" s="32"/>
      <c r="K350" s="68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 ht="15.75" customHeight="1">
      <c r="A351" s="32"/>
      <c r="B351" s="65"/>
      <c r="C351" s="65"/>
      <c r="D351" s="32"/>
      <c r="E351" s="32"/>
      <c r="F351" s="32"/>
      <c r="G351" s="65"/>
      <c r="H351" s="67"/>
      <c r="I351" s="67"/>
      <c r="J351" s="32"/>
      <c r="K351" s="68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 ht="15.75" customHeight="1">
      <c r="A352" s="32"/>
      <c r="B352" s="65"/>
      <c r="C352" s="65"/>
      <c r="D352" s="32"/>
      <c r="E352" s="32"/>
      <c r="F352" s="32"/>
      <c r="G352" s="65"/>
      <c r="H352" s="67"/>
      <c r="I352" s="67"/>
      <c r="J352" s="32"/>
      <c r="K352" s="68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 ht="15.75" customHeight="1">
      <c r="A353" s="32"/>
      <c r="B353" s="65"/>
      <c r="C353" s="65"/>
      <c r="D353" s="32"/>
      <c r="E353" s="32"/>
      <c r="F353" s="32"/>
      <c r="G353" s="65"/>
      <c r="H353" s="67"/>
      <c r="I353" s="67"/>
      <c r="J353" s="32"/>
      <c r="K353" s="68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 ht="15.75" customHeight="1">
      <c r="A354" s="32"/>
      <c r="B354" s="65"/>
      <c r="C354" s="65"/>
      <c r="D354" s="32"/>
      <c r="E354" s="32"/>
      <c r="F354" s="32"/>
      <c r="G354" s="65"/>
      <c r="H354" s="67"/>
      <c r="I354" s="67"/>
      <c r="J354" s="32"/>
      <c r="K354" s="68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 ht="15.75" customHeight="1">
      <c r="A355" s="32"/>
      <c r="B355" s="65"/>
      <c r="C355" s="65"/>
      <c r="D355" s="32"/>
      <c r="E355" s="32"/>
      <c r="F355" s="32"/>
      <c r="G355" s="65"/>
      <c r="H355" s="67"/>
      <c r="I355" s="67"/>
      <c r="J355" s="32"/>
      <c r="K355" s="68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 ht="15.75" customHeight="1">
      <c r="A356" s="32"/>
      <c r="B356" s="65"/>
      <c r="C356" s="65"/>
      <c r="D356" s="32"/>
      <c r="E356" s="32"/>
      <c r="F356" s="32"/>
      <c r="G356" s="65"/>
      <c r="H356" s="67"/>
      <c r="I356" s="67"/>
      <c r="J356" s="32"/>
      <c r="K356" s="68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 ht="15.75" customHeight="1">
      <c r="A357" s="32"/>
      <c r="B357" s="65"/>
      <c r="C357" s="65"/>
      <c r="D357" s="32"/>
      <c r="E357" s="32"/>
      <c r="F357" s="32"/>
      <c r="G357" s="65"/>
      <c r="H357" s="67"/>
      <c r="I357" s="67"/>
      <c r="J357" s="32"/>
      <c r="K357" s="68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 ht="15.75" customHeight="1">
      <c r="A358" s="32"/>
      <c r="B358" s="65"/>
      <c r="C358" s="65"/>
      <c r="D358" s="32"/>
      <c r="E358" s="32"/>
      <c r="F358" s="32"/>
      <c r="G358" s="65"/>
      <c r="H358" s="67"/>
      <c r="I358" s="67"/>
      <c r="J358" s="32"/>
      <c r="K358" s="68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 ht="15.75" customHeight="1">
      <c r="A359" s="32"/>
      <c r="B359" s="65"/>
      <c r="C359" s="65"/>
      <c r="D359" s="32"/>
      <c r="E359" s="32"/>
      <c r="F359" s="32"/>
      <c r="G359" s="65"/>
      <c r="H359" s="67"/>
      <c r="I359" s="67"/>
      <c r="J359" s="32"/>
      <c r="K359" s="68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 ht="15.75" customHeight="1">
      <c r="A360" s="32"/>
      <c r="B360" s="65"/>
      <c r="C360" s="65"/>
      <c r="D360" s="32"/>
      <c r="E360" s="32"/>
      <c r="F360" s="32"/>
      <c r="G360" s="65"/>
      <c r="H360" s="67"/>
      <c r="I360" s="67"/>
      <c r="J360" s="32"/>
      <c r="K360" s="68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 ht="15.75" customHeight="1">
      <c r="A361" s="32"/>
      <c r="B361" s="65"/>
      <c r="C361" s="65"/>
      <c r="D361" s="32"/>
      <c r="E361" s="32"/>
      <c r="F361" s="32"/>
      <c r="G361" s="65"/>
      <c r="H361" s="67"/>
      <c r="I361" s="67"/>
      <c r="J361" s="32"/>
      <c r="K361" s="68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 ht="15.75" customHeight="1">
      <c r="A362" s="32"/>
      <c r="B362" s="65"/>
      <c r="C362" s="65"/>
      <c r="D362" s="32"/>
      <c r="E362" s="32"/>
      <c r="F362" s="32"/>
      <c r="G362" s="65"/>
      <c r="H362" s="67"/>
      <c r="I362" s="67"/>
      <c r="J362" s="32"/>
      <c r="K362" s="68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 ht="15.75" customHeight="1">
      <c r="A363" s="32"/>
      <c r="B363" s="65"/>
      <c r="C363" s="65"/>
      <c r="D363" s="32"/>
      <c r="E363" s="32"/>
      <c r="F363" s="32"/>
      <c r="G363" s="65"/>
      <c r="H363" s="67"/>
      <c r="I363" s="67"/>
      <c r="J363" s="32"/>
      <c r="K363" s="68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 ht="15.75" customHeight="1">
      <c r="A364" s="32"/>
      <c r="B364" s="65"/>
      <c r="C364" s="65"/>
      <c r="D364" s="32"/>
      <c r="E364" s="32"/>
      <c r="F364" s="32"/>
      <c r="G364" s="65"/>
      <c r="H364" s="67"/>
      <c r="I364" s="67"/>
      <c r="J364" s="32"/>
      <c r="K364" s="68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 ht="15.75" customHeight="1">
      <c r="A365" s="32"/>
      <c r="B365" s="65"/>
      <c r="C365" s="65"/>
      <c r="D365" s="32"/>
      <c r="E365" s="32"/>
      <c r="F365" s="32"/>
      <c r="G365" s="65"/>
      <c r="H365" s="67"/>
      <c r="I365" s="67"/>
      <c r="J365" s="32"/>
      <c r="K365" s="68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 ht="15.75" customHeight="1">
      <c r="A366" s="32"/>
      <c r="B366" s="65"/>
      <c r="C366" s="65"/>
      <c r="D366" s="32"/>
      <c r="E366" s="32"/>
      <c r="F366" s="32"/>
      <c r="G366" s="65"/>
      <c r="H366" s="67"/>
      <c r="I366" s="67"/>
      <c r="J366" s="32"/>
      <c r="K366" s="68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 ht="15.75" customHeight="1">
      <c r="A367" s="32"/>
      <c r="B367" s="65"/>
      <c r="C367" s="65"/>
      <c r="D367" s="32"/>
      <c r="E367" s="32"/>
      <c r="F367" s="32"/>
      <c r="G367" s="65"/>
      <c r="H367" s="67"/>
      <c r="I367" s="67"/>
      <c r="J367" s="32"/>
      <c r="K367" s="68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 ht="15.75" customHeight="1">
      <c r="A368" s="32"/>
      <c r="B368" s="65"/>
      <c r="C368" s="65"/>
      <c r="D368" s="32"/>
      <c r="E368" s="32"/>
      <c r="F368" s="32"/>
      <c r="G368" s="65"/>
      <c r="H368" s="67"/>
      <c r="I368" s="67"/>
      <c r="J368" s="32"/>
      <c r="K368" s="68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 ht="15.75" customHeight="1">
      <c r="A369" s="32"/>
      <c r="B369" s="65"/>
      <c r="C369" s="65"/>
      <c r="D369" s="32"/>
      <c r="E369" s="32"/>
      <c r="F369" s="32"/>
      <c r="G369" s="65"/>
      <c r="H369" s="67"/>
      <c r="I369" s="67"/>
      <c r="J369" s="32"/>
      <c r="K369" s="68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 ht="15.75" customHeight="1">
      <c r="A370" s="32"/>
      <c r="B370" s="65"/>
      <c r="C370" s="65"/>
      <c r="D370" s="32"/>
      <c r="E370" s="32"/>
      <c r="F370" s="32"/>
      <c r="G370" s="65"/>
      <c r="H370" s="67"/>
      <c r="I370" s="67"/>
      <c r="J370" s="32"/>
      <c r="K370" s="68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 ht="15.75" customHeight="1">
      <c r="A371" s="32"/>
      <c r="B371" s="65"/>
      <c r="C371" s="65"/>
      <c r="D371" s="32"/>
      <c r="E371" s="32"/>
      <c r="F371" s="32"/>
      <c r="G371" s="65"/>
      <c r="H371" s="67"/>
      <c r="I371" s="67"/>
      <c r="J371" s="32"/>
      <c r="K371" s="68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 ht="15.75" customHeight="1">
      <c r="A372" s="32"/>
      <c r="B372" s="65"/>
      <c r="C372" s="65"/>
      <c r="D372" s="32"/>
      <c r="E372" s="32"/>
      <c r="F372" s="32"/>
      <c r="G372" s="65"/>
      <c r="H372" s="67"/>
      <c r="I372" s="67"/>
      <c r="J372" s="32"/>
      <c r="K372" s="68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 ht="15.75" customHeight="1">
      <c r="A373" s="32"/>
      <c r="B373" s="65"/>
      <c r="C373" s="65"/>
      <c r="D373" s="32"/>
      <c r="E373" s="32"/>
      <c r="F373" s="32"/>
      <c r="G373" s="65"/>
      <c r="H373" s="67"/>
      <c r="I373" s="67"/>
      <c r="J373" s="32"/>
      <c r="K373" s="68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 ht="15.75" customHeight="1">
      <c r="A374" s="32"/>
      <c r="B374" s="65"/>
      <c r="C374" s="65"/>
      <c r="D374" s="32"/>
      <c r="E374" s="32"/>
      <c r="F374" s="32"/>
      <c r="G374" s="65"/>
      <c r="H374" s="67"/>
      <c r="I374" s="67"/>
      <c r="J374" s="32"/>
      <c r="K374" s="68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 ht="15.75" customHeight="1">
      <c r="A375" s="32"/>
      <c r="B375" s="65"/>
      <c r="C375" s="65"/>
      <c r="D375" s="32"/>
      <c r="E375" s="32"/>
      <c r="F375" s="32"/>
      <c r="G375" s="65"/>
      <c r="H375" s="67"/>
      <c r="I375" s="67"/>
      <c r="J375" s="32"/>
      <c r="K375" s="68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 ht="15.75" customHeight="1">
      <c r="A376" s="32"/>
      <c r="B376" s="65"/>
      <c r="C376" s="65"/>
      <c r="D376" s="32"/>
      <c r="E376" s="32"/>
      <c r="F376" s="32"/>
      <c r="G376" s="65"/>
      <c r="H376" s="67"/>
      <c r="I376" s="67"/>
      <c r="J376" s="32"/>
      <c r="K376" s="68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 ht="15.75" customHeight="1">
      <c r="A377" s="32"/>
      <c r="B377" s="65"/>
      <c r="C377" s="65"/>
      <c r="D377" s="32"/>
      <c r="E377" s="32"/>
      <c r="F377" s="32"/>
      <c r="G377" s="65"/>
      <c r="H377" s="67"/>
      <c r="I377" s="67"/>
      <c r="J377" s="32"/>
      <c r="K377" s="68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 ht="15.75" customHeight="1">
      <c r="A378" s="32"/>
      <c r="B378" s="65"/>
      <c r="C378" s="65"/>
      <c r="D378" s="32"/>
      <c r="E378" s="32"/>
      <c r="F378" s="32"/>
      <c r="G378" s="65"/>
      <c r="H378" s="67"/>
      <c r="I378" s="67"/>
      <c r="J378" s="32"/>
      <c r="K378" s="68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 ht="15.75" customHeight="1">
      <c r="A379" s="32"/>
      <c r="B379" s="65"/>
      <c r="C379" s="65"/>
      <c r="D379" s="32"/>
      <c r="E379" s="32"/>
      <c r="F379" s="32"/>
      <c r="G379" s="65"/>
      <c r="H379" s="67"/>
      <c r="I379" s="67"/>
      <c r="J379" s="32"/>
      <c r="K379" s="68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 ht="15.75" customHeight="1">
      <c r="A380" s="32"/>
      <c r="B380" s="65"/>
      <c r="C380" s="65"/>
      <c r="D380" s="32"/>
      <c r="E380" s="32"/>
      <c r="F380" s="32"/>
      <c r="G380" s="65"/>
      <c r="H380" s="67"/>
      <c r="I380" s="67"/>
      <c r="J380" s="32"/>
      <c r="K380" s="68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 ht="15.75" customHeight="1">
      <c r="A381" s="32"/>
      <c r="B381" s="65"/>
      <c r="C381" s="65"/>
      <c r="D381" s="32"/>
      <c r="E381" s="32"/>
      <c r="F381" s="32"/>
      <c r="G381" s="65"/>
      <c r="H381" s="67"/>
      <c r="I381" s="67"/>
      <c r="J381" s="32"/>
      <c r="K381" s="68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 ht="15.75" customHeight="1">
      <c r="A382" s="32"/>
      <c r="B382" s="65"/>
      <c r="C382" s="65"/>
      <c r="D382" s="32"/>
      <c r="E382" s="32"/>
      <c r="F382" s="32"/>
      <c r="G382" s="65"/>
      <c r="H382" s="67"/>
      <c r="I382" s="67"/>
      <c r="J382" s="32"/>
      <c r="K382" s="68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 ht="15.75" customHeight="1">
      <c r="A383" s="32"/>
      <c r="B383" s="65"/>
      <c r="C383" s="65"/>
      <c r="D383" s="32"/>
      <c r="E383" s="32"/>
      <c r="F383" s="32"/>
      <c r="G383" s="65"/>
      <c r="H383" s="67"/>
      <c r="I383" s="67"/>
      <c r="J383" s="32"/>
      <c r="K383" s="68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 ht="15.75" customHeight="1">
      <c r="A384" s="32"/>
      <c r="B384" s="65"/>
      <c r="C384" s="65"/>
      <c r="D384" s="32"/>
      <c r="E384" s="32"/>
      <c r="F384" s="32"/>
      <c r="G384" s="65"/>
      <c r="H384" s="67"/>
      <c r="I384" s="67"/>
      <c r="J384" s="32"/>
      <c r="K384" s="68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 ht="15.75" customHeight="1">
      <c r="A385" s="32"/>
      <c r="B385" s="65"/>
      <c r="C385" s="65"/>
      <c r="D385" s="32"/>
      <c r="E385" s="32"/>
      <c r="F385" s="32"/>
      <c r="G385" s="65"/>
      <c r="H385" s="67"/>
      <c r="I385" s="67"/>
      <c r="J385" s="32"/>
      <c r="K385" s="68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 ht="15.75" customHeight="1">
      <c r="A386" s="32"/>
      <c r="B386" s="65"/>
      <c r="C386" s="65"/>
      <c r="D386" s="32"/>
      <c r="E386" s="32"/>
      <c r="F386" s="32"/>
      <c r="G386" s="65"/>
      <c r="H386" s="67"/>
      <c r="I386" s="67"/>
      <c r="J386" s="32"/>
      <c r="K386" s="68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 ht="15.75" customHeight="1">
      <c r="A387" s="32"/>
      <c r="B387" s="65"/>
      <c r="C387" s="65"/>
      <c r="D387" s="32"/>
      <c r="E387" s="32"/>
      <c r="F387" s="32"/>
      <c r="G387" s="65"/>
      <c r="H387" s="67"/>
      <c r="I387" s="67"/>
      <c r="J387" s="32"/>
      <c r="K387" s="68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 ht="15.75" customHeight="1">
      <c r="A388" s="32"/>
      <c r="B388" s="65"/>
      <c r="C388" s="65"/>
      <c r="D388" s="32"/>
      <c r="E388" s="32"/>
      <c r="F388" s="32"/>
      <c r="G388" s="65"/>
      <c r="H388" s="67"/>
      <c r="I388" s="67"/>
      <c r="J388" s="32"/>
      <c r="K388" s="68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 ht="15.75" customHeight="1">
      <c r="A389" s="32"/>
      <c r="B389" s="65"/>
      <c r="C389" s="65"/>
      <c r="D389" s="32"/>
      <c r="E389" s="32"/>
      <c r="F389" s="32"/>
      <c r="G389" s="65"/>
      <c r="H389" s="67"/>
      <c r="I389" s="67"/>
      <c r="J389" s="32"/>
      <c r="K389" s="68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 ht="15.75" customHeight="1">
      <c r="A390" s="32"/>
      <c r="B390" s="65"/>
      <c r="C390" s="65"/>
      <c r="D390" s="32"/>
      <c r="E390" s="32"/>
      <c r="F390" s="32"/>
      <c r="G390" s="65"/>
      <c r="H390" s="67"/>
      <c r="I390" s="67"/>
      <c r="J390" s="32"/>
      <c r="K390" s="68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 ht="15.75" customHeight="1">
      <c r="A391" s="32"/>
      <c r="B391" s="65"/>
      <c r="C391" s="65"/>
      <c r="D391" s="32"/>
      <c r="E391" s="32"/>
      <c r="F391" s="32"/>
      <c r="G391" s="65"/>
      <c r="H391" s="67"/>
      <c r="I391" s="67"/>
      <c r="J391" s="32"/>
      <c r="K391" s="68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 ht="15.75" customHeight="1">
      <c r="A392" s="32"/>
      <c r="B392" s="65"/>
      <c r="C392" s="65"/>
      <c r="D392" s="32"/>
      <c r="E392" s="32"/>
      <c r="F392" s="32"/>
      <c r="G392" s="65"/>
      <c r="H392" s="67"/>
      <c r="I392" s="67"/>
      <c r="J392" s="32"/>
      <c r="K392" s="68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 ht="15.75" customHeight="1">
      <c r="A393" s="32"/>
      <c r="B393" s="65"/>
      <c r="C393" s="65"/>
      <c r="D393" s="32"/>
      <c r="E393" s="32"/>
      <c r="F393" s="32"/>
      <c r="G393" s="65"/>
      <c r="H393" s="67"/>
      <c r="I393" s="67"/>
      <c r="J393" s="32"/>
      <c r="K393" s="68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 ht="15.75" customHeight="1">
      <c r="A394" s="32"/>
      <c r="B394" s="65"/>
      <c r="C394" s="65"/>
      <c r="D394" s="32"/>
      <c r="E394" s="32"/>
      <c r="F394" s="32"/>
      <c r="G394" s="65"/>
      <c r="H394" s="67"/>
      <c r="I394" s="67"/>
      <c r="J394" s="32"/>
      <c r="K394" s="68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 ht="15.75" customHeight="1">
      <c r="A395" s="32"/>
      <c r="B395" s="65"/>
      <c r="C395" s="65"/>
      <c r="D395" s="32"/>
      <c r="E395" s="32"/>
      <c r="F395" s="32"/>
      <c r="G395" s="65"/>
      <c r="H395" s="67"/>
      <c r="I395" s="67"/>
      <c r="J395" s="32"/>
      <c r="K395" s="68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 ht="15.75" customHeight="1">
      <c r="A396" s="32"/>
      <c r="B396" s="65"/>
      <c r="C396" s="65"/>
      <c r="D396" s="32"/>
      <c r="E396" s="32"/>
      <c r="F396" s="32"/>
      <c r="G396" s="65"/>
      <c r="H396" s="67"/>
      <c r="I396" s="67"/>
      <c r="J396" s="32"/>
      <c r="K396" s="68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 ht="15.75" customHeight="1">
      <c r="A397" s="32"/>
      <c r="B397" s="65"/>
      <c r="C397" s="65"/>
      <c r="D397" s="32"/>
      <c r="E397" s="32"/>
      <c r="F397" s="32"/>
      <c r="G397" s="65"/>
      <c r="H397" s="67"/>
      <c r="I397" s="67"/>
      <c r="J397" s="32"/>
      <c r="K397" s="68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ht="15.75" customHeight="1">
      <c r="A398" s="32"/>
      <c r="B398" s="65"/>
      <c r="C398" s="65"/>
      <c r="D398" s="32"/>
      <c r="E398" s="32"/>
      <c r="F398" s="32"/>
      <c r="G398" s="65"/>
      <c r="H398" s="67"/>
      <c r="I398" s="67"/>
      <c r="J398" s="32"/>
      <c r="K398" s="68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 ht="15.75" customHeight="1">
      <c r="A399" s="32"/>
      <c r="B399" s="65"/>
      <c r="C399" s="65"/>
      <c r="D399" s="32"/>
      <c r="E399" s="32"/>
      <c r="F399" s="32"/>
      <c r="G399" s="65"/>
      <c r="H399" s="67"/>
      <c r="I399" s="67"/>
      <c r="J399" s="32"/>
      <c r="K399" s="68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 ht="15.75" customHeight="1">
      <c r="A400" s="32"/>
      <c r="B400" s="65"/>
      <c r="C400" s="65"/>
      <c r="D400" s="32"/>
      <c r="E400" s="32"/>
      <c r="F400" s="32"/>
      <c r="G400" s="65"/>
      <c r="H400" s="67"/>
      <c r="I400" s="67"/>
      <c r="J400" s="32"/>
      <c r="K400" s="68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 ht="15.75" customHeight="1">
      <c r="A401" s="32"/>
      <c r="B401" s="65"/>
      <c r="C401" s="65"/>
      <c r="D401" s="32"/>
      <c r="E401" s="32"/>
      <c r="F401" s="32"/>
      <c r="G401" s="65"/>
      <c r="H401" s="67"/>
      <c r="I401" s="67"/>
      <c r="J401" s="32"/>
      <c r="K401" s="68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 ht="15.75" customHeight="1">
      <c r="A402" s="32"/>
      <c r="B402" s="65"/>
      <c r="C402" s="65"/>
      <c r="D402" s="32"/>
      <c r="E402" s="32"/>
      <c r="F402" s="32"/>
      <c r="G402" s="65"/>
      <c r="H402" s="67"/>
      <c r="I402" s="67"/>
      <c r="J402" s="32"/>
      <c r="K402" s="68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 ht="15.75" customHeight="1">
      <c r="A403" s="32"/>
      <c r="B403" s="65"/>
      <c r="C403" s="65"/>
      <c r="D403" s="32"/>
      <c r="E403" s="32"/>
      <c r="F403" s="32"/>
      <c r="G403" s="65"/>
      <c r="H403" s="67"/>
      <c r="I403" s="67"/>
      <c r="J403" s="32"/>
      <c r="K403" s="68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 ht="15.75" customHeight="1">
      <c r="A404" s="32"/>
      <c r="B404" s="65"/>
      <c r="C404" s="65"/>
      <c r="D404" s="32"/>
      <c r="E404" s="32"/>
      <c r="F404" s="32"/>
      <c r="G404" s="65"/>
      <c r="H404" s="67"/>
      <c r="I404" s="67"/>
      <c r="J404" s="32"/>
      <c r="K404" s="68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 ht="15.75" customHeight="1">
      <c r="A405" s="32"/>
      <c r="B405" s="65"/>
      <c r="C405" s="65"/>
      <c r="D405" s="32"/>
      <c r="E405" s="32"/>
      <c r="F405" s="32"/>
      <c r="G405" s="65"/>
      <c r="H405" s="67"/>
      <c r="I405" s="67"/>
      <c r="J405" s="32"/>
      <c r="K405" s="68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 ht="15.75" customHeight="1">
      <c r="A406" s="32"/>
      <c r="B406" s="65"/>
      <c r="C406" s="65"/>
      <c r="D406" s="32"/>
      <c r="E406" s="32"/>
      <c r="F406" s="32"/>
      <c r="G406" s="65"/>
      <c r="H406" s="67"/>
      <c r="I406" s="67"/>
      <c r="J406" s="32"/>
      <c r="K406" s="68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 ht="15.75" customHeight="1">
      <c r="A407" s="32"/>
      <c r="B407" s="65"/>
      <c r="C407" s="65"/>
      <c r="D407" s="32"/>
      <c r="E407" s="32"/>
      <c r="F407" s="32"/>
      <c r="G407" s="65"/>
      <c r="H407" s="67"/>
      <c r="I407" s="67"/>
      <c r="J407" s="32"/>
      <c r="K407" s="68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 ht="15.75" customHeight="1">
      <c r="A408" s="32"/>
      <c r="B408" s="65"/>
      <c r="C408" s="65"/>
      <c r="D408" s="32"/>
      <c r="E408" s="32"/>
      <c r="F408" s="32"/>
      <c r="G408" s="65"/>
      <c r="H408" s="67"/>
      <c r="I408" s="67"/>
      <c r="J408" s="32"/>
      <c r="K408" s="68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 ht="15.75" customHeight="1">
      <c r="A409" s="32"/>
      <c r="B409" s="65"/>
      <c r="C409" s="65"/>
      <c r="D409" s="32"/>
      <c r="E409" s="32"/>
      <c r="F409" s="32"/>
      <c r="G409" s="65"/>
      <c r="H409" s="67"/>
      <c r="I409" s="67"/>
      <c r="J409" s="32"/>
      <c r="K409" s="68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 ht="15.75" customHeight="1">
      <c r="A410" s="32"/>
      <c r="B410" s="65"/>
      <c r="C410" s="65"/>
      <c r="D410" s="32"/>
      <c r="E410" s="32"/>
      <c r="F410" s="32"/>
      <c r="G410" s="65"/>
      <c r="H410" s="67"/>
      <c r="I410" s="67"/>
      <c r="J410" s="32"/>
      <c r="K410" s="68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 ht="15.75" customHeight="1">
      <c r="A411" s="32"/>
      <c r="B411" s="65"/>
      <c r="C411" s="65"/>
      <c r="D411" s="32"/>
      <c r="E411" s="32"/>
      <c r="F411" s="32"/>
      <c r="G411" s="65"/>
      <c r="H411" s="67"/>
      <c r="I411" s="67"/>
      <c r="J411" s="32"/>
      <c r="K411" s="68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 ht="15.75" customHeight="1">
      <c r="A412" s="32"/>
      <c r="B412" s="65"/>
      <c r="C412" s="65"/>
      <c r="D412" s="32"/>
      <c r="E412" s="32"/>
      <c r="F412" s="32"/>
      <c r="G412" s="65"/>
      <c r="H412" s="67"/>
      <c r="I412" s="67"/>
      <c r="J412" s="32"/>
      <c r="K412" s="68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 ht="15.75" customHeight="1">
      <c r="A413" s="32"/>
      <c r="B413" s="65"/>
      <c r="C413" s="65"/>
      <c r="D413" s="32"/>
      <c r="E413" s="32"/>
      <c r="F413" s="32"/>
      <c r="G413" s="65"/>
      <c r="H413" s="67"/>
      <c r="I413" s="67"/>
      <c r="J413" s="32"/>
      <c r="K413" s="68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 ht="15.75" customHeight="1">
      <c r="A414" s="32"/>
      <c r="B414" s="65"/>
      <c r="C414" s="65"/>
      <c r="D414" s="32"/>
      <c r="E414" s="32"/>
      <c r="F414" s="32"/>
      <c r="G414" s="65"/>
      <c r="H414" s="67"/>
      <c r="I414" s="67"/>
      <c r="J414" s="32"/>
      <c r="K414" s="68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 ht="15.75" customHeight="1">
      <c r="A415" s="32"/>
      <c r="B415" s="65"/>
      <c r="C415" s="65"/>
      <c r="D415" s="32"/>
      <c r="E415" s="32"/>
      <c r="F415" s="32"/>
      <c r="G415" s="65"/>
      <c r="H415" s="67"/>
      <c r="I415" s="67"/>
      <c r="J415" s="32"/>
      <c r="K415" s="68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 ht="15.75" customHeight="1">
      <c r="A416" s="32"/>
      <c r="B416" s="65"/>
      <c r="C416" s="65"/>
      <c r="D416" s="32"/>
      <c r="E416" s="32"/>
      <c r="F416" s="32"/>
      <c r="G416" s="65"/>
      <c r="H416" s="67"/>
      <c r="I416" s="67"/>
      <c r="J416" s="32"/>
      <c r="K416" s="68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 ht="15.75" customHeight="1">
      <c r="A417" s="32"/>
      <c r="B417" s="65"/>
      <c r="C417" s="65"/>
      <c r="D417" s="32"/>
      <c r="E417" s="32"/>
      <c r="F417" s="32"/>
      <c r="G417" s="65"/>
      <c r="H417" s="67"/>
      <c r="I417" s="67"/>
      <c r="J417" s="32"/>
      <c r="K417" s="68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 ht="15.75" customHeight="1">
      <c r="A418" s="32"/>
      <c r="B418" s="65"/>
      <c r="C418" s="65"/>
      <c r="D418" s="32"/>
      <c r="E418" s="32"/>
      <c r="F418" s="32"/>
      <c r="G418" s="65"/>
      <c r="H418" s="67"/>
      <c r="I418" s="67"/>
      <c r="J418" s="32"/>
      <c r="K418" s="68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 ht="15.75" customHeight="1">
      <c r="A419" s="32"/>
      <c r="B419" s="65"/>
      <c r="C419" s="65"/>
      <c r="D419" s="32"/>
      <c r="E419" s="32"/>
      <c r="F419" s="32"/>
      <c r="G419" s="65"/>
      <c r="H419" s="67"/>
      <c r="I419" s="67"/>
      <c r="J419" s="32"/>
      <c r="K419" s="68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 ht="15.75" customHeight="1">
      <c r="A420" s="32"/>
      <c r="B420" s="65"/>
      <c r="C420" s="65"/>
      <c r="D420" s="32"/>
      <c r="E420" s="32"/>
      <c r="F420" s="32"/>
      <c r="G420" s="65"/>
      <c r="H420" s="67"/>
      <c r="I420" s="67"/>
      <c r="J420" s="32"/>
      <c r="K420" s="68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 ht="15.75" customHeight="1">
      <c r="A421" s="32"/>
      <c r="B421" s="65"/>
      <c r="C421" s="65"/>
      <c r="D421" s="32"/>
      <c r="E421" s="32"/>
      <c r="F421" s="32"/>
      <c r="G421" s="65"/>
      <c r="H421" s="67"/>
      <c r="I421" s="67"/>
      <c r="J421" s="32"/>
      <c r="K421" s="68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 ht="15.75" customHeight="1">
      <c r="A422" s="32"/>
      <c r="B422" s="65"/>
      <c r="C422" s="65"/>
      <c r="D422" s="32"/>
      <c r="E422" s="32"/>
      <c r="F422" s="32"/>
      <c r="G422" s="65"/>
      <c r="H422" s="67"/>
      <c r="I422" s="67"/>
      <c r="J422" s="32"/>
      <c r="K422" s="68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 ht="15.75" customHeight="1">
      <c r="A423" s="32"/>
      <c r="B423" s="65"/>
      <c r="C423" s="65"/>
      <c r="D423" s="32"/>
      <c r="E423" s="32"/>
      <c r="F423" s="32"/>
      <c r="G423" s="65"/>
      <c r="H423" s="67"/>
      <c r="I423" s="67"/>
      <c r="J423" s="32"/>
      <c r="K423" s="68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 ht="15.75" customHeight="1">
      <c r="A424" s="32"/>
      <c r="B424" s="65"/>
      <c r="C424" s="65"/>
      <c r="D424" s="32"/>
      <c r="E424" s="32"/>
      <c r="F424" s="32"/>
      <c r="G424" s="65"/>
      <c r="H424" s="67"/>
      <c r="I424" s="67"/>
      <c r="J424" s="32"/>
      <c r="K424" s="68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 ht="15.75" customHeight="1">
      <c r="A425" s="32"/>
      <c r="B425" s="65"/>
      <c r="C425" s="65"/>
      <c r="D425" s="32"/>
      <c r="E425" s="32"/>
      <c r="F425" s="32"/>
      <c r="G425" s="65"/>
      <c r="H425" s="67"/>
      <c r="I425" s="67"/>
      <c r="J425" s="32"/>
      <c r="K425" s="68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 ht="15.75" customHeight="1">
      <c r="A426" s="32"/>
      <c r="B426" s="65"/>
      <c r="C426" s="65"/>
      <c r="D426" s="32"/>
      <c r="E426" s="32"/>
      <c r="F426" s="32"/>
      <c r="G426" s="65"/>
      <c r="H426" s="67"/>
      <c r="I426" s="67"/>
      <c r="J426" s="32"/>
      <c r="K426" s="68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 ht="15.75" customHeight="1">
      <c r="A427" s="32"/>
      <c r="B427" s="65"/>
      <c r="C427" s="65"/>
      <c r="D427" s="32"/>
      <c r="E427" s="32"/>
      <c r="F427" s="32"/>
      <c r="G427" s="65"/>
      <c r="H427" s="67"/>
      <c r="I427" s="67"/>
      <c r="J427" s="32"/>
      <c r="K427" s="68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 ht="15.75" customHeight="1">
      <c r="A428" s="32"/>
      <c r="B428" s="65"/>
      <c r="C428" s="65"/>
      <c r="D428" s="32"/>
      <c r="E428" s="32"/>
      <c r="F428" s="32"/>
      <c r="G428" s="65"/>
      <c r="H428" s="67"/>
      <c r="I428" s="67"/>
      <c r="J428" s="32"/>
      <c r="K428" s="68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 ht="15.75" customHeight="1">
      <c r="A429" s="32"/>
      <c r="B429" s="65"/>
      <c r="C429" s="65"/>
      <c r="D429" s="32"/>
      <c r="E429" s="32"/>
      <c r="F429" s="32"/>
      <c r="G429" s="65"/>
      <c r="H429" s="67"/>
      <c r="I429" s="67"/>
      <c r="J429" s="32"/>
      <c r="K429" s="68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 ht="15.75" customHeight="1">
      <c r="A430" s="32"/>
      <c r="B430" s="65"/>
      <c r="C430" s="65"/>
      <c r="D430" s="32"/>
      <c r="E430" s="32"/>
      <c r="F430" s="32"/>
      <c r="G430" s="65"/>
      <c r="H430" s="67"/>
      <c r="I430" s="67"/>
      <c r="J430" s="32"/>
      <c r="K430" s="68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 ht="15.75" customHeight="1">
      <c r="A431" s="32"/>
      <c r="B431" s="65"/>
      <c r="C431" s="65"/>
      <c r="D431" s="32"/>
      <c r="E431" s="32"/>
      <c r="F431" s="32"/>
      <c r="G431" s="65"/>
      <c r="H431" s="67"/>
      <c r="I431" s="67"/>
      <c r="J431" s="32"/>
      <c r="K431" s="68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 ht="15.75" customHeight="1">
      <c r="A432" s="32"/>
      <c r="B432" s="65"/>
      <c r="C432" s="65"/>
      <c r="D432" s="32"/>
      <c r="E432" s="32"/>
      <c r="F432" s="32"/>
      <c r="G432" s="65"/>
      <c r="H432" s="67"/>
      <c r="I432" s="67"/>
      <c r="J432" s="32"/>
      <c r="K432" s="68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 ht="15.75" customHeight="1">
      <c r="A433" s="32"/>
      <c r="B433" s="65"/>
      <c r="C433" s="65"/>
      <c r="D433" s="32"/>
      <c r="E433" s="32"/>
      <c r="F433" s="32"/>
      <c r="G433" s="65"/>
      <c r="H433" s="67"/>
      <c r="I433" s="67"/>
      <c r="J433" s="32"/>
      <c r="K433" s="68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 ht="15.75" customHeight="1">
      <c r="A434" s="32"/>
      <c r="B434" s="65"/>
      <c r="C434" s="65"/>
      <c r="D434" s="32"/>
      <c r="E434" s="32"/>
      <c r="F434" s="32"/>
      <c r="G434" s="65"/>
      <c r="H434" s="67"/>
      <c r="I434" s="67"/>
      <c r="J434" s="32"/>
      <c r="K434" s="68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 ht="15.75" customHeight="1">
      <c r="A435" s="32"/>
      <c r="B435" s="65"/>
      <c r="C435" s="65"/>
      <c r="D435" s="32"/>
      <c r="E435" s="32"/>
      <c r="F435" s="32"/>
      <c r="G435" s="65"/>
      <c r="H435" s="67"/>
      <c r="I435" s="67"/>
      <c r="J435" s="32"/>
      <c r="K435" s="68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 ht="15.75" customHeight="1">
      <c r="A436" s="32"/>
      <c r="B436" s="65"/>
      <c r="C436" s="65"/>
      <c r="D436" s="32"/>
      <c r="E436" s="32"/>
      <c r="F436" s="32"/>
      <c r="G436" s="65"/>
      <c r="H436" s="67"/>
      <c r="I436" s="67"/>
      <c r="J436" s="32"/>
      <c r="K436" s="68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 ht="15.75" customHeight="1">
      <c r="A437" s="32"/>
      <c r="B437" s="65"/>
      <c r="C437" s="65"/>
      <c r="D437" s="32"/>
      <c r="E437" s="32"/>
      <c r="F437" s="32"/>
      <c r="G437" s="65"/>
      <c r="H437" s="67"/>
      <c r="I437" s="67"/>
      <c r="J437" s="32"/>
      <c r="K437" s="68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 ht="15.75" customHeight="1">
      <c r="A438" s="32"/>
      <c r="B438" s="65"/>
      <c r="C438" s="65"/>
      <c r="D438" s="32"/>
      <c r="E438" s="32"/>
      <c r="F438" s="32"/>
      <c r="G438" s="65"/>
      <c r="H438" s="67"/>
      <c r="I438" s="67"/>
      <c r="J438" s="32"/>
      <c r="K438" s="68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 ht="15.75" customHeight="1">
      <c r="A439" s="32"/>
      <c r="B439" s="65"/>
      <c r="C439" s="65"/>
      <c r="D439" s="32"/>
      <c r="E439" s="32"/>
      <c r="F439" s="32"/>
      <c r="G439" s="65"/>
      <c r="H439" s="67"/>
      <c r="I439" s="67"/>
      <c r="J439" s="32"/>
      <c r="K439" s="68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 ht="15.75" customHeight="1">
      <c r="A440" s="32"/>
      <c r="B440" s="65"/>
      <c r="C440" s="65"/>
      <c r="D440" s="32"/>
      <c r="E440" s="32"/>
      <c r="F440" s="32"/>
      <c r="G440" s="65"/>
      <c r="H440" s="67"/>
      <c r="I440" s="67"/>
      <c r="J440" s="32"/>
      <c r="K440" s="68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 ht="15.75" customHeight="1">
      <c r="A441" s="32"/>
      <c r="B441" s="65"/>
      <c r="C441" s="65"/>
      <c r="D441" s="32"/>
      <c r="E441" s="32"/>
      <c r="F441" s="32"/>
      <c r="G441" s="65"/>
      <c r="H441" s="67"/>
      <c r="I441" s="67"/>
      <c r="J441" s="32"/>
      <c r="K441" s="68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 ht="15.75" customHeight="1">
      <c r="A442" s="32"/>
      <c r="B442" s="65"/>
      <c r="C442" s="65"/>
      <c r="D442" s="32"/>
      <c r="E442" s="32"/>
      <c r="F442" s="32"/>
      <c r="G442" s="65"/>
      <c r="H442" s="67"/>
      <c r="I442" s="67"/>
      <c r="J442" s="32"/>
      <c r="K442" s="68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 ht="15.75" customHeight="1">
      <c r="A443" s="32"/>
      <c r="B443" s="65"/>
      <c r="C443" s="65"/>
      <c r="D443" s="32"/>
      <c r="E443" s="32"/>
      <c r="F443" s="32"/>
      <c r="G443" s="65"/>
      <c r="H443" s="67"/>
      <c r="I443" s="67"/>
      <c r="J443" s="32"/>
      <c r="K443" s="68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 ht="15.75" customHeight="1">
      <c r="A444" s="32"/>
      <c r="B444" s="65"/>
      <c r="C444" s="65"/>
      <c r="D444" s="32"/>
      <c r="E444" s="32"/>
      <c r="F444" s="32"/>
      <c r="G444" s="65"/>
      <c r="H444" s="67"/>
      <c r="I444" s="67"/>
      <c r="J444" s="32"/>
      <c r="K444" s="68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 ht="15.75" customHeight="1">
      <c r="A445" s="32"/>
      <c r="B445" s="65"/>
      <c r="C445" s="65"/>
      <c r="D445" s="32"/>
      <c r="E445" s="32"/>
      <c r="F445" s="32"/>
      <c r="G445" s="65"/>
      <c r="H445" s="67"/>
      <c r="I445" s="67"/>
      <c r="J445" s="32"/>
      <c r="K445" s="68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 ht="15.75" customHeight="1">
      <c r="A446" s="32"/>
      <c r="B446" s="65"/>
      <c r="C446" s="65"/>
      <c r="D446" s="32"/>
      <c r="E446" s="32"/>
      <c r="F446" s="32"/>
      <c r="G446" s="65"/>
      <c r="H446" s="67"/>
      <c r="I446" s="67"/>
      <c r="J446" s="32"/>
      <c r="K446" s="68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 ht="15.75" customHeight="1">
      <c r="A447" s="32"/>
      <c r="B447" s="65"/>
      <c r="C447" s="65"/>
      <c r="D447" s="32"/>
      <c r="E447" s="32"/>
      <c r="F447" s="32"/>
      <c r="G447" s="65"/>
      <c r="H447" s="67"/>
      <c r="I447" s="67"/>
      <c r="J447" s="32"/>
      <c r="K447" s="68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 ht="15.75" customHeight="1">
      <c r="A448" s="32"/>
      <c r="B448" s="65"/>
      <c r="C448" s="65"/>
      <c r="D448" s="32"/>
      <c r="E448" s="32"/>
      <c r="F448" s="32"/>
      <c r="G448" s="65"/>
      <c r="H448" s="67"/>
      <c r="I448" s="67"/>
      <c r="J448" s="32"/>
      <c r="K448" s="68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 ht="15.75" customHeight="1">
      <c r="A449" s="32"/>
      <c r="B449" s="65"/>
      <c r="C449" s="65"/>
      <c r="D449" s="32"/>
      <c r="E449" s="32"/>
      <c r="F449" s="32"/>
      <c r="G449" s="65"/>
      <c r="H449" s="67"/>
      <c r="I449" s="67"/>
      <c r="J449" s="32"/>
      <c r="K449" s="68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 ht="15.75" customHeight="1">
      <c r="A450" s="32"/>
      <c r="B450" s="65"/>
      <c r="C450" s="65"/>
      <c r="D450" s="32"/>
      <c r="E450" s="32"/>
      <c r="F450" s="32"/>
      <c r="G450" s="65"/>
      <c r="H450" s="67"/>
      <c r="I450" s="67"/>
      <c r="J450" s="32"/>
      <c r="K450" s="68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 ht="15.75" customHeight="1">
      <c r="A451" s="32"/>
      <c r="B451" s="65"/>
      <c r="C451" s="65"/>
      <c r="D451" s="32"/>
      <c r="E451" s="32"/>
      <c r="F451" s="32"/>
      <c r="G451" s="65"/>
      <c r="H451" s="67"/>
      <c r="I451" s="67"/>
      <c r="J451" s="32"/>
      <c r="K451" s="68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 ht="15.75" customHeight="1">
      <c r="A452" s="32"/>
      <c r="B452" s="65"/>
      <c r="C452" s="65"/>
      <c r="D452" s="32"/>
      <c r="E452" s="32"/>
      <c r="F452" s="32"/>
      <c r="G452" s="65"/>
      <c r="H452" s="67"/>
      <c r="I452" s="67"/>
      <c r="J452" s="32"/>
      <c r="K452" s="68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 ht="15.75" customHeight="1">
      <c r="A453" s="32"/>
      <c r="B453" s="65"/>
      <c r="C453" s="65"/>
      <c r="D453" s="32"/>
      <c r="E453" s="32"/>
      <c r="F453" s="32"/>
      <c r="G453" s="65"/>
      <c r="H453" s="67"/>
      <c r="I453" s="67"/>
      <c r="J453" s="32"/>
      <c r="K453" s="68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 ht="15.75" customHeight="1">
      <c r="A454" s="32"/>
      <c r="B454" s="65"/>
      <c r="C454" s="65"/>
      <c r="D454" s="32"/>
      <c r="E454" s="32"/>
      <c r="F454" s="32"/>
      <c r="G454" s="65"/>
      <c r="H454" s="67"/>
      <c r="I454" s="67"/>
      <c r="J454" s="32"/>
      <c r="K454" s="68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 ht="15.75" customHeight="1">
      <c r="A455" s="32"/>
      <c r="B455" s="65"/>
      <c r="C455" s="65"/>
      <c r="D455" s="32"/>
      <c r="E455" s="32"/>
      <c r="F455" s="32"/>
      <c r="G455" s="65"/>
      <c r="H455" s="67"/>
      <c r="I455" s="67"/>
      <c r="J455" s="32"/>
      <c r="K455" s="68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 ht="15.75" customHeight="1">
      <c r="A456" s="32"/>
      <c r="B456" s="65"/>
      <c r="C456" s="65"/>
      <c r="D456" s="32"/>
      <c r="E456" s="32"/>
      <c r="F456" s="32"/>
      <c r="G456" s="65"/>
      <c r="H456" s="67"/>
      <c r="I456" s="67"/>
      <c r="J456" s="32"/>
      <c r="K456" s="68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 ht="15.75" customHeight="1">
      <c r="A457" s="32"/>
      <c r="B457" s="65"/>
      <c r="C457" s="65"/>
      <c r="D457" s="32"/>
      <c r="E457" s="32"/>
      <c r="F457" s="32"/>
      <c r="G457" s="65"/>
      <c r="H457" s="67"/>
      <c r="I457" s="67"/>
      <c r="J457" s="32"/>
      <c r="K457" s="68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 ht="15.75" customHeight="1">
      <c r="A458" s="32"/>
      <c r="B458" s="65"/>
      <c r="C458" s="65"/>
      <c r="D458" s="32"/>
      <c r="E458" s="32"/>
      <c r="F458" s="32"/>
      <c r="G458" s="65"/>
      <c r="H458" s="67"/>
      <c r="I458" s="67"/>
      <c r="J458" s="32"/>
      <c r="K458" s="68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 ht="15.75" customHeight="1">
      <c r="A459" s="32"/>
      <c r="B459" s="65"/>
      <c r="C459" s="65"/>
      <c r="D459" s="32"/>
      <c r="E459" s="32"/>
      <c r="F459" s="32"/>
      <c r="G459" s="65"/>
      <c r="H459" s="67"/>
      <c r="I459" s="67"/>
      <c r="J459" s="32"/>
      <c r="K459" s="68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 ht="15.75" customHeight="1">
      <c r="A460" s="32"/>
      <c r="B460" s="65"/>
      <c r="C460" s="65"/>
      <c r="D460" s="32"/>
      <c r="E460" s="32"/>
      <c r="F460" s="32"/>
      <c r="G460" s="65"/>
      <c r="H460" s="67"/>
      <c r="I460" s="67"/>
      <c r="J460" s="32"/>
      <c r="K460" s="68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 ht="15.75" customHeight="1">
      <c r="A461" s="32"/>
      <c r="B461" s="65"/>
      <c r="C461" s="65"/>
      <c r="D461" s="32"/>
      <c r="E461" s="32"/>
      <c r="F461" s="32"/>
      <c r="G461" s="65"/>
      <c r="H461" s="67"/>
      <c r="I461" s="67"/>
      <c r="J461" s="32"/>
      <c r="K461" s="68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ht="15.75" customHeight="1">
      <c r="A462" s="32"/>
      <c r="B462" s="65"/>
      <c r="C462" s="65"/>
      <c r="D462" s="32"/>
      <c r="E462" s="32"/>
      <c r="F462" s="32"/>
      <c r="G462" s="65"/>
      <c r="H462" s="67"/>
      <c r="I462" s="67"/>
      <c r="J462" s="32"/>
      <c r="K462" s="68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 ht="15.75" customHeight="1">
      <c r="A463" s="32"/>
      <c r="B463" s="65"/>
      <c r="C463" s="65"/>
      <c r="D463" s="32"/>
      <c r="E463" s="32"/>
      <c r="F463" s="32"/>
      <c r="G463" s="65"/>
      <c r="H463" s="67"/>
      <c r="I463" s="67"/>
      <c r="J463" s="32"/>
      <c r="K463" s="68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 ht="15.75" customHeight="1">
      <c r="A464" s="32"/>
      <c r="B464" s="65"/>
      <c r="C464" s="65"/>
      <c r="D464" s="32"/>
      <c r="E464" s="32"/>
      <c r="F464" s="32"/>
      <c r="G464" s="65"/>
      <c r="H464" s="67"/>
      <c r="I464" s="67"/>
      <c r="J464" s="32"/>
      <c r="K464" s="68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 ht="15.75" customHeight="1">
      <c r="A465" s="32"/>
      <c r="B465" s="65"/>
      <c r="C465" s="65"/>
      <c r="D465" s="32"/>
      <c r="E465" s="32"/>
      <c r="F465" s="32"/>
      <c r="G465" s="65"/>
      <c r="H465" s="67"/>
      <c r="I465" s="67"/>
      <c r="J465" s="32"/>
      <c r="K465" s="68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 ht="15.75" customHeight="1">
      <c r="A466" s="32"/>
      <c r="B466" s="65"/>
      <c r="C466" s="65"/>
      <c r="D466" s="32"/>
      <c r="E466" s="32"/>
      <c r="F466" s="32"/>
      <c r="G466" s="65"/>
      <c r="H466" s="67"/>
      <c r="I466" s="67"/>
      <c r="J466" s="32"/>
      <c r="K466" s="68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 ht="15.75" customHeight="1">
      <c r="A467" s="32"/>
      <c r="B467" s="65"/>
      <c r="C467" s="65"/>
      <c r="D467" s="32"/>
      <c r="E467" s="32"/>
      <c r="F467" s="32"/>
      <c r="G467" s="65"/>
      <c r="H467" s="67"/>
      <c r="I467" s="67"/>
      <c r="J467" s="32"/>
      <c r="K467" s="68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 ht="15.75" customHeight="1">
      <c r="A468" s="32"/>
      <c r="B468" s="65"/>
      <c r="C468" s="65"/>
      <c r="D468" s="32"/>
      <c r="E468" s="32"/>
      <c r="F468" s="32"/>
      <c r="G468" s="65"/>
      <c r="H468" s="67"/>
      <c r="I468" s="67"/>
      <c r="J468" s="32"/>
      <c r="K468" s="68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 ht="15.75" customHeight="1">
      <c r="A469" s="32"/>
      <c r="B469" s="65"/>
      <c r="C469" s="65"/>
      <c r="D469" s="32"/>
      <c r="E469" s="32"/>
      <c r="F469" s="32"/>
      <c r="G469" s="65"/>
      <c r="H469" s="67"/>
      <c r="I469" s="67"/>
      <c r="J469" s="32"/>
      <c r="K469" s="68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 ht="15.75" customHeight="1">
      <c r="A470" s="32"/>
      <c r="B470" s="65"/>
      <c r="C470" s="65"/>
      <c r="D470" s="32"/>
      <c r="E470" s="32"/>
      <c r="F470" s="32"/>
      <c r="G470" s="65"/>
      <c r="H470" s="67"/>
      <c r="I470" s="67"/>
      <c r="J470" s="32"/>
      <c r="K470" s="68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 ht="15.75" customHeight="1">
      <c r="A471" s="32"/>
      <c r="B471" s="65"/>
      <c r="C471" s="65"/>
      <c r="D471" s="32"/>
      <c r="E471" s="32"/>
      <c r="F471" s="32"/>
      <c r="G471" s="65"/>
      <c r="H471" s="67"/>
      <c r="I471" s="67"/>
      <c r="J471" s="32"/>
      <c r="K471" s="68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 ht="15.75" customHeight="1">
      <c r="A472" s="32"/>
      <c r="B472" s="65"/>
      <c r="C472" s="65"/>
      <c r="D472" s="32"/>
      <c r="E472" s="32"/>
      <c r="F472" s="32"/>
      <c r="G472" s="65"/>
      <c r="H472" s="67"/>
      <c r="I472" s="67"/>
      <c r="J472" s="32"/>
      <c r="K472" s="68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 ht="15.75" customHeight="1">
      <c r="A473" s="32"/>
      <c r="B473" s="65"/>
      <c r="C473" s="65"/>
      <c r="D473" s="32"/>
      <c r="E473" s="32"/>
      <c r="F473" s="32"/>
      <c r="G473" s="65"/>
      <c r="H473" s="67"/>
      <c r="I473" s="67"/>
      <c r="J473" s="32"/>
      <c r="K473" s="68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 ht="15.75" customHeight="1">
      <c r="A474" s="32"/>
      <c r="B474" s="65"/>
      <c r="C474" s="65"/>
      <c r="D474" s="32"/>
      <c r="E474" s="32"/>
      <c r="F474" s="32"/>
      <c r="G474" s="65"/>
      <c r="H474" s="67"/>
      <c r="I474" s="67"/>
      <c r="J474" s="32"/>
      <c r="K474" s="68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 ht="15.75" customHeight="1">
      <c r="A475" s="32"/>
      <c r="B475" s="65"/>
      <c r="C475" s="65"/>
      <c r="D475" s="32"/>
      <c r="E475" s="32"/>
      <c r="F475" s="32"/>
      <c r="G475" s="65"/>
      <c r="H475" s="67"/>
      <c r="I475" s="67"/>
      <c r="J475" s="32"/>
      <c r="K475" s="68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 ht="15.75" customHeight="1">
      <c r="A476" s="32"/>
      <c r="B476" s="65"/>
      <c r="C476" s="65"/>
      <c r="D476" s="32"/>
      <c r="E476" s="32"/>
      <c r="F476" s="32"/>
      <c r="G476" s="65"/>
      <c r="H476" s="67"/>
      <c r="I476" s="67"/>
      <c r="J476" s="32"/>
      <c r="K476" s="68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 ht="15.75" customHeight="1">
      <c r="A477" s="32"/>
      <c r="B477" s="65"/>
      <c r="C477" s="65"/>
      <c r="D477" s="32"/>
      <c r="E477" s="32"/>
      <c r="F477" s="32"/>
      <c r="G477" s="65"/>
      <c r="H477" s="67"/>
      <c r="I477" s="67"/>
      <c r="J477" s="32"/>
      <c r="K477" s="68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 ht="15.75" customHeight="1">
      <c r="A478" s="32"/>
      <c r="B478" s="65"/>
      <c r="C478" s="65"/>
      <c r="D478" s="32"/>
      <c r="E478" s="32"/>
      <c r="F478" s="32"/>
      <c r="G478" s="65"/>
      <c r="H478" s="67"/>
      <c r="I478" s="67"/>
      <c r="J478" s="32"/>
      <c r="K478" s="68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 ht="15.75" customHeight="1">
      <c r="A479" s="32"/>
      <c r="B479" s="65"/>
      <c r="C479" s="65"/>
      <c r="D479" s="32"/>
      <c r="E479" s="32"/>
      <c r="F479" s="32"/>
      <c r="G479" s="65"/>
      <c r="H479" s="67"/>
      <c r="I479" s="67"/>
      <c r="J479" s="32"/>
      <c r="K479" s="68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 ht="15.75" customHeight="1">
      <c r="A480" s="32"/>
      <c r="B480" s="65"/>
      <c r="C480" s="65"/>
      <c r="D480" s="32"/>
      <c r="E480" s="32"/>
      <c r="F480" s="32"/>
      <c r="G480" s="65"/>
      <c r="H480" s="67"/>
      <c r="I480" s="67"/>
      <c r="J480" s="32"/>
      <c r="K480" s="68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 ht="15.75" customHeight="1">
      <c r="A481" s="32"/>
      <c r="B481" s="65"/>
      <c r="C481" s="65"/>
      <c r="D481" s="32"/>
      <c r="E481" s="32"/>
      <c r="F481" s="32"/>
      <c r="G481" s="65"/>
      <c r="H481" s="67"/>
      <c r="I481" s="67"/>
      <c r="J481" s="32"/>
      <c r="K481" s="68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 ht="15.75" customHeight="1">
      <c r="A482" s="32"/>
      <c r="B482" s="65"/>
      <c r="C482" s="65"/>
      <c r="D482" s="32"/>
      <c r="E482" s="32"/>
      <c r="F482" s="32"/>
      <c r="G482" s="65"/>
      <c r="H482" s="67"/>
      <c r="I482" s="67"/>
      <c r="J482" s="32"/>
      <c r="K482" s="68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 ht="15.75" customHeight="1">
      <c r="A483" s="32"/>
      <c r="B483" s="65"/>
      <c r="C483" s="65"/>
      <c r="D483" s="32"/>
      <c r="E483" s="32"/>
      <c r="F483" s="32"/>
      <c r="G483" s="65"/>
      <c r="H483" s="67"/>
      <c r="I483" s="67"/>
      <c r="J483" s="32"/>
      <c r="K483" s="68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 ht="15.75" customHeight="1">
      <c r="A484" s="32"/>
      <c r="B484" s="65"/>
      <c r="C484" s="65"/>
      <c r="D484" s="32"/>
      <c r="E484" s="32"/>
      <c r="F484" s="32"/>
      <c r="G484" s="65"/>
      <c r="H484" s="67"/>
      <c r="I484" s="67"/>
      <c r="J484" s="32"/>
      <c r="K484" s="68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 ht="15.75" customHeight="1">
      <c r="A485" s="32"/>
      <c r="B485" s="65"/>
      <c r="C485" s="65"/>
      <c r="D485" s="32"/>
      <c r="E485" s="32"/>
      <c r="F485" s="32"/>
      <c r="G485" s="65"/>
      <c r="H485" s="67"/>
      <c r="I485" s="67"/>
      <c r="J485" s="32"/>
      <c r="K485" s="68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 ht="15.75" customHeight="1">
      <c r="A486" s="32"/>
      <c r="B486" s="65"/>
      <c r="C486" s="65"/>
      <c r="D486" s="32"/>
      <c r="E486" s="32"/>
      <c r="F486" s="32"/>
      <c r="G486" s="65"/>
      <c r="H486" s="67"/>
      <c r="I486" s="67"/>
      <c r="J486" s="32"/>
      <c r="K486" s="68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 ht="15.75" customHeight="1">
      <c r="A487" s="32"/>
      <c r="B487" s="65"/>
      <c r="C487" s="65"/>
      <c r="D487" s="32"/>
      <c r="E487" s="32"/>
      <c r="F487" s="32"/>
      <c r="G487" s="65"/>
      <c r="H487" s="67"/>
      <c r="I487" s="67"/>
      <c r="J487" s="32"/>
      <c r="K487" s="68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 ht="15.75" customHeight="1">
      <c r="A488" s="32"/>
      <c r="B488" s="65"/>
      <c r="C488" s="65"/>
      <c r="D488" s="32"/>
      <c r="E488" s="32"/>
      <c r="F488" s="32"/>
      <c r="G488" s="65"/>
      <c r="H488" s="67"/>
      <c r="I488" s="67"/>
      <c r="J488" s="32"/>
      <c r="K488" s="68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 ht="15.75" customHeight="1">
      <c r="A489" s="32"/>
      <c r="B489" s="65"/>
      <c r="C489" s="65"/>
      <c r="D489" s="32"/>
      <c r="E489" s="32"/>
      <c r="F489" s="32"/>
      <c r="G489" s="65"/>
      <c r="H489" s="67"/>
      <c r="I489" s="67"/>
      <c r="J489" s="32"/>
      <c r="K489" s="68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 ht="15.75" customHeight="1">
      <c r="A490" s="32"/>
      <c r="B490" s="65"/>
      <c r="C490" s="65"/>
      <c r="D490" s="32"/>
      <c r="E490" s="32"/>
      <c r="F490" s="32"/>
      <c r="G490" s="65"/>
      <c r="H490" s="67"/>
      <c r="I490" s="67"/>
      <c r="J490" s="32"/>
      <c r="K490" s="68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 ht="15.75" customHeight="1">
      <c r="A491" s="32"/>
      <c r="B491" s="65"/>
      <c r="C491" s="65"/>
      <c r="D491" s="32"/>
      <c r="E491" s="32"/>
      <c r="F491" s="32"/>
      <c r="G491" s="65"/>
      <c r="H491" s="67"/>
      <c r="I491" s="67"/>
      <c r="J491" s="32"/>
      <c r="K491" s="68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 ht="15.75" customHeight="1">
      <c r="A492" s="32"/>
      <c r="B492" s="65"/>
      <c r="C492" s="65"/>
      <c r="D492" s="32"/>
      <c r="E492" s="32"/>
      <c r="F492" s="32"/>
      <c r="G492" s="65"/>
      <c r="H492" s="67"/>
      <c r="I492" s="67"/>
      <c r="J492" s="32"/>
      <c r="K492" s="68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 ht="15.75" customHeight="1">
      <c r="A493" s="32"/>
      <c r="B493" s="65"/>
      <c r="C493" s="65"/>
      <c r="D493" s="32"/>
      <c r="E493" s="32"/>
      <c r="F493" s="32"/>
      <c r="G493" s="65"/>
      <c r="H493" s="67"/>
      <c r="I493" s="67"/>
      <c r="J493" s="32"/>
      <c r="K493" s="68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 ht="15.75" customHeight="1">
      <c r="A494" s="32"/>
      <c r="B494" s="65"/>
      <c r="C494" s="65"/>
      <c r="D494" s="32"/>
      <c r="E494" s="32"/>
      <c r="F494" s="32"/>
      <c r="G494" s="65"/>
      <c r="H494" s="67"/>
      <c r="I494" s="67"/>
      <c r="J494" s="32"/>
      <c r="K494" s="68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 ht="15.75" customHeight="1">
      <c r="A495" s="32"/>
      <c r="B495" s="65"/>
      <c r="C495" s="65"/>
      <c r="D495" s="32"/>
      <c r="E495" s="32"/>
      <c r="F495" s="32"/>
      <c r="G495" s="65"/>
      <c r="H495" s="67"/>
      <c r="I495" s="67"/>
      <c r="J495" s="32"/>
      <c r="K495" s="68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 ht="15.75" customHeight="1">
      <c r="A496" s="32"/>
      <c r="B496" s="65"/>
      <c r="C496" s="65"/>
      <c r="D496" s="32"/>
      <c r="E496" s="32"/>
      <c r="F496" s="32"/>
      <c r="G496" s="65"/>
      <c r="H496" s="67"/>
      <c r="I496" s="67"/>
      <c r="J496" s="32"/>
      <c r="K496" s="68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 ht="15.75" customHeight="1">
      <c r="A497" s="32"/>
      <c r="B497" s="65"/>
      <c r="C497" s="65"/>
      <c r="D497" s="32"/>
      <c r="E497" s="32"/>
      <c r="F497" s="32"/>
      <c r="G497" s="65"/>
      <c r="H497" s="67"/>
      <c r="I497" s="67"/>
      <c r="J497" s="32"/>
      <c r="K497" s="68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 ht="15.75" customHeight="1">
      <c r="A498" s="32"/>
      <c r="B498" s="65"/>
      <c r="C498" s="65"/>
      <c r="D498" s="32"/>
      <c r="E498" s="32"/>
      <c r="F498" s="32"/>
      <c r="G498" s="65"/>
      <c r="H498" s="67"/>
      <c r="I498" s="67"/>
      <c r="J498" s="32"/>
      <c r="K498" s="68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 ht="15.75" customHeight="1">
      <c r="A499" s="32"/>
      <c r="B499" s="65"/>
      <c r="C499" s="65"/>
      <c r="D499" s="32"/>
      <c r="E499" s="32"/>
      <c r="F499" s="32"/>
      <c r="G499" s="65"/>
      <c r="H499" s="67"/>
      <c r="I499" s="67"/>
      <c r="J499" s="32"/>
      <c r="K499" s="68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 ht="15.75" customHeight="1">
      <c r="A500" s="32"/>
      <c r="B500" s="65"/>
      <c r="C500" s="65"/>
      <c r="D500" s="32"/>
      <c r="E500" s="32"/>
      <c r="F500" s="32"/>
      <c r="G500" s="65"/>
      <c r="H500" s="67"/>
      <c r="I500" s="67"/>
      <c r="J500" s="32"/>
      <c r="K500" s="68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 ht="15.75" customHeight="1">
      <c r="A501" s="32"/>
      <c r="B501" s="65"/>
      <c r="C501" s="65"/>
      <c r="D501" s="32"/>
      <c r="E501" s="32"/>
      <c r="F501" s="32"/>
      <c r="G501" s="65"/>
      <c r="H501" s="67"/>
      <c r="I501" s="67"/>
      <c r="J501" s="32"/>
      <c r="K501" s="68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 ht="15.75" customHeight="1">
      <c r="A502" s="32"/>
      <c r="B502" s="65"/>
      <c r="C502" s="65"/>
      <c r="D502" s="32"/>
      <c r="E502" s="32"/>
      <c r="F502" s="32"/>
      <c r="G502" s="65"/>
      <c r="H502" s="67"/>
      <c r="I502" s="67"/>
      <c r="J502" s="32"/>
      <c r="K502" s="68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 ht="15.75" customHeight="1">
      <c r="A503" s="32"/>
      <c r="B503" s="65"/>
      <c r="C503" s="65"/>
      <c r="D503" s="32"/>
      <c r="E503" s="32"/>
      <c r="F503" s="32"/>
      <c r="G503" s="65"/>
      <c r="H503" s="67"/>
      <c r="I503" s="67"/>
      <c r="J503" s="32"/>
      <c r="K503" s="68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 ht="15.75" customHeight="1">
      <c r="A504" s="32"/>
      <c r="B504" s="65"/>
      <c r="C504" s="65"/>
      <c r="D504" s="32"/>
      <c r="E504" s="32"/>
      <c r="F504" s="32"/>
      <c r="G504" s="65"/>
      <c r="H504" s="67"/>
      <c r="I504" s="67"/>
      <c r="J504" s="32"/>
      <c r="K504" s="68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 ht="15.75" customHeight="1">
      <c r="A505" s="32"/>
      <c r="B505" s="65"/>
      <c r="C505" s="65"/>
      <c r="D505" s="32"/>
      <c r="E505" s="32"/>
      <c r="F505" s="32"/>
      <c r="G505" s="65"/>
      <c r="H505" s="67"/>
      <c r="I505" s="67"/>
      <c r="J505" s="32"/>
      <c r="K505" s="68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 ht="15.75" customHeight="1">
      <c r="A506" s="32"/>
      <c r="B506" s="65"/>
      <c r="C506" s="65"/>
      <c r="D506" s="32"/>
      <c r="E506" s="32"/>
      <c r="F506" s="32"/>
      <c r="G506" s="65"/>
      <c r="H506" s="67"/>
      <c r="I506" s="67"/>
      <c r="J506" s="32"/>
      <c r="K506" s="68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 ht="15.75" customHeight="1">
      <c r="A507" s="32"/>
      <c r="B507" s="65"/>
      <c r="C507" s="65"/>
      <c r="D507" s="32"/>
      <c r="E507" s="32"/>
      <c r="F507" s="32"/>
      <c r="G507" s="65"/>
      <c r="H507" s="67"/>
      <c r="I507" s="67"/>
      <c r="J507" s="32"/>
      <c r="K507" s="68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 ht="15.75" customHeight="1">
      <c r="A508" s="32"/>
      <c r="B508" s="65"/>
      <c r="C508" s="65"/>
      <c r="D508" s="32"/>
      <c r="E508" s="32"/>
      <c r="F508" s="32"/>
      <c r="G508" s="65"/>
      <c r="H508" s="67"/>
      <c r="I508" s="67"/>
      <c r="J508" s="32"/>
      <c r="K508" s="68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 ht="15.75" customHeight="1">
      <c r="A509" s="32"/>
      <c r="B509" s="65"/>
      <c r="C509" s="65"/>
      <c r="D509" s="32"/>
      <c r="E509" s="32"/>
      <c r="F509" s="32"/>
      <c r="G509" s="65"/>
      <c r="H509" s="67"/>
      <c r="I509" s="67"/>
      <c r="J509" s="32"/>
      <c r="K509" s="68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 ht="15.75" customHeight="1">
      <c r="A510" s="32"/>
      <c r="B510" s="65"/>
      <c r="C510" s="65"/>
      <c r="D510" s="32"/>
      <c r="E510" s="32"/>
      <c r="F510" s="32"/>
      <c r="G510" s="65"/>
      <c r="H510" s="67"/>
      <c r="I510" s="67"/>
      <c r="J510" s="32"/>
      <c r="K510" s="68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ht="15.75" customHeight="1">
      <c r="A511" s="32"/>
      <c r="B511" s="65"/>
      <c r="C511" s="65"/>
      <c r="D511" s="32"/>
      <c r="E511" s="32"/>
      <c r="F511" s="32"/>
      <c r="G511" s="65"/>
      <c r="H511" s="67"/>
      <c r="I511" s="67"/>
      <c r="J511" s="32"/>
      <c r="K511" s="68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 ht="15.75" customHeight="1">
      <c r="A512" s="32"/>
      <c r="B512" s="65"/>
      <c r="C512" s="65"/>
      <c r="D512" s="32"/>
      <c r="E512" s="32"/>
      <c r="F512" s="32"/>
      <c r="G512" s="65"/>
      <c r="H512" s="67"/>
      <c r="I512" s="67"/>
      <c r="J512" s="32"/>
      <c r="K512" s="68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 ht="15.75" customHeight="1">
      <c r="A513" s="32"/>
      <c r="B513" s="65"/>
      <c r="C513" s="65"/>
      <c r="D513" s="32"/>
      <c r="E513" s="32"/>
      <c r="F513" s="32"/>
      <c r="G513" s="65"/>
      <c r="H513" s="67"/>
      <c r="I513" s="67"/>
      <c r="J513" s="32"/>
      <c r="K513" s="68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 ht="15.75" customHeight="1">
      <c r="A514" s="32"/>
      <c r="B514" s="65"/>
      <c r="C514" s="65"/>
      <c r="D514" s="32"/>
      <c r="E514" s="32"/>
      <c r="F514" s="32"/>
      <c r="G514" s="65"/>
      <c r="H514" s="67"/>
      <c r="I514" s="67"/>
      <c r="J514" s="32"/>
      <c r="K514" s="68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 ht="15.75" customHeight="1">
      <c r="A515" s="32"/>
      <c r="B515" s="65"/>
      <c r="C515" s="65"/>
      <c r="D515" s="32"/>
      <c r="E515" s="32"/>
      <c r="F515" s="32"/>
      <c r="G515" s="65"/>
      <c r="H515" s="67"/>
      <c r="I515" s="67"/>
      <c r="J515" s="32"/>
      <c r="K515" s="68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 ht="15.75" customHeight="1">
      <c r="A516" s="32"/>
      <c r="B516" s="65"/>
      <c r="C516" s="65"/>
      <c r="D516" s="32"/>
      <c r="E516" s="32"/>
      <c r="F516" s="32"/>
      <c r="G516" s="65"/>
      <c r="H516" s="67"/>
      <c r="I516" s="67"/>
      <c r="J516" s="32"/>
      <c r="K516" s="68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 ht="15.75" customHeight="1">
      <c r="A517" s="32"/>
      <c r="B517" s="65"/>
      <c r="C517" s="65"/>
      <c r="D517" s="32"/>
      <c r="E517" s="32"/>
      <c r="F517" s="32"/>
      <c r="G517" s="65"/>
      <c r="H517" s="67"/>
      <c r="I517" s="67"/>
      <c r="J517" s="32"/>
      <c r="K517" s="68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 ht="15.75" customHeight="1">
      <c r="A518" s="32"/>
      <c r="B518" s="65"/>
      <c r="C518" s="65"/>
      <c r="D518" s="32"/>
      <c r="E518" s="32"/>
      <c r="F518" s="32"/>
      <c r="G518" s="65"/>
      <c r="H518" s="67"/>
      <c r="I518" s="67"/>
      <c r="J518" s="32"/>
      <c r="K518" s="68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 ht="15.75" customHeight="1">
      <c r="A519" s="32"/>
      <c r="B519" s="65"/>
      <c r="C519" s="65"/>
      <c r="D519" s="32"/>
      <c r="E519" s="32"/>
      <c r="F519" s="32"/>
      <c r="G519" s="65"/>
      <c r="H519" s="67"/>
      <c r="I519" s="67"/>
      <c r="J519" s="32"/>
      <c r="K519" s="68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 ht="15.75" customHeight="1">
      <c r="A520" s="32"/>
      <c r="B520" s="65"/>
      <c r="C520" s="65"/>
      <c r="D520" s="32"/>
      <c r="E520" s="32"/>
      <c r="F520" s="32"/>
      <c r="G520" s="65"/>
      <c r="H520" s="67"/>
      <c r="I520" s="67"/>
      <c r="J520" s="32"/>
      <c r="K520" s="68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 ht="15.75" customHeight="1">
      <c r="A521" s="32"/>
      <c r="B521" s="65"/>
      <c r="C521" s="65"/>
      <c r="D521" s="32"/>
      <c r="E521" s="32"/>
      <c r="F521" s="32"/>
      <c r="G521" s="65"/>
      <c r="H521" s="67"/>
      <c r="I521" s="67"/>
      <c r="J521" s="32"/>
      <c r="K521" s="68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 ht="15.75" customHeight="1">
      <c r="A522" s="32"/>
      <c r="B522" s="65"/>
      <c r="C522" s="65"/>
      <c r="D522" s="32"/>
      <c r="E522" s="32"/>
      <c r="F522" s="32"/>
      <c r="G522" s="65"/>
      <c r="H522" s="67"/>
      <c r="I522" s="67"/>
      <c r="J522" s="32"/>
      <c r="K522" s="68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 ht="15.75" customHeight="1">
      <c r="A523" s="32"/>
      <c r="B523" s="65"/>
      <c r="C523" s="65"/>
      <c r="D523" s="32"/>
      <c r="E523" s="32"/>
      <c r="F523" s="32"/>
      <c r="G523" s="65"/>
      <c r="H523" s="67"/>
      <c r="I523" s="67"/>
      <c r="J523" s="32"/>
      <c r="K523" s="68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ht="15.75" customHeight="1">
      <c r="A524" s="32"/>
      <c r="B524" s="65"/>
      <c r="C524" s="65"/>
      <c r="D524" s="32"/>
      <c r="E524" s="32"/>
      <c r="F524" s="32"/>
      <c r="G524" s="65"/>
      <c r="H524" s="67"/>
      <c r="I524" s="67"/>
      <c r="J524" s="32"/>
      <c r="K524" s="68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 ht="15.75" customHeight="1">
      <c r="A525" s="32"/>
      <c r="B525" s="65"/>
      <c r="C525" s="65"/>
      <c r="D525" s="32"/>
      <c r="E525" s="32"/>
      <c r="F525" s="32"/>
      <c r="G525" s="65"/>
      <c r="H525" s="67"/>
      <c r="I525" s="67"/>
      <c r="J525" s="32"/>
      <c r="K525" s="68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 ht="15.75" customHeight="1">
      <c r="A526" s="32"/>
      <c r="B526" s="65"/>
      <c r="C526" s="65"/>
      <c r="D526" s="32"/>
      <c r="E526" s="32"/>
      <c r="F526" s="32"/>
      <c r="G526" s="65"/>
      <c r="H526" s="67"/>
      <c r="I526" s="67"/>
      <c r="J526" s="32"/>
      <c r="K526" s="68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 ht="15.75" customHeight="1">
      <c r="A527" s="32"/>
      <c r="B527" s="65"/>
      <c r="C527" s="65"/>
      <c r="D527" s="32"/>
      <c r="E527" s="32"/>
      <c r="F527" s="32"/>
      <c r="G527" s="65"/>
      <c r="H527" s="67"/>
      <c r="I527" s="67"/>
      <c r="J527" s="32"/>
      <c r="K527" s="68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 ht="15.75" customHeight="1">
      <c r="A528" s="32"/>
      <c r="B528" s="65"/>
      <c r="C528" s="65"/>
      <c r="D528" s="32"/>
      <c r="E528" s="32"/>
      <c r="F528" s="32"/>
      <c r="G528" s="65"/>
      <c r="H528" s="67"/>
      <c r="I528" s="67"/>
      <c r="J528" s="32"/>
      <c r="K528" s="68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 ht="15.75" customHeight="1">
      <c r="A529" s="32"/>
      <c r="B529" s="65"/>
      <c r="C529" s="65"/>
      <c r="D529" s="32"/>
      <c r="E529" s="32"/>
      <c r="F529" s="32"/>
      <c r="G529" s="65"/>
      <c r="H529" s="67"/>
      <c r="I529" s="67"/>
      <c r="J529" s="32"/>
      <c r="K529" s="68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 ht="15.75" customHeight="1">
      <c r="A530" s="32"/>
      <c r="B530" s="65"/>
      <c r="C530" s="65"/>
      <c r="D530" s="32"/>
      <c r="E530" s="32"/>
      <c r="F530" s="32"/>
      <c r="G530" s="65"/>
      <c r="H530" s="67"/>
      <c r="I530" s="67"/>
      <c r="J530" s="32"/>
      <c r="K530" s="68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 ht="15.75" customHeight="1">
      <c r="A531" s="32"/>
      <c r="B531" s="65"/>
      <c r="C531" s="65"/>
      <c r="D531" s="32"/>
      <c r="E531" s="32"/>
      <c r="F531" s="32"/>
      <c r="G531" s="65"/>
      <c r="H531" s="67"/>
      <c r="I531" s="67"/>
      <c r="J531" s="32"/>
      <c r="K531" s="68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 ht="15.75" customHeight="1">
      <c r="A532" s="32"/>
      <c r="B532" s="65"/>
      <c r="C532" s="65"/>
      <c r="D532" s="32"/>
      <c r="E532" s="32"/>
      <c r="F532" s="32"/>
      <c r="G532" s="65"/>
      <c r="H532" s="67"/>
      <c r="I532" s="67"/>
      <c r="J532" s="32"/>
      <c r="K532" s="68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 ht="15.75" customHeight="1">
      <c r="A533" s="32"/>
      <c r="B533" s="65"/>
      <c r="C533" s="65"/>
      <c r="D533" s="32"/>
      <c r="E533" s="32"/>
      <c r="F533" s="32"/>
      <c r="G533" s="65"/>
      <c r="H533" s="67"/>
      <c r="I533" s="67"/>
      <c r="J533" s="32"/>
      <c r="K533" s="68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 ht="15.75" customHeight="1">
      <c r="A534" s="32"/>
      <c r="B534" s="65"/>
      <c r="C534" s="65"/>
      <c r="D534" s="32"/>
      <c r="E534" s="32"/>
      <c r="F534" s="32"/>
      <c r="G534" s="65"/>
      <c r="H534" s="67"/>
      <c r="I534" s="67"/>
      <c r="J534" s="32"/>
      <c r="K534" s="68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 ht="15.75" customHeight="1">
      <c r="A535" s="32"/>
      <c r="B535" s="65"/>
      <c r="C535" s="65"/>
      <c r="D535" s="32"/>
      <c r="E535" s="32"/>
      <c r="F535" s="32"/>
      <c r="G535" s="65"/>
      <c r="H535" s="67"/>
      <c r="I535" s="67"/>
      <c r="J535" s="32"/>
      <c r="K535" s="68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 ht="15.75" customHeight="1">
      <c r="A536" s="32"/>
      <c r="B536" s="65"/>
      <c r="C536" s="65"/>
      <c r="D536" s="32"/>
      <c r="E536" s="32"/>
      <c r="F536" s="32"/>
      <c r="G536" s="65"/>
      <c r="H536" s="67"/>
      <c r="I536" s="67"/>
      <c r="J536" s="32"/>
      <c r="K536" s="68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 ht="15.75" customHeight="1">
      <c r="A537" s="32"/>
      <c r="B537" s="65"/>
      <c r="C537" s="65"/>
      <c r="D537" s="32"/>
      <c r="E537" s="32"/>
      <c r="F537" s="32"/>
      <c r="G537" s="65"/>
      <c r="H537" s="67"/>
      <c r="I537" s="67"/>
      <c r="J537" s="32"/>
      <c r="K537" s="68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ht="15.75" customHeight="1">
      <c r="A538" s="32"/>
      <c r="B538" s="65"/>
      <c r="C538" s="65"/>
      <c r="D538" s="32"/>
      <c r="E538" s="32"/>
      <c r="F538" s="32"/>
      <c r="G538" s="65"/>
      <c r="H538" s="67"/>
      <c r="I538" s="67"/>
      <c r="J538" s="32"/>
      <c r="K538" s="68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ht="15.75" customHeight="1">
      <c r="A539" s="32"/>
      <c r="B539" s="65"/>
      <c r="C539" s="65"/>
      <c r="D539" s="32"/>
      <c r="E539" s="32"/>
      <c r="F539" s="32"/>
      <c r="G539" s="65"/>
      <c r="H539" s="67"/>
      <c r="I539" s="67"/>
      <c r="J539" s="32"/>
      <c r="K539" s="68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 ht="15.75" customHeight="1">
      <c r="A540" s="32"/>
      <c r="B540" s="65"/>
      <c r="C540" s="65"/>
      <c r="D540" s="32"/>
      <c r="E540" s="32"/>
      <c r="F540" s="32"/>
      <c r="G540" s="65"/>
      <c r="H540" s="67"/>
      <c r="I540" s="67"/>
      <c r="J540" s="32"/>
      <c r="K540" s="68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 ht="15.75" customHeight="1">
      <c r="A541" s="32"/>
      <c r="B541" s="65"/>
      <c r="C541" s="65"/>
      <c r="D541" s="32"/>
      <c r="E541" s="32"/>
      <c r="F541" s="32"/>
      <c r="G541" s="65"/>
      <c r="H541" s="67"/>
      <c r="I541" s="67"/>
      <c r="J541" s="32"/>
      <c r="K541" s="68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 ht="15.75" customHeight="1">
      <c r="A542" s="32"/>
      <c r="B542" s="65"/>
      <c r="C542" s="65"/>
      <c r="D542" s="32"/>
      <c r="E542" s="32"/>
      <c r="F542" s="32"/>
      <c r="G542" s="65"/>
      <c r="H542" s="67"/>
      <c r="I542" s="67"/>
      <c r="J542" s="32"/>
      <c r="K542" s="68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 ht="15.75" customHeight="1">
      <c r="A543" s="32"/>
      <c r="B543" s="65"/>
      <c r="C543" s="65"/>
      <c r="D543" s="32"/>
      <c r="E543" s="32"/>
      <c r="F543" s="32"/>
      <c r="G543" s="65"/>
      <c r="H543" s="67"/>
      <c r="I543" s="67"/>
      <c r="J543" s="32"/>
      <c r="K543" s="68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 ht="15.75" customHeight="1">
      <c r="A544" s="32"/>
      <c r="B544" s="65"/>
      <c r="C544" s="65"/>
      <c r="D544" s="32"/>
      <c r="E544" s="32"/>
      <c r="F544" s="32"/>
      <c r="G544" s="65"/>
      <c r="H544" s="67"/>
      <c r="I544" s="67"/>
      <c r="J544" s="32"/>
      <c r="K544" s="68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 ht="15.75" customHeight="1">
      <c r="A545" s="32"/>
      <c r="B545" s="65"/>
      <c r="C545" s="65"/>
      <c r="D545" s="32"/>
      <c r="E545" s="32"/>
      <c r="F545" s="32"/>
      <c r="G545" s="65"/>
      <c r="H545" s="67"/>
      <c r="I545" s="67"/>
      <c r="J545" s="32"/>
      <c r="K545" s="68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 ht="15.75" customHeight="1">
      <c r="A546" s="32"/>
      <c r="B546" s="65"/>
      <c r="C546" s="65"/>
      <c r="D546" s="32"/>
      <c r="E546" s="32"/>
      <c r="F546" s="32"/>
      <c r="G546" s="65"/>
      <c r="H546" s="67"/>
      <c r="I546" s="67"/>
      <c r="J546" s="32"/>
      <c r="K546" s="68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 ht="15.75" customHeight="1">
      <c r="A547" s="32"/>
      <c r="B547" s="65"/>
      <c r="C547" s="65"/>
      <c r="D547" s="32"/>
      <c r="E547" s="32"/>
      <c r="F547" s="32"/>
      <c r="G547" s="65"/>
      <c r="H547" s="67"/>
      <c r="I547" s="67"/>
      <c r="J547" s="32"/>
      <c r="K547" s="68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 ht="15.75" customHeight="1">
      <c r="A548" s="32"/>
      <c r="B548" s="65"/>
      <c r="C548" s="65"/>
      <c r="D548" s="32"/>
      <c r="E548" s="32"/>
      <c r="F548" s="32"/>
      <c r="G548" s="65"/>
      <c r="H548" s="67"/>
      <c r="I548" s="67"/>
      <c r="J548" s="32"/>
      <c r="K548" s="68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 ht="15.75" customHeight="1">
      <c r="A549" s="32"/>
      <c r="B549" s="65"/>
      <c r="C549" s="65"/>
      <c r="D549" s="32"/>
      <c r="E549" s="32"/>
      <c r="F549" s="32"/>
      <c r="G549" s="65"/>
      <c r="H549" s="67"/>
      <c r="I549" s="67"/>
      <c r="J549" s="32"/>
      <c r="K549" s="68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 ht="15.75" customHeight="1">
      <c r="A550" s="32"/>
      <c r="B550" s="65"/>
      <c r="C550" s="65"/>
      <c r="D550" s="32"/>
      <c r="E550" s="32"/>
      <c r="F550" s="32"/>
      <c r="G550" s="65"/>
      <c r="H550" s="67"/>
      <c r="I550" s="67"/>
      <c r="J550" s="32"/>
      <c r="K550" s="68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 ht="15.75" customHeight="1">
      <c r="A551" s="32"/>
      <c r="B551" s="65"/>
      <c r="C551" s="65"/>
      <c r="D551" s="32"/>
      <c r="E551" s="32"/>
      <c r="F551" s="32"/>
      <c r="G551" s="65"/>
      <c r="H551" s="67"/>
      <c r="I551" s="67"/>
      <c r="J551" s="32"/>
      <c r="K551" s="68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 ht="15.75" customHeight="1">
      <c r="A552" s="32"/>
      <c r="B552" s="65"/>
      <c r="C552" s="65"/>
      <c r="D552" s="32"/>
      <c r="E552" s="32"/>
      <c r="F552" s="32"/>
      <c r="G552" s="65"/>
      <c r="H552" s="67"/>
      <c r="I552" s="67"/>
      <c r="J552" s="32"/>
      <c r="K552" s="68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 ht="15.75" customHeight="1">
      <c r="A553" s="32"/>
      <c r="B553" s="65"/>
      <c r="C553" s="65"/>
      <c r="D553" s="32"/>
      <c r="E553" s="32"/>
      <c r="F553" s="32"/>
      <c r="G553" s="65"/>
      <c r="H553" s="67"/>
      <c r="I553" s="67"/>
      <c r="J553" s="32"/>
      <c r="K553" s="68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 ht="15.75" customHeight="1">
      <c r="A554" s="32"/>
      <c r="B554" s="65"/>
      <c r="C554" s="65"/>
      <c r="D554" s="32"/>
      <c r="E554" s="32"/>
      <c r="F554" s="32"/>
      <c r="G554" s="65"/>
      <c r="H554" s="67"/>
      <c r="I554" s="67"/>
      <c r="J554" s="32"/>
      <c r="K554" s="68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 ht="15.75" customHeight="1">
      <c r="A555" s="32"/>
      <c r="B555" s="65"/>
      <c r="C555" s="65"/>
      <c r="D555" s="32"/>
      <c r="E555" s="32"/>
      <c r="F555" s="32"/>
      <c r="G555" s="65"/>
      <c r="H555" s="67"/>
      <c r="I555" s="67"/>
      <c r="J555" s="32"/>
      <c r="K555" s="68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 ht="15.75" customHeight="1">
      <c r="A556" s="32"/>
      <c r="B556" s="65"/>
      <c r="C556" s="65"/>
      <c r="D556" s="32"/>
      <c r="E556" s="32"/>
      <c r="F556" s="32"/>
      <c r="G556" s="65"/>
      <c r="H556" s="67"/>
      <c r="I556" s="67"/>
      <c r="J556" s="32"/>
      <c r="K556" s="68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 ht="15.75" customHeight="1">
      <c r="A557" s="32"/>
      <c r="B557" s="65"/>
      <c r="C557" s="65"/>
      <c r="D557" s="32"/>
      <c r="E557" s="32"/>
      <c r="F557" s="32"/>
      <c r="G557" s="65"/>
      <c r="H557" s="67"/>
      <c r="I557" s="67"/>
      <c r="J557" s="32"/>
      <c r="K557" s="68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 ht="15.75" customHeight="1">
      <c r="A558" s="32"/>
      <c r="B558" s="65"/>
      <c r="C558" s="65"/>
      <c r="D558" s="32"/>
      <c r="E558" s="32"/>
      <c r="F558" s="32"/>
      <c r="G558" s="65"/>
      <c r="H558" s="67"/>
      <c r="I558" s="67"/>
      <c r="J558" s="32"/>
      <c r="K558" s="68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 ht="15.75" customHeight="1">
      <c r="A559" s="32"/>
      <c r="B559" s="65"/>
      <c r="C559" s="65"/>
      <c r="D559" s="32"/>
      <c r="E559" s="32"/>
      <c r="F559" s="32"/>
      <c r="G559" s="65"/>
      <c r="H559" s="67"/>
      <c r="I559" s="67"/>
      <c r="J559" s="32"/>
      <c r="K559" s="68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 ht="15.75" customHeight="1">
      <c r="A560" s="32"/>
      <c r="B560" s="65"/>
      <c r="C560" s="65"/>
      <c r="D560" s="32"/>
      <c r="E560" s="32"/>
      <c r="F560" s="32"/>
      <c r="G560" s="65"/>
      <c r="H560" s="67"/>
      <c r="I560" s="67"/>
      <c r="J560" s="32"/>
      <c r="K560" s="68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 ht="15.75" customHeight="1">
      <c r="A561" s="32"/>
      <c r="B561" s="65"/>
      <c r="C561" s="65"/>
      <c r="D561" s="32"/>
      <c r="E561" s="32"/>
      <c r="F561" s="32"/>
      <c r="G561" s="65"/>
      <c r="H561" s="67"/>
      <c r="I561" s="67"/>
      <c r="J561" s="32"/>
      <c r="K561" s="68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 ht="15.75" customHeight="1">
      <c r="A562" s="32"/>
      <c r="B562" s="65"/>
      <c r="C562" s="65"/>
      <c r="D562" s="32"/>
      <c r="E562" s="32"/>
      <c r="F562" s="32"/>
      <c r="G562" s="65"/>
      <c r="H562" s="67"/>
      <c r="I562" s="67"/>
      <c r="J562" s="32"/>
      <c r="K562" s="68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 ht="15.75" customHeight="1">
      <c r="A563" s="32"/>
      <c r="B563" s="65"/>
      <c r="C563" s="65"/>
      <c r="D563" s="32"/>
      <c r="E563" s="32"/>
      <c r="F563" s="32"/>
      <c r="G563" s="65"/>
      <c r="H563" s="67"/>
      <c r="I563" s="67"/>
      <c r="J563" s="32"/>
      <c r="K563" s="68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 ht="15.75" customHeight="1">
      <c r="A564" s="32"/>
      <c r="B564" s="65"/>
      <c r="C564" s="65"/>
      <c r="D564" s="32"/>
      <c r="E564" s="32"/>
      <c r="F564" s="32"/>
      <c r="G564" s="65"/>
      <c r="H564" s="67"/>
      <c r="I564" s="67"/>
      <c r="J564" s="32"/>
      <c r="K564" s="68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 ht="15.75" customHeight="1">
      <c r="A565" s="32"/>
      <c r="B565" s="65"/>
      <c r="C565" s="65"/>
      <c r="D565" s="32"/>
      <c r="E565" s="32"/>
      <c r="F565" s="32"/>
      <c r="G565" s="65"/>
      <c r="H565" s="67"/>
      <c r="I565" s="67"/>
      <c r="J565" s="32"/>
      <c r="K565" s="68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 ht="15.75" customHeight="1">
      <c r="A566" s="32"/>
      <c r="B566" s="65"/>
      <c r="C566" s="65"/>
      <c r="D566" s="32"/>
      <c r="E566" s="32"/>
      <c r="F566" s="32"/>
      <c r="G566" s="65"/>
      <c r="H566" s="67"/>
      <c r="I566" s="67"/>
      <c r="J566" s="32"/>
      <c r="K566" s="68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 ht="15.75" customHeight="1">
      <c r="A567" s="32"/>
      <c r="B567" s="65"/>
      <c r="C567" s="65"/>
      <c r="D567" s="32"/>
      <c r="E567" s="32"/>
      <c r="F567" s="32"/>
      <c r="G567" s="65"/>
      <c r="H567" s="67"/>
      <c r="I567" s="67"/>
      <c r="J567" s="32"/>
      <c r="K567" s="68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 ht="15.75" customHeight="1">
      <c r="A568" s="32"/>
      <c r="B568" s="65"/>
      <c r="C568" s="65"/>
      <c r="D568" s="32"/>
      <c r="E568" s="32"/>
      <c r="F568" s="32"/>
      <c r="G568" s="65"/>
      <c r="H568" s="67"/>
      <c r="I568" s="67"/>
      <c r="J568" s="32"/>
      <c r="K568" s="68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 ht="15.75" customHeight="1">
      <c r="A569" s="32"/>
      <c r="B569" s="65"/>
      <c r="C569" s="65"/>
      <c r="D569" s="32"/>
      <c r="E569" s="32"/>
      <c r="F569" s="32"/>
      <c r="G569" s="65"/>
      <c r="H569" s="67"/>
      <c r="I569" s="67"/>
      <c r="J569" s="32"/>
      <c r="K569" s="68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 ht="15.75" customHeight="1">
      <c r="A570" s="32"/>
      <c r="B570" s="65"/>
      <c r="C570" s="65"/>
      <c r="D570" s="32"/>
      <c r="E570" s="32"/>
      <c r="F570" s="32"/>
      <c r="G570" s="65"/>
      <c r="H570" s="67"/>
      <c r="I570" s="67"/>
      <c r="J570" s="32"/>
      <c r="K570" s="68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 ht="15.75" customHeight="1">
      <c r="A571" s="32"/>
      <c r="B571" s="65"/>
      <c r="C571" s="65"/>
      <c r="D571" s="32"/>
      <c r="E571" s="32"/>
      <c r="F571" s="32"/>
      <c r="G571" s="65"/>
      <c r="H571" s="67"/>
      <c r="I571" s="67"/>
      <c r="J571" s="32"/>
      <c r="K571" s="68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 ht="15.75" customHeight="1">
      <c r="A572" s="32"/>
      <c r="B572" s="65"/>
      <c r="C572" s="65"/>
      <c r="D572" s="32"/>
      <c r="E572" s="32"/>
      <c r="F572" s="32"/>
      <c r="G572" s="65"/>
      <c r="H572" s="67"/>
      <c r="I572" s="67"/>
      <c r="J572" s="32"/>
      <c r="K572" s="68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 ht="15.75" customHeight="1">
      <c r="A573" s="32"/>
      <c r="B573" s="65"/>
      <c r="C573" s="65"/>
      <c r="D573" s="32"/>
      <c r="E573" s="32"/>
      <c r="F573" s="32"/>
      <c r="G573" s="65"/>
      <c r="H573" s="67"/>
      <c r="I573" s="67"/>
      <c r="J573" s="32"/>
      <c r="K573" s="68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 ht="15.75" customHeight="1">
      <c r="A574" s="32"/>
      <c r="B574" s="65"/>
      <c r="C574" s="65"/>
      <c r="D574" s="32"/>
      <c r="E574" s="32"/>
      <c r="F574" s="32"/>
      <c r="G574" s="65"/>
      <c r="H574" s="67"/>
      <c r="I574" s="67"/>
      <c r="J574" s="32"/>
      <c r="K574" s="68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 ht="15.75" customHeight="1">
      <c r="A575" s="32"/>
      <c r="B575" s="65"/>
      <c r="C575" s="65"/>
      <c r="D575" s="32"/>
      <c r="E575" s="32"/>
      <c r="F575" s="32"/>
      <c r="G575" s="65"/>
      <c r="H575" s="67"/>
      <c r="I575" s="67"/>
      <c r="J575" s="32"/>
      <c r="K575" s="68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 ht="15.75" customHeight="1">
      <c r="A576" s="32"/>
      <c r="B576" s="65"/>
      <c r="C576" s="65"/>
      <c r="D576" s="32"/>
      <c r="E576" s="32"/>
      <c r="F576" s="32"/>
      <c r="G576" s="65"/>
      <c r="H576" s="67"/>
      <c r="I576" s="67"/>
      <c r="J576" s="32"/>
      <c r="K576" s="68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 ht="15.75" customHeight="1">
      <c r="A577" s="32"/>
      <c r="B577" s="65"/>
      <c r="C577" s="65"/>
      <c r="D577" s="32"/>
      <c r="E577" s="32"/>
      <c r="F577" s="32"/>
      <c r="G577" s="65"/>
      <c r="H577" s="67"/>
      <c r="I577" s="67"/>
      <c r="J577" s="32"/>
      <c r="K577" s="68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 ht="15.75" customHeight="1">
      <c r="A578" s="32"/>
      <c r="B578" s="65"/>
      <c r="C578" s="65"/>
      <c r="D578" s="32"/>
      <c r="E578" s="32"/>
      <c r="F578" s="32"/>
      <c r="G578" s="65"/>
      <c r="H578" s="67"/>
      <c r="I578" s="67"/>
      <c r="J578" s="32"/>
      <c r="K578" s="68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 ht="15.75" customHeight="1">
      <c r="A579" s="32"/>
      <c r="B579" s="65"/>
      <c r="C579" s="65"/>
      <c r="D579" s="32"/>
      <c r="E579" s="32"/>
      <c r="F579" s="32"/>
      <c r="G579" s="65"/>
      <c r="H579" s="67"/>
      <c r="I579" s="67"/>
      <c r="J579" s="32"/>
      <c r="K579" s="68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 ht="15.75" customHeight="1">
      <c r="A580" s="32"/>
      <c r="B580" s="65"/>
      <c r="C580" s="65"/>
      <c r="D580" s="32"/>
      <c r="E580" s="32"/>
      <c r="F580" s="32"/>
      <c r="G580" s="65"/>
      <c r="H580" s="67"/>
      <c r="I580" s="67"/>
      <c r="J580" s="32"/>
      <c r="K580" s="68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ht="15.75" customHeight="1">
      <c r="A581" s="32"/>
      <c r="B581" s="65"/>
      <c r="C581" s="65"/>
      <c r="D581" s="32"/>
      <c r="E581" s="32"/>
      <c r="F581" s="32"/>
      <c r="G581" s="65"/>
      <c r="H581" s="67"/>
      <c r="I581" s="67"/>
      <c r="J581" s="32"/>
      <c r="K581" s="68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 ht="15.75" customHeight="1">
      <c r="A582" s="32"/>
      <c r="B582" s="65"/>
      <c r="C582" s="65"/>
      <c r="D582" s="32"/>
      <c r="E582" s="32"/>
      <c r="F582" s="32"/>
      <c r="G582" s="65"/>
      <c r="H582" s="67"/>
      <c r="I582" s="67"/>
      <c r="J582" s="32"/>
      <c r="K582" s="68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ht="15.75" customHeight="1">
      <c r="A583" s="32"/>
      <c r="B583" s="65"/>
      <c r="C583" s="65"/>
      <c r="D583" s="32"/>
      <c r="E583" s="32"/>
      <c r="F583" s="32"/>
      <c r="G583" s="65"/>
      <c r="H583" s="67"/>
      <c r="I583" s="67"/>
      <c r="J583" s="32"/>
      <c r="K583" s="68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 ht="15.75" customHeight="1">
      <c r="A584" s="32"/>
      <c r="B584" s="65"/>
      <c r="C584" s="65"/>
      <c r="D584" s="32"/>
      <c r="E584" s="32"/>
      <c r="F584" s="32"/>
      <c r="G584" s="65"/>
      <c r="H584" s="67"/>
      <c r="I584" s="67"/>
      <c r="J584" s="32"/>
      <c r="K584" s="68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 ht="15.75" customHeight="1">
      <c r="A585" s="32"/>
      <c r="B585" s="65"/>
      <c r="C585" s="65"/>
      <c r="D585" s="32"/>
      <c r="E585" s="32"/>
      <c r="F585" s="32"/>
      <c r="G585" s="65"/>
      <c r="H585" s="67"/>
      <c r="I585" s="67"/>
      <c r="J585" s="32"/>
      <c r="K585" s="68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 ht="15.75" customHeight="1">
      <c r="A586" s="32"/>
      <c r="B586" s="65"/>
      <c r="C586" s="65"/>
      <c r="D586" s="32"/>
      <c r="E586" s="32"/>
      <c r="F586" s="32"/>
      <c r="G586" s="65"/>
      <c r="H586" s="67"/>
      <c r="I586" s="67"/>
      <c r="J586" s="32"/>
      <c r="K586" s="68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 ht="15.75" customHeight="1">
      <c r="A587" s="32"/>
      <c r="B587" s="65"/>
      <c r="C587" s="65"/>
      <c r="D587" s="32"/>
      <c r="E587" s="32"/>
      <c r="F587" s="32"/>
      <c r="G587" s="65"/>
      <c r="H587" s="67"/>
      <c r="I587" s="67"/>
      <c r="J587" s="32"/>
      <c r="K587" s="68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ht="15.75" customHeight="1">
      <c r="A588" s="32"/>
      <c r="B588" s="65"/>
      <c r="C588" s="65"/>
      <c r="D588" s="32"/>
      <c r="E588" s="32"/>
      <c r="F588" s="32"/>
      <c r="G588" s="65"/>
      <c r="H588" s="67"/>
      <c r="I588" s="67"/>
      <c r="J588" s="32"/>
      <c r="K588" s="68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 ht="15.75" customHeight="1">
      <c r="A589" s="32"/>
      <c r="B589" s="65"/>
      <c r="C589" s="65"/>
      <c r="D589" s="32"/>
      <c r="E589" s="32"/>
      <c r="F589" s="32"/>
      <c r="G589" s="65"/>
      <c r="H589" s="67"/>
      <c r="I589" s="67"/>
      <c r="J589" s="32"/>
      <c r="K589" s="68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 ht="15.75" customHeight="1">
      <c r="A590" s="32"/>
      <c r="B590" s="65"/>
      <c r="C590" s="65"/>
      <c r="D590" s="32"/>
      <c r="E590" s="32"/>
      <c r="F590" s="32"/>
      <c r="G590" s="65"/>
      <c r="H590" s="67"/>
      <c r="I590" s="67"/>
      <c r="J590" s="32"/>
      <c r="K590" s="68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 ht="15.75" customHeight="1">
      <c r="A591" s="32"/>
      <c r="B591" s="65"/>
      <c r="C591" s="65"/>
      <c r="D591" s="32"/>
      <c r="E591" s="32"/>
      <c r="F591" s="32"/>
      <c r="G591" s="65"/>
      <c r="H591" s="67"/>
      <c r="I591" s="67"/>
      <c r="J591" s="32"/>
      <c r="K591" s="68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 ht="15.75" customHeight="1">
      <c r="A592" s="32"/>
      <c r="B592" s="65"/>
      <c r="C592" s="65"/>
      <c r="D592" s="32"/>
      <c r="E592" s="32"/>
      <c r="F592" s="32"/>
      <c r="G592" s="65"/>
      <c r="H592" s="67"/>
      <c r="I592" s="67"/>
      <c r="J592" s="32"/>
      <c r="K592" s="68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 ht="15.75" customHeight="1">
      <c r="A593" s="32"/>
      <c r="B593" s="65"/>
      <c r="C593" s="65"/>
      <c r="D593" s="32"/>
      <c r="E593" s="32"/>
      <c r="F593" s="32"/>
      <c r="G593" s="65"/>
      <c r="H593" s="67"/>
      <c r="I593" s="67"/>
      <c r="J593" s="32"/>
      <c r="K593" s="68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ht="15.75" customHeight="1">
      <c r="A594" s="32"/>
      <c r="B594" s="65"/>
      <c r="C594" s="65"/>
      <c r="D594" s="32"/>
      <c r="E594" s="32"/>
      <c r="F594" s="32"/>
      <c r="G594" s="65"/>
      <c r="H594" s="67"/>
      <c r="I594" s="67"/>
      <c r="J594" s="32"/>
      <c r="K594" s="68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 ht="15.75" customHeight="1">
      <c r="A595" s="32"/>
      <c r="B595" s="65"/>
      <c r="C595" s="65"/>
      <c r="D595" s="32"/>
      <c r="E595" s="32"/>
      <c r="F595" s="32"/>
      <c r="G595" s="65"/>
      <c r="H595" s="67"/>
      <c r="I595" s="67"/>
      <c r="J595" s="32"/>
      <c r="K595" s="68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 ht="15.75" customHeight="1">
      <c r="A596" s="32"/>
      <c r="B596" s="65"/>
      <c r="C596" s="65"/>
      <c r="D596" s="32"/>
      <c r="E596" s="32"/>
      <c r="F596" s="32"/>
      <c r="G596" s="65"/>
      <c r="H596" s="67"/>
      <c r="I596" s="67"/>
      <c r="J596" s="32"/>
      <c r="K596" s="68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 ht="15.75" customHeight="1">
      <c r="A597" s="32"/>
      <c r="B597" s="65"/>
      <c r="C597" s="65"/>
      <c r="D597" s="32"/>
      <c r="E597" s="32"/>
      <c r="F597" s="32"/>
      <c r="G597" s="65"/>
      <c r="H597" s="67"/>
      <c r="I597" s="67"/>
      <c r="J597" s="32"/>
      <c r="K597" s="68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 ht="15.75" customHeight="1">
      <c r="A598" s="32"/>
      <c r="B598" s="65"/>
      <c r="C598" s="65"/>
      <c r="D598" s="32"/>
      <c r="E598" s="32"/>
      <c r="F598" s="32"/>
      <c r="G598" s="65"/>
      <c r="H598" s="67"/>
      <c r="I598" s="67"/>
      <c r="J598" s="32"/>
      <c r="K598" s="68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 ht="15.75" customHeight="1">
      <c r="A599" s="32"/>
      <c r="B599" s="65"/>
      <c r="C599" s="65"/>
      <c r="D599" s="32"/>
      <c r="E599" s="32"/>
      <c r="F599" s="32"/>
      <c r="G599" s="65"/>
      <c r="H599" s="67"/>
      <c r="I599" s="67"/>
      <c r="J599" s="32"/>
      <c r="K599" s="68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 ht="15.75" customHeight="1">
      <c r="A600" s="32"/>
      <c r="B600" s="65"/>
      <c r="C600" s="65"/>
      <c r="D600" s="32"/>
      <c r="E600" s="32"/>
      <c r="F600" s="32"/>
      <c r="G600" s="65"/>
      <c r="H600" s="67"/>
      <c r="I600" s="67"/>
      <c r="J600" s="32"/>
      <c r="K600" s="68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 ht="15.75" customHeight="1">
      <c r="A601" s="32"/>
      <c r="B601" s="65"/>
      <c r="C601" s="65"/>
      <c r="D601" s="32"/>
      <c r="E601" s="32"/>
      <c r="F601" s="32"/>
      <c r="G601" s="65"/>
      <c r="H601" s="67"/>
      <c r="I601" s="67"/>
      <c r="J601" s="32"/>
      <c r="K601" s="68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 ht="15.75" customHeight="1">
      <c r="A602" s="32"/>
      <c r="B602" s="65"/>
      <c r="C602" s="65"/>
      <c r="D602" s="32"/>
      <c r="E602" s="32"/>
      <c r="F602" s="32"/>
      <c r="G602" s="65"/>
      <c r="H602" s="67"/>
      <c r="I602" s="67"/>
      <c r="J602" s="32"/>
      <c r="K602" s="68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 ht="15.75" customHeight="1">
      <c r="A603" s="32"/>
      <c r="B603" s="65"/>
      <c r="C603" s="65"/>
      <c r="D603" s="32"/>
      <c r="E603" s="32"/>
      <c r="F603" s="32"/>
      <c r="G603" s="65"/>
      <c r="H603" s="67"/>
      <c r="I603" s="67"/>
      <c r="J603" s="32"/>
      <c r="K603" s="68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 ht="15.75" customHeight="1">
      <c r="A604" s="32"/>
      <c r="B604" s="65"/>
      <c r="C604" s="65"/>
      <c r="D604" s="32"/>
      <c r="E604" s="32"/>
      <c r="F604" s="32"/>
      <c r="G604" s="65"/>
      <c r="H604" s="67"/>
      <c r="I604" s="67"/>
      <c r="J604" s="32"/>
      <c r="K604" s="68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 ht="15.75" customHeight="1">
      <c r="A605" s="32"/>
      <c r="B605" s="65"/>
      <c r="C605" s="65"/>
      <c r="D605" s="32"/>
      <c r="E605" s="32"/>
      <c r="F605" s="32"/>
      <c r="G605" s="65"/>
      <c r="H605" s="67"/>
      <c r="I605" s="67"/>
      <c r="J605" s="32"/>
      <c r="K605" s="68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 ht="15.75" customHeight="1">
      <c r="A606" s="32"/>
      <c r="B606" s="65"/>
      <c r="C606" s="65"/>
      <c r="D606" s="32"/>
      <c r="E606" s="32"/>
      <c r="F606" s="32"/>
      <c r="G606" s="65"/>
      <c r="H606" s="67"/>
      <c r="I606" s="67"/>
      <c r="J606" s="32"/>
      <c r="K606" s="68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 ht="15.75" customHeight="1">
      <c r="A607" s="32"/>
      <c r="B607" s="65"/>
      <c r="C607" s="65"/>
      <c r="D607" s="32"/>
      <c r="E607" s="32"/>
      <c r="F607" s="32"/>
      <c r="G607" s="65"/>
      <c r="H607" s="67"/>
      <c r="I607" s="67"/>
      <c r="J607" s="32"/>
      <c r="K607" s="68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 ht="15.75" customHeight="1">
      <c r="A608" s="32"/>
      <c r="B608" s="65"/>
      <c r="C608" s="65"/>
      <c r="D608" s="32"/>
      <c r="E608" s="32"/>
      <c r="F608" s="32"/>
      <c r="G608" s="65"/>
      <c r="H608" s="67"/>
      <c r="I608" s="67"/>
      <c r="J608" s="32"/>
      <c r="K608" s="68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 ht="15.75" customHeight="1">
      <c r="A609" s="32"/>
      <c r="B609" s="65"/>
      <c r="C609" s="65"/>
      <c r="D609" s="32"/>
      <c r="E609" s="32"/>
      <c r="F609" s="32"/>
      <c r="G609" s="65"/>
      <c r="H609" s="67"/>
      <c r="I609" s="67"/>
      <c r="J609" s="32"/>
      <c r="K609" s="68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 ht="15.75" customHeight="1">
      <c r="A610" s="32"/>
      <c r="B610" s="65"/>
      <c r="C610" s="65"/>
      <c r="D610" s="32"/>
      <c r="E610" s="32"/>
      <c r="F610" s="32"/>
      <c r="G610" s="65"/>
      <c r="H610" s="67"/>
      <c r="I610" s="67"/>
      <c r="J610" s="32"/>
      <c r="K610" s="68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 ht="15.75" customHeight="1">
      <c r="A611" s="32"/>
      <c r="B611" s="65"/>
      <c r="C611" s="65"/>
      <c r="D611" s="32"/>
      <c r="E611" s="32"/>
      <c r="F611" s="32"/>
      <c r="G611" s="65"/>
      <c r="H611" s="67"/>
      <c r="I611" s="67"/>
      <c r="J611" s="32"/>
      <c r="K611" s="68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 ht="15.75" customHeight="1">
      <c r="A612" s="32"/>
      <c r="B612" s="65"/>
      <c r="C612" s="65"/>
      <c r="D612" s="32"/>
      <c r="E612" s="32"/>
      <c r="F612" s="32"/>
      <c r="G612" s="65"/>
      <c r="H612" s="67"/>
      <c r="I612" s="67"/>
      <c r="J612" s="32"/>
      <c r="K612" s="68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 ht="15.75" customHeight="1">
      <c r="A613" s="32"/>
      <c r="B613" s="65"/>
      <c r="C613" s="65"/>
      <c r="D613" s="32"/>
      <c r="E613" s="32"/>
      <c r="F613" s="32"/>
      <c r="G613" s="65"/>
      <c r="H613" s="67"/>
      <c r="I613" s="67"/>
      <c r="J613" s="32"/>
      <c r="K613" s="68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 ht="15.75" customHeight="1">
      <c r="A614" s="32"/>
      <c r="B614" s="65"/>
      <c r="C614" s="65"/>
      <c r="D614" s="32"/>
      <c r="E614" s="32"/>
      <c r="F614" s="32"/>
      <c r="G614" s="65"/>
      <c r="H614" s="67"/>
      <c r="I614" s="67"/>
      <c r="J614" s="32"/>
      <c r="K614" s="68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 ht="15.75" customHeight="1">
      <c r="A615" s="32"/>
      <c r="B615" s="65"/>
      <c r="C615" s="65"/>
      <c r="D615" s="32"/>
      <c r="E615" s="32"/>
      <c r="F615" s="32"/>
      <c r="G615" s="65"/>
      <c r="H615" s="67"/>
      <c r="I615" s="67"/>
      <c r="J615" s="32"/>
      <c r="K615" s="68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 ht="15.75" customHeight="1">
      <c r="A616" s="32"/>
      <c r="B616" s="65"/>
      <c r="C616" s="65"/>
      <c r="D616" s="32"/>
      <c r="E616" s="32"/>
      <c r="F616" s="32"/>
      <c r="G616" s="65"/>
      <c r="H616" s="67"/>
      <c r="I616" s="67"/>
      <c r="J616" s="32"/>
      <c r="K616" s="68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 ht="15.75" customHeight="1">
      <c r="A617" s="32"/>
      <c r="B617" s="65"/>
      <c r="C617" s="65"/>
      <c r="D617" s="32"/>
      <c r="E617" s="32"/>
      <c r="F617" s="32"/>
      <c r="G617" s="65"/>
      <c r="H617" s="67"/>
      <c r="I617" s="67"/>
      <c r="J617" s="32"/>
      <c r="K617" s="68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 ht="15.75" customHeight="1">
      <c r="A618" s="32"/>
      <c r="B618" s="65"/>
      <c r="C618" s="65"/>
      <c r="D618" s="32"/>
      <c r="E618" s="32"/>
      <c r="F618" s="32"/>
      <c r="G618" s="65"/>
      <c r="H618" s="67"/>
      <c r="I618" s="67"/>
      <c r="J618" s="32"/>
      <c r="K618" s="68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 ht="15.75" customHeight="1">
      <c r="A619" s="32"/>
      <c r="B619" s="65"/>
      <c r="C619" s="65"/>
      <c r="D619" s="32"/>
      <c r="E619" s="32"/>
      <c r="F619" s="32"/>
      <c r="G619" s="65"/>
      <c r="H619" s="67"/>
      <c r="I619" s="67"/>
      <c r="J619" s="32"/>
      <c r="K619" s="68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 ht="15.75" customHeight="1">
      <c r="A620" s="32"/>
      <c r="B620" s="65"/>
      <c r="C620" s="65"/>
      <c r="D620" s="32"/>
      <c r="E620" s="32"/>
      <c r="F620" s="32"/>
      <c r="G620" s="65"/>
      <c r="H620" s="67"/>
      <c r="I620" s="67"/>
      <c r="J620" s="32"/>
      <c r="K620" s="68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 ht="15.75" customHeight="1">
      <c r="A621" s="32"/>
      <c r="B621" s="65"/>
      <c r="C621" s="65"/>
      <c r="D621" s="32"/>
      <c r="E621" s="32"/>
      <c r="F621" s="32"/>
      <c r="G621" s="65"/>
      <c r="H621" s="67"/>
      <c r="I621" s="67"/>
      <c r="J621" s="32"/>
      <c r="K621" s="68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 ht="15.75" customHeight="1">
      <c r="A622" s="32"/>
      <c r="B622" s="65"/>
      <c r="C622" s="65"/>
      <c r="D622" s="32"/>
      <c r="E622" s="32"/>
      <c r="F622" s="32"/>
      <c r="G622" s="65"/>
      <c r="H622" s="67"/>
      <c r="I622" s="67"/>
      <c r="J622" s="32"/>
      <c r="K622" s="68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 ht="15.75" customHeight="1">
      <c r="A623" s="32"/>
      <c r="B623" s="65"/>
      <c r="C623" s="65"/>
      <c r="D623" s="32"/>
      <c r="E623" s="32"/>
      <c r="F623" s="32"/>
      <c r="G623" s="65"/>
      <c r="H623" s="67"/>
      <c r="I623" s="67"/>
      <c r="J623" s="32"/>
      <c r="K623" s="68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 ht="15.75" customHeight="1">
      <c r="A624" s="32"/>
      <c r="B624" s="65"/>
      <c r="C624" s="65"/>
      <c r="D624" s="32"/>
      <c r="E624" s="32"/>
      <c r="F624" s="32"/>
      <c r="G624" s="65"/>
      <c r="H624" s="67"/>
      <c r="I624" s="67"/>
      <c r="J624" s="32"/>
      <c r="K624" s="68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 ht="15.75" customHeight="1">
      <c r="A625" s="32"/>
      <c r="B625" s="65"/>
      <c r="C625" s="65"/>
      <c r="D625" s="32"/>
      <c r="E625" s="32"/>
      <c r="F625" s="32"/>
      <c r="G625" s="65"/>
      <c r="H625" s="67"/>
      <c r="I625" s="67"/>
      <c r="J625" s="32"/>
      <c r="K625" s="68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 ht="15.75" customHeight="1">
      <c r="A626" s="32"/>
      <c r="B626" s="65"/>
      <c r="C626" s="65"/>
      <c r="D626" s="32"/>
      <c r="E626" s="32"/>
      <c r="F626" s="32"/>
      <c r="G626" s="65"/>
      <c r="H626" s="67"/>
      <c r="I626" s="67"/>
      <c r="J626" s="32"/>
      <c r="K626" s="68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 ht="15.75" customHeight="1">
      <c r="A627" s="32"/>
      <c r="B627" s="65"/>
      <c r="C627" s="65"/>
      <c r="D627" s="32"/>
      <c r="E627" s="32"/>
      <c r="F627" s="32"/>
      <c r="G627" s="65"/>
      <c r="H627" s="67"/>
      <c r="I627" s="67"/>
      <c r="J627" s="32"/>
      <c r="K627" s="68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 ht="15.75" customHeight="1">
      <c r="A628" s="32"/>
      <c r="B628" s="65"/>
      <c r="C628" s="65"/>
      <c r="D628" s="32"/>
      <c r="E628" s="32"/>
      <c r="F628" s="32"/>
      <c r="G628" s="65"/>
      <c r="H628" s="67"/>
      <c r="I628" s="67"/>
      <c r="J628" s="32"/>
      <c r="K628" s="68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 ht="15.75" customHeight="1">
      <c r="A629" s="32"/>
      <c r="B629" s="65"/>
      <c r="C629" s="65"/>
      <c r="D629" s="32"/>
      <c r="E629" s="32"/>
      <c r="F629" s="32"/>
      <c r="G629" s="65"/>
      <c r="H629" s="67"/>
      <c r="I629" s="67"/>
      <c r="J629" s="32"/>
      <c r="K629" s="68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 ht="15.75" customHeight="1">
      <c r="A630" s="32"/>
      <c r="B630" s="65"/>
      <c r="C630" s="65"/>
      <c r="D630" s="32"/>
      <c r="E630" s="32"/>
      <c r="F630" s="32"/>
      <c r="G630" s="65"/>
      <c r="H630" s="67"/>
      <c r="I630" s="67"/>
      <c r="J630" s="32"/>
      <c r="K630" s="68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 ht="15.75" customHeight="1">
      <c r="A631" s="32"/>
      <c r="B631" s="65"/>
      <c r="C631" s="65"/>
      <c r="D631" s="32"/>
      <c r="E631" s="32"/>
      <c r="F631" s="32"/>
      <c r="G631" s="65"/>
      <c r="H631" s="67"/>
      <c r="I631" s="67"/>
      <c r="J631" s="32"/>
      <c r="K631" s="68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 ht="15.75" customHeight="1">
      <c r="A632" s="32"/>
      <c r="B632" s="65"/>
      <c r="C632" s="65"/>
      <c r="D632" s="32"/>
      <c r="E632" s="32"/>
      <c r="F632" s="32"/>
      <c r="G632" s="65"/>
      <c r="H632" s="67"/>
      <c r="I632" s="67"/>
      <c r="J632" s="32"/>
      <c r="K632" s="68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 ht="15.75" customHeight="1">
      <c r="A633" s="32"/>
      <c r="B633" s="65"/>
      <c r="C633" s="65"/>
      <c r="D633" s="32"/>
      <c r="E633" s="32"/>
      <c r="F633" s="32"/>
      <c r="G633" s="65"/>
      <c r="H633" s="67"/>
      <c r="I633" s="67"/>
      <c r="J633" s="32"/>
      <c r="K633" s="68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 ht="15.75" customHeight="1">
      <c r="A634" s="32"/>
      <c r="B634" s="65"/>
      <c r="C634" s="65"/>
      <c r="D634" s="32"/>
      <c r="E634" s="32"/>
      <c r="F634" s="32"/>
      <c r="G634" s="65"/>
      <c r="H634" s="67"/>
      <c r="I634" s="67"/>
      <c r="J634" s="32"/>
      <c r="K634" s="68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 ht="15.75" customHeight="1">
      <c r="A635" s="32"/>
      <c r="B635" s="65"/>
      <c r="C635" s="65"/>
      <c r="D635" s="32"/>
      <c r="E635" s="32"/>
      <c r="F635" s="32"/>
      <c r="G635" s="65"/>
      <c r="H635" s="67"/>
      <c r="I635" s="67"/>
      <c r="J635" s="32"/>
      <c r="K635" s="68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 ht="15.75" customHeight="1">
      <c r="A636" s="32"/>
      <c r="B636" s="65"/>
      <c r="C636" s="65"/>
      <c r="D636" s="32"/>
      <c r="E636" s="32"/>
      <c r="F636" s="32"/>
      <c r="G636" s="65"/>
      <c r="H636" s="67"/>
      <c r="I636" s="67"/>
      <c r="J636" s="32"/>
      <c r="K636" s="68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 ht="15.75" customHeight="1">
      <c r="A637" s="32"/>
      <c r="B637" s="65"/>
      <c r="C637" s="65"/>
      <c r="D637" s="32"/>
      <c r="E637" s="32"/>
      <c r="F637" s="32"/>
      <c r="G637" s="65"/>
      <c r="H637" s="67"/>
      <c r="I637" s="67"/>
      <c r="J637" s="32"/>
      <c r="K637" s="68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 ht="15.75" customHeight="1">
      <c r="A638" s="32"/>
      <c r="B638" s="65"/>
      <c r="C638" s="65"/>
      <c r="D638" s="32"/>
      <c r="E638" s="32"/>
      <c r="F638" s="32"/>
      <c r="G638" s="65"/>
      <c r="H638" s="67"/>
      <c r="I638" s="67"/>
      <c r="J638" s="32"/>
      <c r="K638" s="68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 ht="15.75" customHeight="1">
      <c r="A639" s="32"/>
      <c r="B639" s="65"/>
      <c r="C639" s="65"/>
      <c r="D639" s="32"/>
      <c r="E639" s="32"/>
      <c r="F639" s="32"/>
      <c r="G639" s="65"/>
      <c r="H639" s="67"/>
      <c r="I639" s="67"/>
      <c r="J639" s="32"/>
      <c r="K639" s="68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 ht="15.75" customHeight="1">
      <c r="A640" s="32"/>
      <c r="B640" s="65"/>
      <c r="C640" s="65"/>
      <c r="D640" s="32"/>
      <c r="E640" s="32"/>
      <c r="F640" s="32"/>
      <c r="G640" s="65"/>
      <c r="H640" s="67"/>
      <c r="I640" s="67"/>
      <c r="J640" s="32"/>
      <c r="K640" s="68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 ht="15.75" customHeight="1">
      <c r="A641" s="32"/>
      <c r="B641" s="65"/>
      <c r="C641" s="65"/>
      <c r="D641" s="32"/>
      <c r="E641" s="32"/>
      <c r="F641" s="32"/>
      <c r="G641" s="65"/>
      <c r="H641" s="67"/>
      <c r="I641" s="67"/>
      <c r="J641" s="32"/>
      <c r="K641" s="68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 ht="15.75" customHeight="1">
      <c r="A642" s="32"/>
      <c r="B642" s="65"/>
      <c r="C642" s="65"/>
      <c r="D642" s="32"/>
      <c r="E642" s="32"/>
      <c r="F642" s="32"/>
      <c r="G642" s="65"/>
      <c r="H642" s="67"/>
      <c r="I642" s="67"/>
      <c r="J642" s="32"/>
      <c r="K642" s="68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 ht="15.75" customHeight="1">
      <c r="A643" s="32"/>
      <c r="B643" s="65"/>
      <c r="C643" s="65"/>
      <c r="D643" s="32"/>
      <c r="E643" s="32"/>
      <c r="F643" s="32"/>
      <c r="G643" s="65"/>
      <c r="H643" s="67"/>
      <c r="I643" s="67"/>
      <c r="J643" s="32"/>
      <c r="K643" s="68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 ht="15.75" customHeight="1">
      <c r="A644" s="32"/>
      <c r="B644" s="65"/>
      <c r="C644" s="65"/>
      <c r="D644" s="32"/>
      <c r="E644" s="32"/>
      <c r="F644" s="32"/>
      <c r="G644" s="65"/>
      <c r="H644" s="67"/>
      <c r="I644" s="67"/>
      <c r="J644" s="32"/>
      <c r="K644" s="68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 ht="15.75" customHeight="1">
      <c r="A645" s="32"/>
      <c r="B645" s="65"/>
      <c r="C645" s="65"/>
      <c r="D645" s="32"/>
      <c r="E645" s="32"/>
      <c r="F645" s="32"/>
      <c r="G645" s="65"/>
      <c r="H645" s="67"/>
      <c r="I645" s="67"/>
      <c r="J645" s="32"/>
      <c r="K645" s="68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 ht="15.75" customHeight="1">
      <c r="A646" s="32"/>
      <c r="B646" s="65"/>
      <c r="C646" s="65"/>
      <c r="D646" s="32"/>
      <c r="E646" s="32"/>
      <c r="F646" s="32"/>
      <c r="G646" s="65"/>
      <c r="H646" s="67"/>
      <c r="I646" s="67"/>
      <c r="J646" s="32"/>
      <c r="K646" s="68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 ht="15.75" customHeight="1">
      <c r="A647" s="32"/>
      <c r="B647" s="65"/>
      <c r="C647" s="65"/>
      <c r="D647" s="32"/>
      <c r="E647" s="32"/>
      <c r="F647" s="32"/>
      <c r="G647" s="65"/>
      <c r="H647" s="67"/>
      <c r="I647" s="67"/>
      <c r="J647" s="32"/>
      <c r="K647" s="68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 ht="15.75" customHeight="1">
      <c r="A648" s="32"/>
      <c r="B648" s="65"/>
      <c r="C648" s="65"/>
      <c r="D648" s="32"/>
      <c r="E648" s="32"/>
      <c r="F648" s="32"/>
      <c r="G648" s="65"/>
      <c r="H648" s="67"/>
      <c r="I648" s="67"/>
      <c r="J648" s="32"/>
      <c r="K648" s="68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 ht="15.75" customHeight="1">
      <c r="A649" s="32"/>
      <c r="B649" s="65"/>
      <c r="C649" s="65"/>
      <c r="D649" s="32"/>
      <c r="E649" s="32"/>
      <c r="F649" s="32"/>
      <c r="G649" s="65"/>
      <c r="H649" s="67"/>
      <c r="I649" s="67"/>
      <c r="J649" s="32"/>
      <c r="K649" s="68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 ht="15.75" customHeight="1">
      <c r="A650" s="32"/>
      <c r="B650" s="65"/>
      <c r="C650" s="65"/>
      <c r="D650" s="32"/>
      <c r="E650" s="32"/>
      <c r="F650" s="32"/>
      <c r="G650" s="65"/>
      <c r="H650" s="67"/>
      <c r="I650" s="67"/>
      <c r="J650" s="32"/>
      <c r="K650" s="68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 ht="15.75" customHeight="1">
      <c r="A651" s="32"/>
      <c r="B651" s="65"/>
      <c r="C651" s="65"/>
      <c r="D651" s="32"/>
      <c r="E651" s="32"/>
      <c r="F651" s="32"/>
      <c r="G651" s="65"/>
      <c r="H651" s="67"/>
      <c r="I651" s="67"/>
      <c r="J651" s="32"/>
      <c r="K651" s="68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 ht="15.75" customHeight="1">
      <c r="A652" s="32"/>
      <c r="B652" s="65"/>
      <c r="C652" s="65"/>
      <c r="D652" s="32"/>
      <c r="E652" s="32"/>
      <c r="F652" s="32"/>
      <c r="G652" s="65"/>
      <c r="H652" s="67"/>
      <c r="I652" s="67"/>
      <c r="J652" s="32"/>
      <c r="K652" s="68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 ht="15.75" customHeight="1">
      <c r="A653" s="32"/>
      <c r="B653" s="65"/>
      <c r="C653" s="65"/>
      <c r="D653" s="32"/>
      <c r="E653" s="32"/>
      <c r="F653" s="32"/>
      <c r="G653" s="65"/>
      <c r="H653" s="67"/>
      <c r="I653" s="67"/>
      <c r="J653" s="32"/>
      <c r="K653" s="68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 ht="15.75" customHeight="1">
      <c r="A654" s="32"/>
      <c r="B654" s="65"/>
      <c r="C654" s="65"/>
      <c r="D654" s="32"/>
      <c r="E654" s="32"/>
      <c r="F654" s="32"/>
      <c r="G654" s="65"/>
      <c r="H654" s="67"/>
      <c r="I654" s="67"/>
      <c r="J654" s="32"/>
      <c r="K654" s="68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 ht="15.75" customHeight="1">
      <c r="A655" s="32"/>
      <c r="B655" s="65"/>
      <c r="C655" s="65"/>
      <c r="D655" s="32"/>
      <c r="E655" s="32"/>
      <c r="F655" s="32"/>
      <c r="G655" s="65"/>
      <c r="H655" s="67"/>
      <c r="I655" s="67"/>
      <c r="J655" s="32"/>
      <c r="K655" s="68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 ht="15.75" customHeight="1">
      <c r="A656" s="32"/>
      <c r="B656" s="65"/>
      <c r="C656" s="65"/>
      <c r="D656" s="32"/>
      <c r="E656" s="32"/>
      <c r="F656" s="32"/>
      <c r="G656" s="65"/>
      <c r="H656" s="67"/>
      <c r="I656" s="67"/>
      <c r="J656" s="32"/>
      <c r="K656" s="68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 ht="15.75" customHeight="1">
      <c r="A657" s="32"/>
      <c r="B657" s="65"/>
      <c r="C657" s="65"/>
      <c r="D657" s="32"/>
      <c r="E657" s="32"/>
      <c r="F657" s="32"/>
      <c r="G657" s="65"/>
      <c r="H657" s="67"/>
      <c r="I657" s="67"/>
      <c r="J657" s="32"/>
      <c r="K657" s="68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 ht="15.75" customHeight="1">
      <c r="A658" s="32"/>
      <c r="B658" s="65"/>
      <c r="C658" s="65"/>
      <c r="D658" s="32"/>
      <c r="E658" s="32"/>
      <c r="F658" s="32"/>
      <c r="G658" s="65"/>
      <c r="H658" s="67"/>
      <c r="I658" s="67"/>
      <c r="J658" s="32"/>
      <c r="K658" s="68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 ht="15.75" customHeight="1">
      <c r="A659" s="32"/>
      <c r="B659" s="65"/>
      <c r="C659" s="65"/>
      <c r="D659" s="32"/>
      <c r="E659" s="32"/>
      <c r="F659" s="32"/>
      <c r="G659" s="65"/>
      <c r="H659" s="67"/>
      <c r="I659" s="67"/>
      <c r="J659" s="32"/>
      <c r="K659" s="68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 ht="15.75" customHeight="1">
      <c r="A660" s="32"/>
      <c r="B660" s="65"/>
      <c r="C660" s="65"/>
      <c r="D660" s="32"/>
      <c r="E660" s="32"/>
      <c r="F660" s="32"/>
      <c r="G660" s="65"/>
      <c r="H660" s="67"/>
      <c r="I660" s="67"/>
      <c r="J660" s="32"/>
      <c r="K660" s="68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 ht="15.75" customHeight="1">
      <c r="A661" s="32"/>
      <c r="B661" s="65"/>
      <c r="C661" s="65"/>
      <c r="D661" s="32"/>
      <c r="E661" s="32"/>
      <c r="F661" s="32"/>
      <c r="G661" s="65"/>
      <c r="H661" s="67"/>
      <c r="I661" s="67"/>
      <c r="J661" s="32"/>
      <c r="K661" s="68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 ht="15.75" customHeight="1">
      <c r="A662" s="32"/>
      <c r="B662" s="65"/>
      <c r="C662" s="65"/>
      <c r="D662" s="32"/>
      <c r="E662" s="32"/>
      <c r="F662" s="32"/>
      <c r="G662" s="65"/>
      <c r="H662" s="67"/>
      <c r="I662" s="67"/>
      <c r="J662" s="32"/>
      <c r="K662" s="68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 ht="15.75" customHeight="1">
      <c r="A663" s="32"/>
      <c r="B663" s="65"/>
      <c r="C663" s="65"/>
      <c r="D663" s="32"/>
      <c r="E663" s="32"/>
      <c r="F663" s="32"/>
      <c r="G663" s="65"/>
      <c r="H663" s="67"/>
      <c r="I663" s="67"/>
      <c r="J663" s="32"/>
      <c r="K663" s="68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 ht="15.75" customHeight="1">
      <c r="A664" s="32"/>
      <c r="B664" s="65"/>
      <c r="C664" s="65"/>
      <c r="D664" s="32"/>
      <c r="E664" s="32"/>
      <c r="F664" s="32"/>
      <c r="G664" s="65"/>
      <c r="H664" s="67"/>
      <c r="I664" s="67"/>
      <c r="J664" s="32"/>
      <c r="K664" s="68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 ht="15.75" customHeight="1">
      <c r="A665" s="32"/>
      <c r="B665" s="65"/>
      <c r="C665" s="65"/>
      <c r="D665" s="32"/>
      <c r="E665" s="32"/>
      <c r="F665" s="32"/>
      <c r="G665" s="65"/>
      <c r="H665" s="67"/>
      <c r="I665" s="67"/>
      <c r="J665" s="32"/>
      <c r="K665" s="68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ht="15.75" customHeight="1">
      <c r="A666" s="32"/>
      <c r="B666" s="65"/>
      <c r="C666" s="65"/>
      <c r="D666" s="32"/>
      <c r="E666" s="32"/>
      <c r="F666" s="32"/>
      <c r="G666" s="65"/>
      <c r="H666" s="67"/>
      <c r="I666" s="67"/>
      <c r="J666" s="32"/>
      <c r="K666" s="68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 ht="15.75" customHeight="1">
      <c r="A667" s="32"/>
      <c r="B667" s="65"/>
      <c r="C667" s="65"/>
      <c r="D667" s="32"/>
      <c r="E667" s="32"/>
      <c r="F667" s="32"/>
      <c r="G667" s="65"/>
      <c r="H667" s="67"/>
      <c r="I667" s="67"/>
      <c r="J667" s="32"/>
      <c r="K667" s="68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 ht="15.75" customHeight="1">
      <c r="A668" s="32"/>
      <c r="B668" s="65"/>
      <c r="C668" s="65"/>
      <c r="D668" s="32"/>
      <c r="E668" s="32"/>
      <c r="F668" s="32"/>
      <c r="G668" s="65"/>
      <c r="H668" s="67"/>
      <c r="I668" s="67"/>
      <c r="J668" s="32"/>
      <c r="K668" s="68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 ht="15.75" customHeight="1">
      <c r="A669" s="32"/>
      <c r="B669" s="65"/>
      <c r="C669" s="65"/>
      <c r="D669" s="32"/>
      <c r="E669" s="32"/>
      <c r="F669" s="32"/>
      <c r="G669" s="65"/>
      <c r="H669" s="67"/>
      <c r="I669" s="67"/>
      <c r="J669" s="32"/>
      <c r="K669" s="68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 ht="15.75" customHeight="1">
      <c r="A670" s="32"/>
      <c r="B670" s="65"/>
      <c r="C670" s="65"/>
      <c r="D670" s="32"/>
      <c r="E670" s="32"/>
      <c r="F670" s="32"/>
      <c r="G670" s="65"/>
      <c r="H670" s="67"/>
      <c r="I670" s="67"/>
      <c r="J670" s="32"/>
      <c r="K670" s="68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 ht="15.75" customHeight="1">
      <c r="A671" s="32"/>
      <c r="B671" s="65"/>
      <c r="C671" s="65"/>
      <c r="D671" s="32"/>
      <c r="E671" s="32"/>
      <c r="F671" s="32"/>
      <c r="G671" s="65"/>
      <c r="H671" s="67"/>
      <c r="I671" s="67"/>
      <c r="J671" s="32"/>
      <c r="K671" s="68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 ht="15.75" customHeight="1">
      <c r="A672" s="32"/>
      <c r="B672" s="65"/>
      <c r="C672" s="65"/>
      <c r="D672" s="32"/>
      <c r="E672" s="32"/>
      <c r="F672" s="32"/>
      <c r="G672" s="65"/>
      <c r="H672" s="67"/>
      <c r="I672" s="67"/>
      <c r="J672" s="32"/>
      <c r="K672" s="68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 ht="15.75" customHeight="1">
      <c r="A673" s="32"/>
      <c r="B673" s="65"/>
      <c r="C673" s="65"/>
      <c r="D673" s="32"/>
      <c r="E673" s="32"/>
      <c r="F673" s="32"/>
      <c r="G673" s="65"/>
      <c r="H673" s="67"/>
      <c r="I673" s="67"/>
      <c r="J673" s="32"/>
      <c r="K673" s="68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 ht="15.75" customHeight="1">
      <c r="A674" s="32"/>
      <c r="B674" s="65"/>
      <c r="C674" s="65"/>
      <c r="D674" s="32"/>
      <c r="E674" s="32"/>
      <c r="F674" s="32"/>
      <c r="G674" s="65"/>
      <c r="H674" s="67"/>
      <c r="I674" s="67"/>
      <c r="J674" s="32"/>
      <c r="K674" s="68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 ht="15.75" customHeight="1">
      <c r="A675" s="32"/>
      <c r="B675" s="65"/>
      <c r="C675" s="65"/>
      <c r="D675" s="32"/>
      <c r="E675" s="32"/>
      <c r="F675" s="32"/>
      <c r="G675" s="65"/>
      <c r="H675" s="67"/>
      <c r="I675" s="67"/>
      <c r="J675" s="32"/>
      <c r="K675" s="68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 ht="15.75" customHeight="1">
      <c r="A676" s="32"/>
      <c r="B676" s="65"/>
      <c r="C676" s="65"/>
      <c r="D676" s="32"/>
      <c r="E676" s="32"/>
      <c r="F676" s="32"/>
      <c r="G676" s="65"/>
      <c r="H676" s="67"/>
      <c r="I676" s="67"/>
      <c r="J676" s="32"/>
      <c r="K676" s="68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 ht="15.75" customHeight="1">
      <c r="A677" s="32"/>
      <c r="B677" s="65"/>
      <c r="C677" s="65"/>
      <c r="D677" s="32"/>
      <c r="E677" s="32"/>
      <c r="F677" s="32"/>
      <c r="G677" s="65"/>
      <c r="H677" s="67"/>
      <c r="I677" s="67"/>
      <c r="J677" s="32"/>
      <c r="K677" s="68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 ht="15.75" customHeight="1">
      <c r="A678" s="32"/>
      <c r="B678" s="65"/>
      <c r="C678" s="65"/>
      <c r="D678" s="32"/>
      <c r="E678" s="32"/>
      <c r="F678" s="32"/>
      <c r="G678" s="65"/>
      <c r="H678" s="67"/>
      <c r="I678" s="67"/>
      <c r="J678" s="32"/>
      <c r="K678" s="68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 ht="15.75" customHeight="1">
      <c r="A679" s="32"/>
      <c r="B679" s="65"/>
      <c r="C679" s="65"/>
      <c r="D679" s="32"/>
      <c r="E679" s="32"/>
      <c r="F679" s="32"/>
      <c r="G679" s="65"/>
      <c r="H679" s="67"/>
      <c r="I679" s="67"/>
      <c r="J679" s="32"/>
      <c r="K679" s="68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 ht="15.75" customHeight="1">
      <c r="A680" s="32"/>
      <c r="B680" s="65"/>
      <c r="C680" s="65"/>
      <c r="D680" s="32"/>
      <c r="E680" s="32"/>
      <c r="F680" s="32"/>
      <c r="G680" s="65"/>
      <c r="H680" s="67"/>
      <c r="I680" s="67"/>
      <c r="J680" s="32"/>
      <c r="K680" s="68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 ht="15.75" customHeight="1">
      <c r="A681" s="32"/>
      <c r="B681" s="65"/>
      <c r="C681" s="65"/>
      <c r="D681" s="32"/>
      <c r="E681" s="32"/>
      <c r="F681" s="32"/>
      <c r="G681" s="65"/>
      <c r="H681" s="67"/>
      <c r="I681" s="67"/>
      <c r="J681" s="32"/>
      <c r="K681" s="68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 ht="15.75" customHeight="1">
      <c r="A682" s="32"/>
      <c r="B682" s="65"/>
      <c r="C682" s="65"/>
      <c r="D682" s="32"/>
      <c r="E682" s="32"/>
      <c r="F682" s="32"/>
      <c r="G682" s="65"/>
      <c r="H682" s="67"/>
      <c r="I682" s="67"/>
      <c r="J682" s="32"/>
      <c r="K682" s="68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 ht="15.75" customHeight="1">
      <c r="A683" s="32"/>
      <c r="B683" s="65"/>
      <c r="C683" s="65"/>
      <c r="D683" s="32"/>
      <c r="E683" s="32"/>
      <c r="F683" s="32"/>
      <c r="G683" s="65"/>
      <c r="H683" s="67"/>
      <c r="I683" s="67"/>
      <c r="J683" s="32"/>
      <c r="K683" s="68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 ht="15.75" customHeight="1">
      <c r="A684" s="32"/>
      <c r="B684" s="65"/>
      <c r="C684" s="65"/>
      <c r="D684" s="32"/>
      <c r="E684" s="32"/>
      <c r="F684" s="32"/>
      <c r="G684" s="65"/>
      <c r="H684" s="67"/>
      <c r="I684" s="67"/>
      <c r="J684" s="32"/>
      <c r="K684" s="68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 ht="15.75" customHeight="1">
      <c r="A685" s="32"/>
      <c r="B685" s="65"/>
      <c r="C685" s="65"/>
      <c r="D685" s="32"/>
      <c r="E685" s="32"/>
      <c r="F685" s="32"/>
      <c r="G685" s="65"/>
      <c r="H685" s="67"/>
      <c r="I685" s="67"/>
      <c r="J685" s="32"/>
      <c r="K685" s="68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 ht="15.75" customHeight="1">
      <c r="A686" s="32"/>
      <c r="B686" s="65"/>
      <c r="C686" s="65"/>
      <c r="D686" s="32"/>
      <c r="E686" s="32"/>
      <c r="F686" s="32"/>
      <c r="G686" s="65"/>
      <c r="H686" s="67"/>
      <c r="I686" s="67"/>
      <c r="J686" s="32"/>
      <c r="K686" s="68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 ht="15.75" customHeight="1">
      <c r="A687" s="32"/>
      <c r="B687" s="65"/>
      <c r="C687" s="65"/>
      <c r="D687" s="32"/>
      <c r="E687" s="32"/>
      <c r="F687" s="32"/>
      <c r="G687" s="65"/>
      <c r="H687" s="67"/>
      <c r="I687" s="67"/>
      <c r="J687" s="32"/>
      <c r="K687" s="68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 ht="15.75" customHeight="1">
      <c r="A688" s="32"/>
      <c r="B688" s="65"/>
      <c r="C688" s="65"/>
      <c r="D688" s="32"/>
      <c r="E688" s="32"/>
      <c r="F688" s="32"/>
      <c r="G688" s="65"/>
      <c r="H688" s="67"/>
      <c r="I688" s="67"/>
      <c r="J688" s="32"/>
      <c r="K688" s="68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 ht="15.75" customHeight="1">
      <c r="A689" s="32"/>
      <c r="B689" s="65"/>
      <c r="C689" s="65"/>
      <c r="D689" s="32"/>
      <c r="E689" s="32"/>
      <c r="F689" s="32"/>
      <c r="G689" s="65"/>
      <c r="H689" s="67"/>
      <c r="I689" s="67"/>
      <c r="J689" s="32"/>
      <c r="K689" s="68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 ht="15.75" customHeight="1">
      <c r="A690" s="32"/>
      <c r="B690" s="65"/>
      <c r="C690" s="65"/>
      <c r="D690" s="32"/>
      <c r="E690" s="32"/>
      <c r="F690" s="32"/>
      <c r="G690" s="65"/>
      <c r="H690" s="67"/>
      <c r="I690" s="67"/>
      <c r="J690" s="32"/>
      <c r="K690" s="68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 ht="15.75" customHeight="1">
      <c r="A691" s="32"/>
      <c r="B691" s="65"/>
      <c r="C691" s="65"/>
      <c r="D691" s="32"/>
      <c r="E691" s="32"/>
      <c r="F691" s="32"/>
      <c r="G691" s="65"/>
      <c r="H691" s="67"/>
      <c r="I691" s="67"/>
      <c r="J691" s="32"/>
      <c r="K691" s="68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 ht="15.75" customHeight="1">
      <c r="A692" s="32"/>
      <c r="B692" s="65"/>
      <c r="C692" s="65"/>
      <c r="D692" s="32"/>
      <c r="E692" s="32"/>
      <c r="F692" s="32"/>
      <c r="G692" s="65"/>
      <c r="H692" s="67"/>
      <c r="I692" s="67"/>
      <c r="J692" s="32"/>
      <c r="K692" s="68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 ht="15.75" customHeight="1">
      <c r="A693" s="32"/>
      <c r="B693" s="65"/>
      <c r="C693" s="65"/>
      <c r="D693" s="32"/>
      <c r="E693" s="32"/>
      <c r="F693" s="32"/>
      <c r="G693" s="65"/>
      <c r="H693" s="67"/>
      <c r="I693" s="67"/>
      <c r="J693" s="32"/>
      <c r="K693" s="68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 ht="15.75" customHeight="1">
      <c r="A694" s="32"/>
      <c r="B694" s="65"/>
      <c r="C694" s="65"/>
      <c r="D694" s="32"/>
      <c r="E694" s="32"/>
      <c r="F694" s="32"/>
      <c r="G694" s="65"/>
      <c r="H694" s="67"/>
      <c r="I694" s="67"/>
      <c r="J694" s="32"/>
      <c r="K694" s="68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 ht="15.75" customHeight="1">
      <c r="A695" s="32"/>
      <c r="B695" s="65"/>
      <c r="C695" s="65"/>
      <c r="D695" s="32"/>
      <c r="E695" s="32"/>
      <c r="F695" s="32"/>
      <c r="G695" s="65"/>
      <c r="H695" s="67"/>
      <c r="I695" s="67"/>
      <c r="J695" s="32"/>
      <c r="K695" s="68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 ht="15.75" customHeight="1">
      <c r="A696" s="32"/>
      <c r="B696" s="65"/>
      <c r="C696" s="65"/>
      <c r="D696" s="32"/>
      <c r="E696" s="32"/>
      <c r="F696" s="32"/>
      <c r="G696" s="65"/>
      <c r="H696" s="67"/>
      <c r="I696" s="67"/>
      <c r="J696" s="32"/>
      <c r="K696" s="68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 ht="15.75" customHeight="1">
      <c r="A697" s="32"/>
      <c r="B697" s="65"/>
      <c r="C697" s="65"/>
      <c r="D697" s="32"/>
      <c r="E697" s="32"/>
      <c r="F697" s="32"/>
      <c r="G697" s="65"/>
      <c r="H697" s="67"/>
      <c r="I697" s="67"/>
      <c r="J697" s="32"/>
      <c r="K697" s="68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 ht="15.75" customHeight="1">
      <c r="A698" s="32"/>
      <c r="B698" s="65"/>
      <c r="C698" s="65"/>
      <c r="D698" s="32"/>
      <c r="E698" s="32"/>
      <c r="F698" s="32"/>
      <c r="G698" s="65"/>
      <c r="H698" s="67"/>
      <c r="I698" s="67"/>
      <c r="J698" s="32"/>
      <c r="K698" s="68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 ht="15.75" customHeight="1">
      <c r="A699" s="32"/>
      <c r="B699" s="65"/>
      <c r="C699" s="65"/>
      <c r="D699" s="32"/>
      <c r="E699" s="32"/>
      <c r="F699" s="32"/>
      <c r="G699" s="65"/>
      <c r="H699" s="67"/>
      <c r="I699" s="67"/>
      <c r="J699" s="32"/>
      <c r="K699" s="68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 ht="15.75" customHeight="1">
      <c r="A700" s="32"/>
      <c r="B700" s="65"/>
      <c r="C700" s="65"/>
      <c r="D700" s="32"/>
      <c r="E700" s="32"/>
      <c r="F700" s="32"/>
      <c r="G700" s="65"/>
      <c r="H700" s="67"/>
      <c r="I700" s="67"/>
      <c r="J700" s="32"/>
      <c r="K700" s="68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 ht="15.75" customHeight="1">
      <c r="A701" s="32"/>
      <c r="B701" s="65"/>
      <c r="C701" s="65"/>
      <c r="D701" s="32"/>
      <c r="E701" s="32"/>
      <c r="F701" s="32"/>
      <c r="G701" s="65"/>
      <c r="H701" s="67"/>
      <c r="I701" s="67"/>
      <c r="J701" s="32"/>
      <c r="K701" s="68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 ht="15.75" customHeight="1">
      <c r="A702" s="32"/>
      <c r="B702" s="65"/>
      <c r="C702" s="65"/>
      <c r="D702" s="32"/>
      <c r="E702" s="32"/>
      <c r="F702" s="32"/>
      <c r="G702" s="65"/>
      <c r="H702" s="67"/>
      <c r="I702" s="67"/>
      <c r="J702" s="32"/>
      <c r="K702" s="68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 ht="15.75" customHeight="1">
      <c r="A703" s="32"/>
      <c r="B703" s="65"/>
      <c r="C703" s="65"/>
      <c r="D703" s="32"/>
      <c r="E703" s="32"/>
      <c r="F703" s="32"/>
      <c r="G703" s="65"/>
      <c r="H703" s="67"/>
      <c r="I703" s="67"/>
      <c r="J703" s="32"/>
      <c r="K703" s="68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 ht="15.75" customHeight="1">
      <c r="A704" s="32"/>
      <c r="B704" s="65"/>
      <c r="C704" s="65"/>
      <c r="D704" s="32"/>
      <c r="E704" s="32"/>
      <c r="F704" s="32"/>
      <c r="G704" s="65"/>
      <c r="H704" s="67"/>
      <c r="I704" s="67"/>
      <c r="J704" s="32"/>
      <c r="K704" s="68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 ht="15.75" customHeight="1">
      <c r="A705" s="32"/>
      <c r="B705" s="65"/>
      <c r="C705" s="65"/>
      <c r="D705" s="32"/>
      <c r="E705" s="32"/>
      <c r="F705" s="32"/>
      <c r="G705" s="65"/>
      <c r="H705" s="67"/>
      <c r="I705" s="67"/>
      <c r="J705" s="32"/>
      <c r="K705" s="68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 ht="15.75" customHeight="1">
      <c r="A706" s="32"/>
      <c r="B706" s="65"/>
      <c r="C706" s="65"/>
      <c r="D706" s="32"/>
      <c r="E706" s="32"/>
      <c r="F706" s="32"/>
      <c r="G706" s="65"/>
      <c r="H706" s="67"/>
      <c r="I706" s="67"/>
      <c r="J706" s="32"/>
      <c r="K706" s="68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 ht="15.75" customHeight="1">
      <c r="A707" s="32"/>
      <c r="B707" s="65"/>
      <c r="C707" s="65"/>
      <c r="D707" s="32"/>
      <c r="E707" s="32"/>
      <c r="F707" s="32"/>
      <c r="G707" s="65"/>
      <c r="H707" s="67"/>
      <c r="I707" s="67"/>
      <c r="J707" s="32"/>
      <c r="K707" s="68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 ht="15.75" customHeight="1">
      <c r="A708" s="32"/>
      <c r="B708" s="65"/>
      <c r="C708" s="65"/>
      <c r="D708" s="32"/>
      <c r="E708" s="32"/>
      <c r="F708" s="32"/>
      <c r="G708" s="65"/>
      <c r="H708" s="67"/>
      <c r="I708" s="67"/>
      <c r="J708" s="32"/>
      <c r="K708" s="68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 ht="15.75" customHeight="1">
      <c r="A709" s="32"/>
      <c r="B709" s="65"/>
      <c r="C709" s="65"/>
      <c r="D709" s="32"/>
      <c r="E709" s="32"/>
      <c r="F709" s="32"/>
      <c r="G709" s="65"/>
      <c r="H709" s="67"/>
      <c r="I709" s="67"/>
      <c r="J709" s="32"/>
      <c r="K709" s="68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 ht="15.75" customHeight="1">
      <c r="A710" s="32"/>
      <c r="B710" s="65"/>
      <c r="C710" s="65"/>
      <c r="D710" s="32"/>
      <c r="E710" s="32"/>
      <c r="F710" s="32"/>
      <c r="G710" s="65"/>
      <c r="H710" s="67"/>
      <c r="I710" s="67"/>
      <c r="J710" s="32"/>
      <c r="K710" s="68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 ht="15.75" customHeight="1">
      <c r="A711" s="32"/>
      <c r="B711" s="65"/>
      <c r="C711" s="65"/>
      <c r="D711" s="32"/>
      <c r="E711" s="32"/>
      <c r="F711" s="32"/>
      <c r="G711" s="65"/>
      <c r="H711" s="67"/>
      <c r="I711" s="67"/>
      <c r="J711" s="32"/>
      <c r="K711" s="68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 ht="15.75" customHeight="1">
      <c r="A712" s="32"/>
      <c r="B712" s="65"/>
      <c r="C712" s="65"/>
      <c r="D712" s="32"/>
      <c r="E712" s="32"/>
      <c r="F712" s="32"/>
      <c r="G712" s="65"/>
      <c r="H712" s="67"/>
      <c r="I712" s="67"/>
      <c r="J712" s="32"/>
      <c r="K712" s="68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 ht="15.75" customHeight="1">
      <c r="A713" s="32"/>
      <c r="B713" s="65"/>
      <c r="C713" s="65"/>
      <c r="D713" s="32"/>
      <c r="E713" s="32"/>
      <c r="F713" s="32"/>
      <c r="G713" s="65"/>
      <c r="H713" s="67"/>
      <c r="I713" s="67"/>
      <c r="J713" s="32"/>
      <c r="K713" s="68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 ht="15.75" customHeight="1">
      <c r="A714" s="32"/>
      <c r="B714" s="65"/>
      <c r="C714" s="65"/>
      <c r="D714" s="32"/>
      <c r="E714" s="32"/>
      <c r="F714" s="32"/>
      <c r="G714" s="65"/>
      <c r="H714" s="67"/>
      <c r="I714" s="67"/>
      <c r="J714" s="32"/>
      <c r="K714" s="68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 ht="15.75" customHeight="1">
      <c r="A715" s="32"/>
      <c r="B715" s="65"/>
      <c r="C715" s="65"/>
      <c r="D715" s="32"/>
      <c r="E715" s="32"/>
      <c r="F715" s="32"/>
      <c r="G715" s="65"/>
      <c r="H715" s="67"/>
      <c r="I715" s="67"/>
      <c r="J715" s="32"/>
      <c r="K715" s="68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 ht="15.75" customHeight="1">
      <c r="A716" s="32"/>
      <c r="B716" s="65"/>
      <c r="C716" s="65"/>
      <c r="D716" s="32"/>
      <c r="E716" s="32"/>
      <c r="F716" s="32"/>
      <c r="G716" s="65"/>
      <c r="H716" s="67"/>
      <c r="I716" s="67"/>
      <c r="J716" s="32"/>
      <c r="K716" s="68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 ht="15.75" customHeight="1">
      <c r="A717" s="32"/>
      <c r="B717" s="65"/>
      <c r="C717" s="65"/>
      <c r="D717" s="32"/>
      <c r="E717" s="32"/>
      <c r="F717" s="32"/>
      <c r="G717" s="65"/>
      <c r="H717" s="67"/>
      <c r="I717" s="67"/>
      <c r="J717" s="32"/>
      <c r="K717" s="68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 ht="15.75" customHeight="1">
      <c r="A718" s="32"/>
      <c r="B718" s="65"/>
      <c r="C718" s="65"/>
      <c r="D718" s="32"/>
      <c r="E718" s="32"/>
      <c r="F718" s="32"/>
      <c r="G718" s="65"/>
      <c r="H718" s="67"/>
      <c r="I718" s="67"/>
      <c r="J718" s="32"/>
      <c r="K718" s="68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 ht="15.75" customHeight="1">
      <c r="A719" s="32"/>
      <c r="B719" s="65"/>
      <c r="C719" s="65"/>
      <c r="D719" s="32"/>
      <c r="E719" s="32"/>
      <c r="F719" s="32"/>
      <c r="G719" s="65"/>
      <c r="H719" s="67"/>
      <c r="I719" s="67"/>
      <c r="J719" s="32"/>
      <c r="K719" s="68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 ht="15.75" customHeight="1">
      <c r="A720" s="32"/>
      <c r="B720" s="65"/>
      <c r="C720" s="65"/>
      <c r="D720" s="32"/>
      <c r="E720" s="32"/>
      <c r="F720" s="32"/>
      <c r="G720" s="65"/>
      <c r="H720" s="67"/>
      <c r="I720" s="67"/>
      <c r="J720" s="32"/>
      <c r="K720" s="68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 ht="15.75" customHeight="1">
      <c r="A721" s="32"/>
      <c r="B721" s="65"/>
      <c r="C721" s="65"/>
      <c r="D721" s="32"/>
      <c r="E721" s="32"/>
      <c r="F721" s="32"/>
      <c r="G721" s="65"/>
      <c r="H721" s="67"/>
      <c r="I721" s="67"/>
      <c r="J721" s="32"/>
      <c r="K721" s="68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 ht="15.75" customHeight="1">
      <c r="A722" s="32"/>
      <c r="B722" s="65"/>
      <c r="C722" s="65"/>
      <c r="D722" s="32"/>
      <c r="E722" s="32"/>
      <c r="F722" s="32"/>
      <c r="G722" s="65"/>
      <c r="H722" s="67"/>
      <c r="I722" s="67"/>
      <c r="J722" s="32"/>
      <c r="K722" s="68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 ht="15.75" customHeight="1">
      <c r="A723" s="32"/>
      <c r="B723" s="65"/>
      <c r="C723" s="65"/>
      <c r="D723" s="32"/>
      <c r="E723" s="32"/>
      <c r="F723" s="32"/>
      <c r="G723" s="65"/>
      <c r="H723" s="67"/>
      <c r="I723" s="67"/>
      <c r="J723" s="32"/>
      <c r="K723" s="68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 ht="15.75" customHeight="1">
      <c r="A724" s="32"/>
      <c r="B724" s="65"/>
      <c r="C724" s="65"/>
      <c r="D724" s="32"/>
      <c r="E724" s="32"/>
      <c r="F724" s="32"/>
      <c r="G724" s="65"/>
      <c r="H724" s="67"/>
      <c r="I724" s="67"/>
      <c r="J724" s="32"/>
      <c r="K724" s="68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 ht="15.75" customHeight="1">
      <c r="A725" s="32"/>
      <c r="B725" s="65"/>
      <c r="C725" s="65"/>
      <c r="D725" s="32"/>
      <c r="E725" s="32"/>
      <c r="F725" s="32"/>
      <c r="G725" s="65"/>
      <c r="H725" s="67"/>
      <c r="I725" s="67"/>
      <c r="J725" s="32"/>
      <c r="K725" s="68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 ht="15.75" customHeight="1">
      <c r="A726" s="32"/>
      <c r="B726" s="65"/>
      <c r="C726" s="65"/>
      <c r="D726" s="32"/>
      <c r="E726" s="32"/>
      <c r="F726" s="32"/>
      <c r="G726" s="65"/>
      <c r="H726" s="67"/>
      <c r="I726" s="67"/>
      <c r="J726" s="32"/>
      <c r="K726" s="68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 ht="15.75" customHeight="1">
      <c r="A727" s="32"/>
      <c r="B727" s="65"/>
      <c r="C727" s="65"/>
      <c r="D727" s="32"/>
      <c r="E727" s="32"/>
      <c r="F727" s="32"/>
      <c r="G727" s="65"/>
      <c r="H727" s="67"/>
      <c r="I727" s="67"/>
      <c r="J727" s="32"/>
      <c r="K727" s="68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 ht="15.75" customHeight="1">
      <c r="A728" s="32"/>
      <c r="B728" s="65"/>
      <c r="C728" s="65"/>
      <c r="D728" s="32"/>
      <c r="E728" s="32"/>
      <c r="F728" s="32"/>
      <c r="G728" s="65"/>
      <c r="H728" s="67"/>
      <c r="I728" s="67"/>
      <c r="J728" s="32"/>
      <c r="K728" s="68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 ht="15.75" customHeight="1">
      <c r="A729" s="32"/>
      <c r="B729" s="65"/>
      <c r="C729" s="65"/>
      <c r="D729" s="32"/>
      <c r="E729" s="32"/>
      <c r="F729" s="32"/>
      <c r="G729" s="65"/>
      <c r="H729" s="67"/>
      <c r="I729" s="67"/>
      <c r="J729" s="32"/>
      <c r="K729" s="68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 ht="15.75" customHeight="1">
      <c r="A730" s="32"/>
      <c r="B730" s="65"/>
      <c r="C730" s="65"/>
      <c r="D730" s="32"/>
      <c r="E730" s="32"/>
      <c r="F730" s="32"/>
      <c r="G730" s="65"/>
      <c r="H730" s="67"/>
      <c r="I730" s="67"/>
      <c r="J730" s="32"/>
      <c r="K730" s="68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 ht="15.75" customHeight="1">
      <c r="A731" s="32"/>
      <c r="B731" s="65"/>
      <c r="C731" s="65"/>
      <c r="D731" s="32"/>
      <c r="E731" s="32"/>
      <c r="F731" s="32"/>
      <c r="G731" s="65"/>
      <c r="H731" s="67"/>
      <c r="I731" s="67"/>
      <c r="J731" s="32"/>
      <c r="K731" s="68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 ht="15.75" customHeight="1">
      <c r="A732" s="32"/>
      <c r="B732" s="65"/>
      <c r="C732" s="65"/>
      <c r="D732" s="32"/>
      <c r="E732" s="32"/>
      <c r="F732" s="32"/>
      <c r="G732" s="65"/>
      <c r="H732" s="67"/>
      <c r="I732" s="67"/>
      <c r="J732" s="32"/>
      <c r="K732" s="68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ht="15.75" customHeight="1">
      <c r="A733" s="32"/>
      <c r="B733" s="65"/>
      <c r="C733" s="65"/>
      <c r="D733" s="32"/>
      <c r="E733" s="32"/>
      <c r="F733" s="32"/>
      <c r="G733" s="65"/>
      <c r="H733" s="67"/>
      <c r="I733" s="67"/>
      <c r="J733" s="32"/>
      <c r="K733" s="68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 ht="15.75" customHeight="1">
      <c r="A734" s="32"/>
      <c r="B734" s="65"/>
      <c r="C734" s="65"/>
      <c r="D734" s="32"/>
      <c r="E734" s="32"/>
      <c r="F734" s="32"/>
      <c r="G734" s="65"/>
      <c r="H734" s="67"/>
      <c r="I734" s="67"/>
      <c r="J734" s="32"/>
      <c r="K734" s="68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 ht="15.75" customHeight="1">
      <c r="A735" s="32"/>
      <c r="B735" s="65"/>
      <c r="C735" s="65"/>
      <c r="D735" s="32"/>
      <c r="E735" s="32"/>
      <c r="F735" s="32"/>
      <c r="G735" s="65"/>
      <c r="H735" s="67"/>
      <c r="I735" s="67"/>
      <c r="J735" s="32"/>
      <c r="K735" s="68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 ht="15.75" customHeight="1">
      <c r="A736" s="32"/>
      <c r="B736" s="65"/>
      <c r="C736" s="65"/>
      <c r="D736" s="32"/>
      <c r="E736" s="32"/>
      <c r="F736" s="32"/>
      <c r="G736" s="65"/>
      <c r="H736" s="67"/>
      <c r="I736" s="67"/>
      <c r="J736" s="32"/>
      <c r="K736" s="68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 ht="15.75" customHeight="1">
      <c r="A737" s="32"/>
      <c r="B737" s="65"/>
      <c r="C737" s="65"/>
      <c r="D737" s="32"/>
      <c r="E737" s="32"/>
      <c r="F737" s="32"/>
      <c r="G737" s="65"/>
      <c r="H737" s="67"/>
      <c r="I737" s="67"/>
      <c r="J737" s="32"/>
      <c r="K737" s="68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 ht="15.75" customHeight="1">
      <c r="A738" s="32"/>
      <c r="B738" s="65"/>
      <c r="C738" s="65"/>
      <c r="D738" s="32"/>
      <c r="E738" s="32"/>
      <c r="F738" s="32"/>
      <c r="G738" s="65"/>
      <c r="H738" s="67"/>
      <c r="I738" s="67"/>
      <c r="J738" s="32"/>
      <c r="K738" s="68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 ht="15.75" customHeight="1">
      <c r="A739" s="32"/>
      <c r="B739" s="65"/>
      <c r="C739" s="65"/>
      <c r="D739" s="32"/>
      <c r="E739" s="32"/>
      <c r="F739" s="32"/>
      <c r="G739" s="65"/>
      <c r="H739" s="67"/>
      <c r="I739" s="67"/>
      <c r="J739" s="32"/>
      <c r="K739" s="68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 ht="15.75" customHeight="1">
      <c r="A740" s="32"/>
      <c r="B740" s="65"/>
      <c r="C740" s="65"/>
      <c r="D740" s="32"/>
      <c r="E740" s="32"/>
      <c r="F740" s="32"/>
      <c r="G740" s="65"/>
      <c r="H740" s="67"/>
      <c r="I740" s="67"/>
      <c r="J740" s="32"/>
      <c r="K740" s="68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 ht="15.75" customHeight="1">
      <c r="A741" s="32"/>
      <c r="B741" s="65"/>
      <c r="C741" s="65"/>
      <c r="D741" s="32"/>
      <c r="E741" s="32"/>
      <c r="F741" s="32"/>
      <c r="G741" s="65"/>
      <c r="H741" s="67"/>
      <c r="I741" s="67"/>
      <c r="J741" s="32"/>
      <c r="K741" s="68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 ht="15.75" customHeight="1">
      <c r="A742" s="32"/>
      <c r="B742" s="65"/>
      <c r="C742" s="65"/>
      <c r="D742" s="32"/>
      <c r="E742" s="32"/>
      <c r="F742" s="32"/>
      <c r="G742" s="65"/>
      <c r="H742" s="67"/>
      <c r="I742" s="67"/>
      <c r="J742" s="32"/>
      <c r="K742" s="68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 ht="15.75" customHeight="1">
      <c r="A743" s="32"/>
      <c r="B743" s="65"/>
      <c r="C743" s="65"/>
      <c r="D743" s="32"/>
      <c r="E743" s="32"/>
      <c r="F743" s="32"/>
      <c r="G743" s="65"/>
      <c r="H743" s="67"/>
      <c r="I743" s="67"/>
      <c r="J743" s="32"/>
      <c r="K743" s="68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 ht="15.75" customHeight="1">
      <c r="A744" s="32"/>
      <c r="B744" s="65"/>
      <c r="C744" s="65"/>
      <c r="D744" s="32"/>
      <c r="E744" s="32"/>
      <c r="F744" s="32"/>
      <c r="G744" s="65"/>
      <c r="H744" s="67"/>
      <c r="I744" s="67"/>
      <c r="J744" s="32"/>
      <c r="K744" s="68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 ht="15.75" customHeight="1">
      <c r="A745" s="32"/>
      <c r="B745" s="65"/>
      <c r="C745" s="65"/>
      <c r="D745" s="32"/>
      <c r="E745" s="32"/>
      <c r="F745" s="32"/>
      <c r="G745" s="65"/>
      <c r="H745" s="67"/>
      <c r="I745" s="67"/>
      <c r="J745" s="32"/>
      <c r="K745" s="68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 ht="15.75" customHeight="1">
      <c r="A746" s="32"/>
      <c r="B746" s="65"/>
      <c r="C746" s="65"/>
      <c r="D746" s="32"/>
      <c r="E746" s="32"/>
      <c r="F746" s="32"/>
      <c r="G746" s="65"/>
      <c r="H746" s="67"/>
      <c r="I746" s="67"/>
      <c r="J746" s="32"/>
      <c r="K746" s="68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 ht="15.75" customHeight="1">
      <c r="A747" s="32"/>
      <c r="B747" s="65"/>
      <c r="C747" s="65"/>
      <c r="D747" s="32"/>
      <c r="E747" s="32"/>
      <c r="F747" s="32"/>
      <c r="G747" s="65"/>
      <c r="H747" s="67"/>
      <c r="I747" s="67"/>
      <c r="J747" s="32"/>
      <c r="K747" s="68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 ht="15.75" customHeight="1">
      <c r="A748" s="32"/>
      <c r="B748" s="65"/>
      <c r="C748" s="65"/>
      <c r="D748" s="32"/>
      <c r="E748" s="32"/>
      <c r="F748" s="32"/>
      <c r="G748" s="65"/>
      <c r="H748" s="67"/>
      <c r="I748" s="67"/>
      <c r="J748" s="32"/>
      <c r="K748" s="68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 ht="15.75" customHeight="1">
      <c r="A749" s="32"/>
      <c r="B749" s="65"/>
      <c r="C749" s="65"/>
      <c r="D749" s="32"/>
      <c r="E749" s="32"/>
      <c r="F749" s="32"/>
      <c r="G749" s="65"/>
      <c r="H749" s="67"/>
      <c r="I749" s="67"/>
      <c r="J749" s="32"/>
      <c r="K749" s="68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 ht="15.75" customHeight="1">
      <c r="A750" s="32"/>
      <c r="B750" s="65"/>
      <c r="C750" s="65"/>
      <c r="D750" s="32"/>
      <c r="E750" s="32"/>
      <c r="F750" s="32"/>
      <c r="G750" s="65"/>
      <c r="H750" s="67"/>
      <c r="I750" s="67"/>
      <c r="J750" s="32"/>
      <c r="K750" s="68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 ht="15.75" customHeight="1">
      <c r="A751" s="32"/>
      <c r="B751" s="65"/>
      <c r="C751" s="65"/>
      <c r="D751" s="32"/>
      <c r="E751" s="32"/>
      <c r="F751" s="32"/>
      <c r="G751" s="65"/>
      <c r="H751" s="67"/>
      <c r="I751" s="67"/>
      <c r="J751" s="32"/>
      <c r="K751" s="68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 ht="15.75" customHeight="1">
      <c r="A752" s="32"/>
      <c r="B752" s="65"/>
      <c r="C752" s="65"/>
      <c r="D752" s="32"/>
      <c r="E752" s="32"/>
      <c r="F752" s="32"/>
      <c r="G752" s="65"/>
      <c r="H752" s="67"/>
      <c r="I752" s="67"/>
      <c r="J752" s="32"/>
      <c r="K752" s="68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 ht="15.75" customHeight="1">
      <c r="A753" s="32"/>
      <c r="B753" s="65"/>
      <c r="C753" s="65"/>
      <c r="D753" s="32"/>
      <c r="E753" s="32"/>
      <c r="F753" s="32"/>
      <c r="G753" s="65"/>
      <c r="H753" s="67"/>
      <c r="I753" s="67"/>
      <c r="J753" s="32"/>
      <c r="K753" s="68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 ht="15.75" customHeight="1">
      <c r="A754" s="32"/>
      <c r="B754" s="65"/>
      <c r="C754" s="65"/>
      <c r="D754" s="32"/>
      <c r="E754" s="32"/>
      <c r="F754" s="32"/>
      <c r="G754" s="65"/>
      <c r="H754" s="67"/>
      <c r="I754" s="67"/>
      <c r="J754" s="32"/>
      <c r="K754" s="68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 ht="15.75" customHeight="1">
      <c r="A755" s="32"/>
      <c r="B755" s="65"/>
      <c r="C755" s="65"/>
      <c r="D755" s="32"/>
      <c r="E755" s="32"/>
      <c r="F755" s="32"/>
      <c r="G755" s="65"/>
      <c r="H755" s="67"/>
      <c r="I755" s="67"/>
      <c r="J755" s="32"/>
      <c r="K755" s="68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 ht="15.75" customHeight="1">
      <c r="A756" s="32"/>
      <c r="B756" s="65"/>
      <c r="C756" s="65"/>
      <c r="D756" s="32"/>
      <c r="E756" s="32"/>
      <c r="F756" s="32"/>
      <c r="G756" s="65"/>
      <c r="H756" s="67"/>
      <c r="I756" s="67"/>
      <c r="J756" s="32"/>
      <c r="K756" s="68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 ht="15.75" customHeight="1">
      <c r="A757" s="32"/>
      <c r="B757" s="65"/>
      <c r="C757" s="65"/>
      <c r="D757" s="32"/>
      <c r="E757" s="32"/>
      <c r="F757" s="32"/>
      <c r="G757" s="65"/>
      <c r="H757" s="67"/>
      <c r="I757" s="67"/>
      <c r="J757" s="32"/>
      <c r="K757" s="68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 ht="15.75" customHeight="1">
      <c r="A758" s="32"/>
      <c r="B758" s="65"/>
      <c r="C758" s="65"/>
      <c r="D758" s="32"/>
      <c r="E758" s="32"/>
      <c r="F758" s="32"/>
      <c r="G758" s="65"/>
      <c r="H758" s="67"/>
      <c r="I758" s="67"/>
      <c r="J758" s="32"/>
      <c r="K758" s="68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 ht="15.75" customHeight="1">
      <c r="A759" s="32"/>
      <c r="B759" s="65"/>
      <c r="C759" s="65"/>
      <c r="D759" s="32"/>
      <c r="E759" s="32"/>
      <c r="F759" s="32"/>
      <c r="G759" s="65"/>
      <c r="H759" s="67"/>
      <c r="I759" s="67"/>
      <c r="J759" s="32"/>
      <c r="K759" s="68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 ht="15.75" customHeight="1">
      <c r="A760" s="32"/>
      <c r="B760" s="65"/>
      <c r="C760" s="65"/>
      <c r="D760" s="32"/>
      <c r="E760" s="32"/>
      <c r="F760" s="32"/>
      <c r="G760" s="65"/>
      <c r="H760" s="67"/>
      <c r="I760" s="67"/>
      <c r="J760" s="32"/>
      <c r="K760" s="68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 ht="15.75" customHeight="1">
      <c r="A761" s="32"/>
      <c r="B761" s="65"/>
      <c r="C761" s="65"/>
      <c r="D761" s="32"/>
      <c r="E761" s="32"/>
      <c r="F761" s="32"/>
      <c r="G761" s="65"/>
      <c r="H761" s="67"/>
      <c r="I761" s="67"/>
      <c r="J761" s="32"/>
      <c r="K761" s="68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 ht="15.75" customHeight="1">
      <c r="A762" s="32"/>
      <c r="B762" s="65"/>
      <c r="C762" s="65"/>
      <c r="D762" s="32"/>
      <c r="E762" s="32"/>
      <c r="F762" s="32"/>
      <c r="G762" s="65"/>
      <c r="H762" s="67"/>
      <c r="I762" s="67"/>
      <c r="J762" s="32"/>
      <c r="K762" s="68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 ht="15.75" customHeight="1">
      <c r="A763" s="32"/>
      <c r="B763" s="65"/>
      <c r="C763" s="65"/>
      <c r="D763" s="32"/>
      <c r="E763" s="32"/>
      <c r="F763" s="32"/>
      <c r="G763" s="65"/>
      <c r="H763" s="67"/>
      <c r="I763" s="67"/>
      <c r="J763" s="32"/>
      <c r="K763" s="68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 ht="15.75" customHeight="1">
      <c r="A764" s="32"/>
      <c r="B764" s="65"/>
      <c r="C764" s="65"/>
      <c r="D764" s="32"/>
      <c r="E764" s="32"/>
      <c r="F764" s="32"/>
      <c r="G764" s="65"/>
      <c r="H764" s="67"/>
      <c r="I764" s="67"/>
      <c r="J764" s="32"/>
      <c r="K764" s="68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 ht="15.75" customHeight="1">
      <c r="A765" s="32"/>
      <c r="B765" s="65"/>
      <c r="C765" s="65"/>
      <c r="D765" s="32"/>
      <c r="E765" s="32"/>
      <c r="F765" s="32"/>
      <c r="G765" s="65"/>
      <c r="H765" s="67"/>
      <c r="I765" s="67"/>
      <c r="J765" s="32"/>
      <c r="K765" s="68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 ht="15.75" customHeight="1">
      <c r="A766" s="32"/>
      <c r="B766" s="65"/>
      <c r="C766" s="65"/>
      <c r="D766" s="32"/>
      <c r="E766" s="32"/>
      <c r="F766" s="32"/>
      <c r="G766" s="65"/>
      <c r="H766" s="67"/>
      <c r="I766" s="67"/>
      <c r="J766" s="32"/>
      <c r="K766" s="68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 ht="15.75" customHeight="1">
      <c r="A767" s="32"/>
      <c r="B767" s="65"/>
      <c r="C767" s="65"/>
      <c r="D767" s="32"/>
      <c r="E767" s="32"/>
      <c r="F767" s="32"/>
      <c r="G767" s="65"/>
      <c r="H767" s="67"/>
      <c r="I767" s="67"/>
      <c r="J767" s="32"/>
      <c r="K767" s="68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 ht="15.75" customHeight="1">
      <c r="A768" s="32"/>
      <c r="B768" s="65"/>
      <c r="C768" s="65"/>
      <c r="D768" s="32"/>
      <c r="E768" s="32"/>
      <c r="F768" s="32"/>
      <c r="G768" s="65"/>
      <c r="H768" s="67"/>
      <c r="I768" s="67"/>
      <c r="J768" s="32"/>
      <c r="K768" s="68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 ht="15.75" customHeight="1">
      <c r="A769" s="32"/>
      <c r="B769" s="65"/>
      <c r="C769" s="65"/>
      <c r="D769" s="32"/>
      <c r="E769" s="32"/>
      <c r="F769" s="32"/>
      <c r="G769" s="65"/>
      <c r="H769" s="67"/>
      <c r="I769" s="67"/>
      <c r="J769" s="32"/>
      <c r="K769" s="68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 ht="15.75" customHeight="1">
      <c r="A770" s="32"/>
      <c r="B770" s="65"/>
      <c r="C770" s="65"/>
      <c r="D770" s="32"/>
      <c r="E770" s="32"/>
      <c r="F770" s="32"/>
      <c r="G770" s="65"/>
      <c r="H770" s="67"/>
      <c r="I770" s="67"/>
      <c r="J770" s="32"/>
      <c r="K770" s="68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 ht="15.75" customHeight="1">
      <c r="A771" s="32"/>
      <c r="B771" s="65"/>
      <c r="C771" s="65"/>
      <c r="D771" s="32"/>
      <c r="E771" s="32"/>
      <c r="F771" s="32"/>
      <c r="G771" s="65"/>
      <c r="H771" s="67"/>
      <c r="I771" s="67"/>
      <c r="J771" s="32"/>
      <c r="K771" s="68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 ht="15.75" customHeight="1">
      <c r="A772" s="32"/>
      <c r="B772" s="65"/>
      <c r="C772" s="65"/>
      <c r="D772" s="32"/>
      <c r="E772" s="32"/>
      <c r="F772" s="32"/>
      <c r="G772" s="65"/>
      <c r="H772" s="67"/>
      <c r="I772" s="67"/>
      <c r="J772" s="32"/>
      <c r="K772" s="68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 ht="15.75" customHeight="1">
      <c r="A773" s="32"/>
      <c r="B773" s="65"/>
      <c r="C773" s="65"/>
      <c r="D773" s="32"/>
      <c r="E773" s="32"/>
      <c r="F773" s="32"/>
      <c r="G773" s="65"/>
      <c r="H773" s="67"/>
      <c r="I773" s="67"/>
      <c r="J773" s="32"/>
      <c r="K773" s="68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 ht="15.75" customHeight="1">
      <c r="A774" s="32"/>
      <c r="B774" s="65"/>
      <c r="C774" s="65"/>
      <c r="D774" s="32"/>
      <c r="E774" s="32"/>
      <c r="F774" s="32"/>
      <c r="G774" s="65"/>
      <c r="H774" s="67"/>
      <c r="I774" s="67"/>
      <c r="J774" s="32"/>
      <c r="K774" s="68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 ht="15.75" customHeight="1">
      <c r="A775" s="32"/>
      <c r="B775" s="65"/>
      <c r="C775" s="65"/>
      <c r="D775" s="32"/>
      <c r="E775" s="32"/>
      <c r="F775" s="32"/>
      <c r="G775" s="65"/>
      <c r="H775" s="67"/>
      <c r="I775" s="67"/>
      <c r="J775" s="32"/>
      <c r="K775" s="68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 ht="15.75" customHeight="1">
      <c r="A776" s="32"/>
      <c r="B776" s="65"/>
      <c r="C776" s="65"/>
      <c r="D776" s="32"/>
      <c r="E776" s="32"/>
      <c r="F776" s="32"/>
      <c r="G776" s="65"/>
      <c r="H776" s="67"/>
      <c r="I776" s="67"/>
      <c r="J776" s="32"/>
      <c r="K776" s="68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 ht="15.75" customHeight="1">
      <c r="A777" s="32"/>
      <c r="B777" s="65"/>
      <c r="C777" s="65"/>
      <c r="D777" s="32"/>
      <c r="E777" s="32"/>
      <c r="F777" s="32"/>
      <c r="G777" s="65"/>
      <c r="H777" s="67"/>
      <c r="I777" s="67"/>
      <c r="J777" s="32"/>
      <c r="K777" s="68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 ht="15.75" customHeight="1">
      <c r="A778" s="32"/>
      <c r="B778" s="65"/>
      <c r="C778" s="65"/>
      <c r="D778" s="32"/>
      <c r="E778" s="32"/>
      <c r="F778" s="32"/>
      <c r="G778" s="65"/>
      <c r="H778" s="67"/>
      <c r="I778" s="67"/>
      <c r="J778" s="32"/>
      <c r="K778" s="68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 ht="15.75" customHeight="1">
      <c r="A779" s="32"/>
      <c r="B779" s="65"/>
      <c r="C779" s="65"/>
      <c r="D779" s="32"/>
      <c r="E779" s="32"/>
      <c r="F779" s="32"/>
      <c r="G779" s="65"/>
      <c r="H779" s="67"/>
      <c r="I779" s="67"/>
      <c r="J779" s="32"/>
      <c r="K779" s="68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 ht="15.75" customHeight="1">
      <c r="A780" s="32"/>
      <c r="B780" s="65"/>
      <c r="C780" s="65"/>
      <c r="D780" s="32"/>
      <c r="E780" s="32"/>
      <c r="F780" s="32"/>
      <c r="G780" s="65"/>
      <c r="H780" s="67"/>
      <c r="I780" s="67"/>
      <c r="J780" s="32"/>
      <c r="K780" s="68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 ht="15.75" customHeight="1">
      <c r="A781" s="32"/>
      <c r="B781" s="65"/>
      <c r="C781" s="65"/>
      <c r="D781" s="32"/>
      <c r="E781" s="32"/>
      <c r="F781" s="32"/>
      <c r="G781" s="65"/>
      <c r="H781" s="67"/>
      <c r="I781" s="67"/>
      <c r="J781" s="32"/>
      <c r="K781" s="68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 ht="15.75" customHeight="1">
      <c r="A782" s="32"/>
      <c r="B782" s="65"/>
      <c r="C782" s="65"/>
      <c r="D782" s="32"/>
      <c r="E782" s="32"/>
      <c r="F782" s="32"/>
      <c r="G782" s="65"/>
      <c r="H782" s="67"/>
      <c r="I782" s="67"/>
      <c r="J782" s="32"/>
      <c r="K782" s="68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 ht="15.75" customHeight="1">
      <c r="A783" s="32"/>
      <c r="B783" s="65"/>
      <c r="C783" s="65"/>
      <c r="D783" s="32"/>
      <c r="E783" s="32"/>
      <c r="F783" s="32"/>
      <c r="G783" s="65"/>
      <c r="H783" s="67"/>
      <c r="I783" s="67"/>
      <c r="J783" s="32"/>
      <c r="K783" s="68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 ht="15.75" customHeight="1">
      <c r="A784" s="32"/>
      <c r="B784" s="65"/>
      <c r="C784" s="65"/>
      <c r="D784" s="32"/>
      <c r="E784" s="32"/>
      <c r="F784" s="32"/>
      <c r="G784" s="65"/>
      <c r="H784" s="67"/>
      <c r="I784" s="67"/>
      <c r="J784" s="32"/>
      <c r="K784" s="68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 ht="15.75" customHeight="1">
      <c r="A785" s="32"/>
      <c r="B785" s="65"/>
      <c r="C785" s="65"/>
      <c r="D785" s="32"/>
      <c r="E785" s="32"/>
      <c r="F785" s="32"/>
      <c r="G785" s="65"/>
      <c r="H785" s="67"/>
      <c r="I785" s="67"/>
      <c r="J785" s="32"/>
      <c r="K785" s="68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 ht="15.75" customHeight="1">
      <c r="A786" s="32"/>
      <c r="B786" s="65"/>
      <c r="C786" s="65"/>
      <c r="D786" s="32"/>
      <c r="E786" s="32"/>
      <c r="F786" s="32"/>
      <c r="G786" s="65"/>
      <c r="H786" s="67"/>
      <c r="I786" s="67"/>
      <c r="J786" s="32"/>
      <c r="K786" s="68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 ht="15.75" customHeight="1">
      <c r="A787" s="32"/>
      <c r="B787" s="65"/>
      <c r="C787" s="65"/>
      <c r="D787" s="32"/>
      <c r="E787" s="32"/>
      <c r="F787" s="32"/>
      <c r="G787" s="65"/>
      <c r="H787" s="67"/>
      <c r="I787" s="67"/>
      <c r="J787" s="32"/>
      <c r="K787" s="68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 ht="15.75" customHeight="1">
      <c r="A788" s="32"/>
      <c r="B788" s="65"/>
      <c r="C788" s="65"/>
      <c r="D788" s="32"/>
      <c r="E788" s="32"/>
      <c r="F788" s="32"/>
      <c r="G788" s="65"/>
      <c r="H788" s="67"/>
      <c r="I788" s="67"/>
      <c r="J788" s="32"/>
      <c r="K788" s="68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 ht="15.75" customHeight="1">
      <c r="A789" s="32"/>
      <c r="B789" s="65"/>
      <c r="C789" s="65"/>
      <c r="D789" s="32"/>
      <c r="E789" s="32"/>
      <c r="F789" s="32"/>
      <c r="G789" s="65"/>
      <c r="H789" s="67"/>
      <c r="I789" s="67"/>
      <c r="J789" s="32"/>
      <c r="K789" s="68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 ht="15.75" customHeight="1">
      <c r="A790" s="32"/>
      <c r="B790" s="65"/>
      <c r="C790" s="65"/>
      <c r="D790" s="32"/>
      <c r="E790" s="32"/>
      <c r="F790" s="32"/>
      <c r="G790" s="65"/>
      <c r="H790" s="67"/>
      <c r="I790" s="67"/>
      <c r="J790" s="32"/>
      <c r="K790" s="68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 ht="15.75" customHeight="1">
      <c r="A791" s="32"/>
      <c r="B791" s="65"/>
      <c r="C791" s="65"/>
      <c r="D791" s="32"/>
      <c r="E791" s="32"/>
      <c r="F791" s="32"/>
      <c r="G791" s="65"/>
      <c r="H791" s="67"/>
      <c r="I791" s="67"/>
      <c r="J791" s="32"/>
      <c r="K791" s="68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 ht="15.75" customHeight="1">
      <c r="A792" s="32"/>
      <c r="B792" s="65"/>
      <c r="C792" s="65"/>
      <c r="D792" s="32"/>
      <c r="E792" s="32"/>
      <c r="F792" s="32"/>
      <c r="G792" s="65"/>
      <c r="H792" s="67"/>
      <c r="I792" s="67"/>
      <c r="J792" s="32"/>
      <c r="K792" s="68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 ht="15.75" customHeight="1">
      <c r="A793" s="32"/>
      <c r="B793" s="65"/>
      <c r="C793" s="65"/>
      <c r="D793" s="32"/>
      <c r="E793" s="32"/>
      <c r="F793" s="32"/>
      <c r="G793" s="65"/>
      <c r="H793" s="67"/>
      <c r="I793" s="67"/>
      <c r="J793" s="32"/>
      <c r="K793" s="68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 ht="15.75" customHeight="1">
      <c r="A794" s="32"/>
      <c r="B794" s="65"/>
      <c r="C794" s="65"/>
      <c r="D794" s="32"/>
      <c r="E794" s="32"/>
      <c r="F794" s="32"/>
      <c r="G794" s="65"/>
      <c r="H794" s="67"/>
      <c r="I794" s="67"/>
      <c r="J794" s="32"/>
      <c r="K794" s="68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 ht="15.75" customHeight="1">
      <c r="A795" s="32"/>
      <c r="B795" s="65"/>
      <c r="C795" s="65"/>
      <c r="D795" s="32"/>
      <c r="E795" s="32"/>
      <c r="F795" s="32"/>
      <c r="G795" s="65"/>
      <c r="H795" s="67"/>
      <c r="I795" s="67"/>
      <c r="J795" s="32"/>
      <c r="K795" s="68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 ht="15.75" customHeight="1">
      <c r="A796" s="32"/>
      <c r="B796" s="65"/>
      <c r="C796" s="65"/>
      <c r="D796" s="32"/>
      <c r="E796" s="32"/>
      <c r="F796" s="32"/>
      <c r="G796" s="65"/>
      <c r="H796" s="67"/>
      <c r="I796" s="67"/>
      <c r="J796" s="32"/>
      <c r="K796" s="68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 ht="15.75" customHeight="1">
      <c r="A797" s="32"/>
      <c r="B797" s="65"/>
      <c r="C797" s="65"/>
      <c r="D797" s="32"/>
      <c r="E797" s="32"/>
      <c r="F797" s="32"/>
      <c r="G797" s="65"/>
      <c r="H797" s="67"/>
      <c r="I797" s="67"/>
      <c r="J797" s="32"/>
      <c r="K797" s="68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 ht="15.75" customHeight="1">
      <c r="A798" s="32"/>
      <c r="B798" s="65"/>
      <c r="C798" s="65"/>
      <c r="D798" s="32"/>
      <c r="E798" s="32"/>
      <c r="F798" s="32"/>
      <c r="G798" s="65"/>
      <c r="H798" s="67"/>
      <c r="I798" s="67"/>
      <c r="J798" s="32"/>
      <c r="K798" s="68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 ht="15.75" customHeight="1">
      <c r="A799" s="32"/>
      <c r="B799" s="65"/>
      <c r="C799" s="65"/>
      <c r="D799" s="32"/>
      <c r="E799" s="32"/>
      <c r="F799" s="32"/>
      <c r="G799" s="65"/>
      <c r="H799" s="67"/>
      <c r="I799" s="67"/>
      <c r="J799" s="32"/>
      <c r="K799" s="68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 ht="15.75" customHeight="1">
      <c r="A800" s="32"/>
      <c r="B800" s="65"/>
      <c r="C800" s="65"/>
      <c r="D800" s="32"/>
      <c r="E800" s="32"/>
      <c r="F800" s="32"/>
      <c r="G800" s="65"/>
      <c r="H800" s="67"/>
      <c r="I800" s="67"/>
      <c r="J800" s="32"/>
      <c r="K800" s="68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 ht="15.75" customHeight="1">
      <c r="A801" s="32"/>
      <c r="B801" s="65"/>
      <c r="C801" s="65"/>
      <c r="D801" s="32"/>
      <c r="E801" s="32"/>
      <c r="F801" s="32"/>
      <c r="G801" s="65"/>
      <c r="H801" s="67"/>
      <c r="I801" s="67"/>
      <c r="J801" s="32"/>
      <c r="K801" s="68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 ht="15.75" customHeight="1">
      <c r="A802" s="32"/>
      <c r="B802" s="65"/>
      <c r="C802" s="65"/>
      <c r="D802" s="32"/>
      <c r="E802" s="32"/>
      <c r="F802" s="32"/>
      <c r="G802" s="65"/>
      <c r="H802" s="67"/>
      <c r="I802" s="67"/>
      <c r="J802" s="32"/>
      <c r="K802" s="68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 ht="15.75" customHeight="1">
      <c r="A803" s="32"/>
      <c r="B803" s="65"/>
      <c r="C803" s="65"/>
      <c r="D803" s="32"/>
      <c r="E803" s="32"/>
      <c r="F803" s="32"/>
      <c r="G803" s="65"/>
      <c r="H803" s="67"/>
      <c r="I803" s="67"/>
      <c r="J803" s="32"/>
      <c r="K803" s="68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 ht="15.75" customHeight="1">
      <c r="A804" s="32"/>
      <c r="B804" s="65"/>
      <c r="C804" s="65"/>
      <c r="D804" s="32"/>
      <c r="E804" s="32"/>
      <c r="F804" s="32"/>
      <c r="G804" s="65"/>
      <c r="H804" s="67"/>
      <c r="I804" s="67"/>
      <c r="J804" s="32"/>
      <c r="K804" s="68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 ht="15.75" customHeight="1">
      <c r="A805" s="32"/>
      <c r="B805" s="65"/>
      <c r="C805" s="65"/>
      <c r="D805" s="32"/>
      <c r="E805" s="32"/>
      <c r="F805" s="32"/>
      <c r="G805" s="65"/>
      <c r="H805" s="67"/>
      <c r="I805" s="67"/>
      <c r="J805" s="32"/>
      <c r="K805" s="68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 ht="15.75" customHeight="1">
      <c r="A806" s="32"/>
      <c r="B806" s="65"/>
      <c r="C806" s="65"/>
      <c r="D806" s="32"/>
      <c r="E806" s="32"/>
      <c r="F806" s="32"/>
      <c r="G806" s="65"/>
      <c r="H806" s="67"/>
      <c r="I806" s="67"/>
      <c r="J806" s="32"/>
      <c r="K806" s="68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 ht="15.75" customHeight="1">
      <c r="A807" s="32"/>
      <c r="B807" s="65"/>
      <c r="C807" s="65"/>
      <c r="D807" s="32"/>
      <c r="E807" s="32"/>
      <c r="F807" s="32"/>
      <c r="G807" s="65"/>
      <c r="H807" s="67"/>
      <c r="I807" s="67"/>
      <c r="J807" s="32"/>
      <c r="K807" s="68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 ht="15.75" customHeight="1">
      <c r="A808" s="32"/>
      <c r="B808" s="65"/>
      <c r="C808" s="65"/>
      <c r="D808" s="32"/>
      <c r="E808" s="32"/>
      <c r="F808" s="32"/>
      <c r="G808" s="65"/>
      <c r="H808" s="67"/>
      <c r="I808" s="67"/>
      <c r="J808" s="32"/>
      <c r="K808" s="68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 ht="15.75" customHeight="1">
      <c r="A809" s="32"/>
      <c r="B809" s="65"/>
      <c r="C809" s="65"/>
      <c r="D809" s="32"/>
      <c r="E809" s="32"/>
      <c r="F809" s="32"/>
      <c r="G809" s="65"/>
      <c r="H809" s="67"/>
      <c r="I809" s="67"/>
      <c r="J809" s="32"/>
      <c r="K809" s="68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 ht="15.75" customHeight="1">
      <c r="A810" s="32"/>
      <c r="B810" s="65"/>
      <c r="C810" s="65"/>
      <c r="D810" s="32"/>
      <c r="E810" s="32"/>
      <c r="F810" s="32"/>
      <c r="G810" s="65"/>
      <c r="H810" s="67"/>
      <c r="I810" s="67"/>
      <c r="J810" s="32"/>
      <c r="K810" s="68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 ht="15.75" customHeight="1">
      <c r="A811" s="32"/>
      <c r="B811" s="65"/>
      <c r="C811" s="65"/>
      <c r="D811" s="32"/>
      <c r="E811" s="32"/>
      <c r="F811" s="32"/>
      <c r="G811" s="65"/>
      <c r="H811" s="67"/>
      <c r="I811" s="67"/>
      <c r="J811" s="32"/>
      <c r="K811" s="68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 ht="15.75" customHeight="1">
      <c r="A812" s="32"/>
      <c r="B812" s="65"/>
      <c r="C812" s="65"/>
      <c r="D812" s="32"/>
      <c r="E812" s="32"/>
      <c r="F812" s="32"/>
      <c r="G812" s="65"/>
      <c r="H812" s="67"/>
      <c r="I812" s="67"/>
      <c r="J812" s="32"/>
      <c r="K812" s="68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 ht="15.75" customHeight="1">
      <c r="A813" s="32"/>
      <c r="B813" s="65"/>
      <c r="C813" s="65"/>
      <c r="D813" s="32"/>
      <c r="E813" s="32"/>
      <c r="F813" s="32"/>
      <c r="G813" s="65"/>
      <c r="H813" s="67"/>
      <c r="I813" s="67"/>
      <c r="J813" s="32"/>
      <c r="K813" s="68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 ht="15.75" customHeight="1">
      <c r="A814" s="32"/>
      <c r="B814" s="65"/>
      <c r="C814" s="65"/>
      <c r="D814" s="32"/>
      <c r="E814" s="32"/>
      <c r="F814" s="32"/>
      <c r="G814" s="65"/>
      <c r="H814" s="67"/>
      <c r="I814" s="67"/>
      <c r="J814" s="32"/>
      <c r="K814" s="68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</row>
    <row r="815" ht="15.75" customHeight="1">
      <c r="A815" s="32"/>
      <c r="B815" s="65"/>
      <c r="C815" s="65"/>
      <c r="D815" s="32"/>
      <c r="E815" s="32"/>
      <c r="F815" s="32"/>
      <c r="G815" s="65"/>
      <c r="H815" s="67"/>
      <c r="I815" s="67"/>
      <c r="J815" s="32"/>
      <c r="K815" s="68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</row>
    <row r="816" ht="15.75" customHeight="1">
      <c r="A816" s="32"/>
      <c r="B816" s="65"/>
      <c r="C816" s="65"/>
      <c r="D816" s="32"/>
      <c r="E816" s="32"/>
      <c r="F816" s="32"/>
      <c r="G816" s="65"/>
      <c r="H816" s="67"/>
      <c r="I816" s="67"/>
      <c r="J816" s="32"/>
      <c r="K816" s="68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</row>
    <row r="817" ht="15.75" customHeight="1">
      <c r="A817" s="32"/>
      <c r="B817" s="65"/>
      <c r="C817" s="65"/>
      <c r="D817" s="32"/>
      <c r="E817" s="32"/>
      <c r="F817" s="32"/>
      <c r="G817" s="65"/>
      <c r="H817" s="67"/>
      <c r="I817" s="67"/>
      <c r="J817" s="32"/>
      <c r="K817" s="68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</row>
    <row r="818" ht="15.75" customHeight="1">
      <c r="A818" s="32"/>
      <c r="B818" s="65"/>
      <c r="C818" s="65"/>
      <c r="D818" s="32"/>
      <c r="E818" s="32"/>
      <c r="F818" s="32"/>
      <c r="G818" s="65"/>
      <c r="H818" s="67"/>
      <c r="I818" s="67"/>
      <c r="J818" s="32"/>
      <c r="K818" s="68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 ht="15.75" customHeight="1">
      <c r="A819" s="32"/>
      <c r="B819" s="65"/>
      <c r="C819" s="65"/>
      <c r="D819" s="32"/>
      <c r="E819" s="32"/>
      <c r="F819" s="32"/>
      <c r="G819" s="65"/>
      <c r="H819" s="67"/>
      <c r="I819" s="67"/>
      <c r="J819" s="32"/>
      <c r="K819" s="68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</row>
    <row r="820" ht="15.75" customHeight="1">
      <c r="A820" s="32"/>
      <c r="B820" s="65"/>
      <c r="C820" s="65"/>
      <c r="D820" s="32"/>
      <c r="E820" s="32"/>
      <c r="F820" s="32"/>
      <c r="G820" s="65"/>
      <c r="H820" s="67"/>
      <c r="I820" s="67"/>
      <c r="J820" s="32"/>
      <c r="K820" s="68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</row>
    <row r="821" ht="15.75" customHeight="1">
      <c r="A821" s="32"/>
      <c r="B821" s="65"/>
      <c r="C821" s="65"/>
      <c r="D821" s="32"/>
      <c r="E821" s="32"/>
      <c r="F821" s="32"/>
      <c r="G821" s="65"/>
      <c r="H821" s="67"/>
      <c r="I821" s="67"/>
      <c r="J821" s="32"/>
      <c r="K821" s="68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</row>
    <row r="822" ht="15.75" customHeight="1">
      <c r="A822" s="32"/>
      <c r="B822" s="65"/>
      <c r="C822" s="65"/>
      <c r="D822" s="32"/>
      <c r="E822" s="32"/>
      <c r="F822" s="32"/>
      <c r="G822" s="65"/>
      <c r="H822" s="67"/>
      <c r="I822" s="67"/>
      <c r="J822" s="32"/>
      <c r="K822" s="68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</row>
    <row r="823" ht="15.75" customHeight="1">
      <c r="A823" s="32"/>
      <c r="B823" s="65"/>
      <c r="C823" s="65"/>
      <c r="D823" s="32"/>
      <c r="E823" s="32"/>
      <c r="F823" s="32"/>
      <c r="G823" s="65"/>
      <c r="H823" s="67"/>
      <c r="I823" s="67"/>
      <c r="J823" s="32"/>
      <c r="K823" s="68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</row>
    <row r="824" ht="15.75" customHeight="1">
      <c r="A824" s="32"/>
      <c r="B824" s="65"/>
      <c r="C824" s="65"/>
      <c r="D824" s="32"/>
      <c r="E824" s="32"/>
      <c r="F824" s="32"/>
      <c r="G824" s="65"/>
      <c r="H824" s="67"/>
      <c r="I824" s="67"/>
      <c r="J824" s="32"/>
      <c r="K824" s="68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 ht="15.75" customHeight="1">
      <c r="A825" s="32"/>
      <c r="B825" s="65"/>
      <c r="C825" s="65"/>
      <c r="D825" s="32"/>
      <c r="E825" s="32"/>
      <c r="F825" s="32"/>
      <c r="G825" s="65"/>
      <c r="H825" s="67"/>
      <c r="I825" s="67"/>
      <c r="J825" s="32"/>
      <c r="K825" s="68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</row>
    <row r="826" ht="15.75" customHeight="1">
      <c r="A826" s="32"/>
      <c r="B826" s="65"/>
      <c r="C826" s="65"/>
      <c r="D826" s="32"/>
      <c r="E826" s="32"/>
      <c r="F826" s="32"/>
      <c r="G826" s="65"/>
      <c r="H826" s="67"/>
      <c r="I826" s="67"/>
      <c r="J826" s="32"/>
      <c r="K826" s="68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</row>
    <row r="827" ht="15.75" customHeight="1">
      <c r="A827" s="32"/>
      <c r="B827" s="65"/>
      <c r="C827" s="65"/>
      <c r="D827" s="32"/>
      <c r="E827" s="32"/>
      <c r="F827" s="32"/>
      <c r="G827" s="65"/>
      <c r="H827" s="67"/>
      <c r="I827" s="67"/>
      <c r="J827" s="32"/>
      <c r="K827" s="68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</row>
    <row r="828" ht="15.75" customHeight="1">
      <c r="A828" s="32"/>
      <c r="B828" s="65"/>
      <c r="C828" s="65"/>
      <c r="D828" s="32"/>
      <c r="E828" s="32"/>
      <c r="F828" s="32"/>
      <c r="G828" s="65"/>
      <c r="H828" s="67"/>
      <c r="I828" s="67"/>
      <c r="J828" s="32"/>
      <c r="K828" s="68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 ht="15.75" customHeight="1">
      <c r="A829" s="32"/>
      <c r="B829" s="65"/>
      <c r="C829" s="65"/>
      <c r="D829" s="32"/>
      <c r="E829" s="32"/>
      <c r="F829" s="32"/>
      <c r="G829" s="65"/>
      <c r="H829" s="67"/>
      <c r="I829" s="67"/>
      <c r="J829" s="32"/>
      <c r="K829" s="68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</row>
    <row r="830" ht="15.75" customHeight="1">
      <c r="A830" s="32"/>
      <c r="B830" s="65"/>
      <c r="C830" s="65"/>
      <c r="D830" s="32"/>
      <c r="E830" s="32"/>
      <c r="F830" s="32"/>
      <c r="G830" s="65"/>
      <c r="H830" s="67"/>
      <c r="I830" s="67"/>
      <c r="J830" s="32"/>
      <c r="K830" s="68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</row>
    <row r="831" ht="15.75" customHeight="1">
      <c r="A831" s="32"/>
      <c r="B831" s="65"/>
      <c r="C831" s="65"/>
      <c r="D831" s="32"/>
      <c r="E831" s="32"/>
      <c r="F831" s="32"/>
      <c r="G831" s="65"/>
      <c r="H831" s="67"/>
      <c r="I831" s="67"/>
      <c r="J831" s="32"/>
      <c r="K831" s="68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</row>
    <row r="832" ht="15.75" customHeight="1">
      <c r="A832" s="32"/>
      <c r="B832" s="65"/>
      <c r="C832" s="65"/>
      <c r="D832" s="32"/>
      <c r="E832" s="32"/>
      <c r="F832" s="32"/>
      <c r="G832" s="65"/>
      <c r="H832" s="67"/>
      <c r="I832" s="67"/>
      <c r="J832" s="32"/>
      <c r="K832" s="68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</row>
    <row r="833" ht="15.75" customHeight="1">
      <c r="A833" s="32"/>
      <c r="B833" s="65"/>
      <c r="C833" s="65"/>
      <c r="D833" s="32"/>
      <c r="E833" s="32"/>
      <c r="F833" s="32"/>
      <c r="G833" s="65"/>
      <c r="H833" s="67"/>
      <c r="I833" s="67"/>
      <c r="J833" s="32"/>
      <c r="K833" s="68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</row>
    <row r="834" ht="15.75" customHeight="1">
      <c r="A834" s="32"/>
      <c r="B834" s="65"/>
      <c r="C834" s="65"/>
      <c r="D834" s="32"/>
      <c r="E834" s="32"/>
      <c r="F834" s="32"/>
      <c r="G834" s="65"/>
      <c r="H834" s="67"/>
      <c r="I834" s="67"/>
      <c r="J834" s="32"/>
      <c r="K834" s="68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</row>
    <row r="835" ht="15.75" customHeight="1">
      <c r="A835" s="32"/>
      <c r="B835" s="65"/>
      <c r="C835" s="65"/>
      <c r="D835" s="32"/>
      <c r="E835" s="32"/>
      <c r="F835" s="32"/>
      <c r="G835" s="65"/>
      <c r="H835" s="67"/>
      <c r="I835" s="67"/>
      <c r="J835" s="32"/>
      <c r="K835" s="68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</row>
    <row r="836" ht="15.75" customHeight="1">
      <c r="A836" s="32"/>
      <c r="B836" s="65"/>
      <c r="C836" s="65"/>
      <c r="D836" s="32"/>
      <c r="E836" s="32"/>
      <c r="F836" s="32"/>
      <c r="G836" s="65"/>
      <c r="H836" s="67"/>
      <c r="I836" s="67"/>
      <c r="J836" s="32"/>
      <c r="K836" s="68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</row>
    <row r="837" ht="15.75" customHeight="1">
      <c r="A837" s="32"/>
      <c r="B837" s="65"/>
      <c r="C837" s="65"/>
      <c r="D837" s="32"/>
      <c r="E837" s="32"/>
      <c r="F837" s="32"/>
      <c r="G837" s="65"/>
      <c r="H837" s="67"/>
      <c r="I837" s="67"/>
      <c r="J837" s="32"/>
      <c r="K837" s="68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</row>
    <row r="838" ht="15.75" customHeight="1">
      <c r="A838" s="32"/>
      <c r="B838" s="65"/>
      <c r="C838" s="65"/>
      <c r="D838" s="32"/>
      <c r="E838" s="32"/>
      <c r="F838" s="32"/>
      <c r="G838" s="65"/>
      <c r="H838" s="67"/>
      <c r="I838" s="67"/>
      <c r="J838" s="32"/>
      <c r="K838" s="68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</row>
    <row r="839" ht="15.75" customHeight="1">
      <c r="A839" s="32"/>
      <c r="B839" s="65"/>
      <c r="C839" s="65"/>
      <c r="D839" s="32"/>
      <c r="E839" s="32"/>
      <c r="F839" s="32"/>
      <c r="G839" s="65"/>
      <c r="H839" s="67"/>
      <c r="I839" s="67"/>
      <c r="J839" s="32"/>
      <c r="K839" s="68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</row>
    <row r="840" ht="15.75" customHeight="1">
      <c r="A840" s="32"/>
      <c r="B840" s="65"/>
      <c r="C840" s="65"/>
      <c r="D840" s="32"/>
      <c r="E840" s="32"/>
      <c r="F840" s="32"/>
      <c r="G840" s="65"/>
      <c r="H840" s="67"/>
      <c r="I840" s="67"/>
      <c r="J840" s="32"/>
      <c r="K840" s="68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</row>
    <row r="841" ht="15.75" customHeight="1">
      <c r="A841" s="32"/>
      <c r="B841" s="65"/>
      <c r="C841" s="65"/>
      <c r="D841" s="32"/>
      <c r="E841" s="32"/>
      <c r="F841" s="32"/>
      <c r="G841" s="65"/>
      <c r="H841" s="67"/>
      <c r="I841" s="67"/>
      <c r="J841" s="32"/>
      <c r="K841" s="68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</row>
    <row r="842" ht="15.75" customHeight="1">
      <c r="A842" s="32"/>
      <c r="B842" s="65"/>
      <c r="C842" s="65"/>
      <c r="D842" s="32"/>
      <c r="E842" s="32"/>
      <c r="F842" s="32"/>
      <c r="G842" s="65"/>
      <c r="H842" s="67"/>
      <c r="I842" s="67"/>
      <c r="J842" s="32"/>
      <c r="K842" s="68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</row>
    <row r="843" ht="15.75" customHeight="1">
      <c r="A843" s="32"/>
      <c r="B843" s="65"/>
      <c r="C843" s="65"/>
      <c r="D843" s="32"/>
      <c r="E843" s="32"/>
      <c r="F843" s="32"/>
      <c r="G843" s="65"/>
      <c r="H843" s="67"/>
      <c r="I843" s="67"/>
      <c r="J843" s="32"/>
      <c r="K843" s="68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</row>
    <row r="844" ht="15.75" customHeight="1">
      <c r="A844" s="32"/>
      <c r="B844" s="65"/>
      <c r="C844" s="65"/>
      <c r="D844" s="32"/>
      <c r="E844" s="32"/>
      <c r="F844" s="32"/>
      <c r="G844" s="65"/>
      <c r="H844" s="67"/>
      <c r="I844" s="67"/>
      <c r="J844" s="32"/>
      <c r="K844" s="68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</row>
    <row r="845" ht="15.75" customHeight="1">
      <c r="A845" s="32"/>
      <c r="B845" s="65"/>
      <c r="C845" s="65"/>
      <c r="D845" s="32"/>
      <c r="E845" s="32"/>
      <c r="F845" s="32"/>
      <c r="G845" s="65"/>
      <c r="H845" s="67"/>
      <c r="I845" s="67"/>
      <c r="J845" s="32"/>
      <c r="K845" s="68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</row>
    <row r="846" ht="15.75" customHeight="1">
      <c r="A846" s="32"/>
      <c r="B846" s="65"/>
      <c r="C846" s="65"/>
      <c r="D846" s="32"/>
      <c r="E846" s="32"/>
      <c r="F846" s="32"/>
      <c r="G846" s="65"/>
      <c r="H846" s="67"/>
      <c r="I846" s="67"/>
      <c r="J846" s="32"/>
      <c r="K846" s="68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</row>
    <row r="847" ht="15.75" customHeight="1">
      <c r="A847" s="32"/>
      <c r="B847" s="65"/>
      <c r="C847" s="65"/>
      <c r="D847" s="32"/>
      <c r="E847" s="32"/>
      <c r="F847" s="32"/>
      <c r="G847" s="65"/>
      <c r="H847" s="67"/>
      <c r="I847" s="67"/>
      <c r="J847" s="32"/>
      <c r="K847" s="68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</row>
    <row r="848" ht="15.75" customHeight="1">
      <c r="A848" s="32"/>
      <c r="B848" s="65"/>
      <c r="C848" s="65"/>
      <c r="D848" s="32"/>
      <c r="E848" s="32"/>
      <c r="F848" s="32"/>
      <c r="G848" s="65"/>
      <c r="H848" s="67"/>
      <c r="I848" s="67"/>
      <c r="J848" s="32"/>
      <c r="K848" s="68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</row>
    <row r="849" ht="15.75" customHeight="1">
      <c r="A849" s="32"/>
      <c r="B849" s="65"/>
      <c r="C849" s="65"/>
      <c r="D849" s="32"/>
      <c r="E849" s="32"/>
      <c r="F849" s="32"/>
      <c r="G849" s="65"/>
      <c r="H849" s="67"/>
      <c r="I849" s="67"/>
      <c r="J849" s="32"/>
      <c r="K849" s="68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</row>
    <row r="850" ht="15.75" customHeight="1">
      <c r="A850" s="32"/>
      <c r="B850" s="65"/>
      <c r="C850" s="65"/>
      <c r="D850" s="32"/>
      <c r="E850" s="32"/>
      <c r="F850" s="32"/>
      <c r="G850" s="65"/>
      <c r="H850" s="67"/>
      <c r="I850" s="67"/>
      <c r="J850" s="32"/>
      <c r="K850" s="68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</row>
    <row r="851" ht="15.75" customHeight="1">
      <c r="A851" s="32"/>
      <c r="B851" s="65"/>
      <c r="C851" s="65"/>
      <c r="D851" s="32"/>
      <c r="E851" s="32"/>
      <c r="F851" s="32"/>
      <c r="G851" s="65"/>
      <c r="H851" s="67"/>
      <c r="I851" s="67"/>
      <c r="J851" s="32"/>
      <c r="K851" s="68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</row>
    <row r="852" ht="15.75" customHeight="1">
      <c r="A852" s="32"/>
      <c r="B852" s="65"/>
      <c r="C852" s="65"/>
      <c r="D852" s="32"/>
      <c r="E852" s="32"/>
      <c r="F852" s="32"/>
      <c r="G852" s="65"/>
      <c r="H852" s="67"/>
      <c r="I852" s="67"/>
      <c r="J852" s="32"/>
      <c r="K852" s="68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</row>
    <row r="853" ht="15.75" customHeight="1">
      <c r="A853" s="32"/>
      <c r="B853" s="65"/>
      <c r="C853" s="65"/>
      <c r="D853" s="32"/>
      <c r="E853" s="32"/>
      <c r="F853" s="32"/>
      <c r="G853" s="65"/>
      <c r="H853" s="67"/>
      <c r="I853" s="67"/>
      <c r="J853" s="32"/>
      <c r="K853" s="68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 ht="15.75" customHeight="1">
      <c r="A854" s="32"/>
      <c r="B854" s="65"/>
      <c r="C854" s="65"/>
      <c r="D854" s="32"/>
      <c r="E854" s="32"/>
      <c r="F854" s="32"/>
      <c r="G854" s="65"/>
      <c r="H854" s="67"/>
      <c r="I854" s="67"/>
      <c r="J854" s="32"/>
      <c r="K854" s="68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 ht="15.75" customHeight="1">
      <c r="A855" s="32"/>
      <c r="B855" s="65"/>
      <c r="C855" s="65"/>
      <c r="D855" s="32"/>
      <c r="E855" s="32"/>
      <c r="F855" s="32"/>
      <c r="G855" s="65"/>
      <c r="H855" s="67"/>
      <c r="I855" s="67"/>
      <c r="J855" s="32"/>
      <c r="K855" s="68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</row>
    <row r="856" ht="15.75" customHeight="1">
      <c r="A856" s="32"/>
      <c r="B856" s="65"/>
      <c r="C856" s="65"/>
      <c r="D856" s="32"/>
      <c r="E856" s="32"/>
      <c r="F856" s="32"/>
      <c r="G856" s="65"/>
      <c r="H856" s="67"/>
      <c r="I856" s="67"/>
      <c r="J856" s="32"/>
      <c r="K856" s="68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</row>
    <row r="857" ht="15.75" customHeight="1">
      <c r="A857" s="32"/>
      <c r="B857" s="65"/>
      <c r="C857" s="65"/>
      <c r="D857" s="32"/>
      <c r="E857" s="32"/>
      <c r="F857" s="32"/>
      <c r="G857" s="65"/>
      <c r="H857" s="67"/>
      <c r="I857" s="67"/>
      <c r="J857" s="32"/>
      <c r="K857" s="68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</row>
    <row r="858" ht="15.75" customHeight="1">
      <c r="A858" s="32"/>
      <c r="B858" s="65"/>
      <c r="C858" s="65"/>
      <c r="D858" s="32"/>
      <c r="E858" s="32"/>
      <c r="F858" s="32"/>
      <c r="G858" s="65"/>
      <c r="H858" s="67"/>
      <c r="I858" s="67"/>
      <c r="J858" s="32"/>
      <c r="K858" s="68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 ht="15.75" customHeight="1">
      <c r="A859" s="32"/>
      <c r="B859" s="65"/>
      <c r="C859" s="65"/>
      <c r="D859" s="32"/>
      <c r="E859" s="32"/>
      <c r="F859" s="32"/>
      <c r="G859" s="65"/>
      <c r="H859" s="67"/>
      <c r="I859" s="67"/>
      <c r="J859" s="32"/>
      <c r="K859" s="68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</row>
    <row r="860" ht="15.75" customHeight="1">
      <c r="A860" s="32"/>
      <c r="B860" s="65"/>
      <c r="C860" s="65"/>
      <c r="D860" s="32"/>
      <c r="E860" s="32"/>
      <c r="F860" s="32"/>
      <c r="G860" s="65"/>
      <c r="H860" s="67"/>
      <c r="I860" s="67"/>
      <c r="J860" s="32"/>
      <c r="K860" s="68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</row>
    <row r="861" ht="15.75" customHeight="1">
      <c r="A861" s="32"/>
      <c r="B861" s="65"/>
      <c r="C861" s="65"/>
      <c r="D861" s="32"/>
      <c r="E861" s="32"/>
      <c r="F861" s="32"/>
      <c r="G861" s="65"/>
      <c r="H861" s="67"/>
      <c r="I861" s="67"/>
      <c r="J861" s="32"/>
      <c r="K861" s="68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</row>
    <row r="862" ht="15.75" customHeight="1">
      <c r="A862" s="32"/>
      <c r="B862" s="65"/>
      <c r="C862" s="65"/>
      <c r="D862" s="32"/>
      <c r="E862" s="32"/>
      <c r="F862" s="32"/>
      <c r="G862" s="65"/>
      <c r="H862" s="67"/>
      <c r="I862" s="67"/>
      <c r="J862" s="32"/>
      <c r="K862" s="68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</row>
    <row r="863" ht="15.75" customHeight="1">
      <c r="A863" s="32"/>
      <c r="B863" s="65"/>
      <c r="C863" s="65"/>
      <c r="D863" s="32"/>
      <c r="E863" s="32"/>
      <c r="F863" s="32"/>
      <c r="G863" s="65"/>
      <c r="H863" s="67"/>
      <c r="I863" s="67"/>
      <c r="J863" s="32"/>
      <c r="K863" s="68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</row>
    <row r="864" ht="15.75" customHeight="1">
      <c r="A864" s="32"/>
      <c r="B864" s="65"/>
      <c r="C864" s="65"/>
      <c r="D864" s="32"/>
      <c r="E864" s="32"/>
      <c r="F864" s="32"/>
      <c r="G864" s="65"/>
      <c r="H864" s="67"/>
      <c r="I864" s="67"/>
      <c r="J864" s="32"/>
      <c r="K864" s="68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 ht="15.75" customHeight="1">
      <c r="A865" s="32"/>
      <c r="B865" s="65"/>
      <c r="C865" s="65"/>
      <c r="D865" s="32"/>
      <c r="E865" s="32"/>
      <c r="F865" s="32"/>
      <c r="G865" s="65"/>
      <c r="H865" s="67"/>
      <c r="I865" s="67"/>
      <c r="J865" s="32"/>
      <c r="K865" s="68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</row>
    <row r="866" ht="15.75" customHeight="1">
      <c r="A866" s="32"/>
      <c r="B866" s="65"/>
      <c r="C866" s="65"/>
      <c r="D866" s="32"/>
      <c r="E866" s="32"/>
      <c r="F866" s="32"/>
      <c r="G866" s="65"/>
      <c r="H866" s="67"/>
      <c r="I866" s="67"/>
      <c r="J866" s="32"/>
      <c r="K866" s="68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</row>
    <row r="867" ht="15.75" customHeight="1">
      <c r="A867" s="32"/>
      <c r="B867" s="65"/>
      <c r="C867" s="65"/>
      <c r="D867" s="32"/>
      <c r="E867" s="32"/>
      <c r="F867" s="32"/>
      <c r="G867" s="65"/>
      <c r="H867" s="67"/>
      <c r="I867" s="67"/>
      <c r="J867" s="32"/>
      <c r="K867" s="68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 ht="15.75" customHeight="1">
      <c r="A868" s="32"/>
      <c r="B868" s="65"/>
      <c r="C868" s="65"/>
      <c r="D868" s="32"/>
      <c r="E868" s="32"/>
      <c r="F868" s="32"/>
      <c r="G868" s="65"/>
      <c r="H868" s="67"/>
      <c r="I868" s="67"/>
      <c r="J868" s="32"/>
      <c r="K868" s="68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</row>
    <row r="869" ht="15.75" customHeight="1">
      <c r="A869" s="32"/>
      <c r="B869" s="65"/>
      <c r="C869" s="65"/>
      <c r="D869" s="32"/>
      <c r="E869" s="32"/>
      <c r="F869" s="32"/>
      <c r="G869" s="65"/>
      <c r="H869" s="67"/>
      <c r="I869" s="67"/>
      <c r="J869" s="32"/>
      <c r="K869" s="68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</row>
    <row r="870" ht="15.75" customHeight="1">
      <c r="A870" s="32"/>
      <c r="B870" s="65"/>
      <c r="C870" s="65"/>
      <c r="D870" s="32"/>
      <c r="E870" s="32"/>
      <c r="F870" s="32"/>
      <c r="G870" s="65"/>
      <c r="H870" s="67"/>
      <c r="I870" s="67"/>
      <c r="J870" s="32"/>
      <c r="K870" s="68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</row>
    <row r="871" ht="15.75" customHeight="1">
      <c r="A871" s="32"/>
      <c r="B871" s="65"/>
      <c r="C871" s="65"/>
      <c r="D871" s="32"/>
      <c r="E871" s="32"/>
      <c r="F871" s="32"/>
      <c r="G871" s="65"/>
      <c r="H871" s="67"/>
      <c r="I871" s="67"/>
      <c r="J871" s="32"/>
      <c r="K871" s="68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</row>
    <row r="872" ht="15.75" customHeight="1">
      <c r="A872" s="32"/>
      <c r="B872" s="65"/>
      <c r="C872" s="65"/>
      <c r="D872" s="32"/>
      <c r="E872" s="32"/>
      <c r="F872" s="32"/>
      <c r="G872" s="65"/>
      <c r="H872" s="67"/>
      <c r="I872" s="67"/>
      <c r="J872" s="32"/>
      <c r="K872" s="68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</row>
    <row r="873" ht="15.75" customHeight="1">
      <c r="A873" s="32"/>
      <c r="B873" s="65"/>
      <c r="C873" s="65"/>
      <c r="D873" s="32"/>
      <c r="E873" s="32"/>
      <c r="F873" s="32"/>
      <c r="G873" s="65"/>
      <c r="H873" s="67"/>
      <c r="I873" s="67"/>
      <c r="J873" s="32"/>
      <c r="K873" s="68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</row>
    <row r="874" ht="15.75" customHeight="1">
      <c r="A874" s="32"/>
      <c r="B874" s="65"/>
      <c r="C874" s="65"/>
      <c r="D874" s="32"/>
      <c r="E874" s="32"/>
      <c r="F874" s="32"/>
      <c r="G874" s="65"/>
      <c r="H874" s="67"/>
      <c r="I874" s="67"/>
      <c r="J874" s="32"/>
      <c r="K874" s="68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</row>
    <row r="875" ht="15.75" customHeight="1">
      <c r="A875" s="32"/>
      <c r="B875" s="65"/>
      <c r="C875" s="65"/>
      <c r="D875" s="32"/>
      <c r="E875" s="32"/>
      <c r="F875" s="32"/>
      <c r="G875" s="65"/>
      <c r="H875" s="67"/>
      <c r="I875" s="67"/>
      <c r="J875" s="32"/>
      <c r="K875" s="68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</row>
    <row r="876" ht="15.75" customHeight="1">
      <c r="A876" s="32"/>
      <c r="B876" s="65"/>
      <c r="C876" s="65"/>
      <c r="D876" s="32"/>
      <c r="E876" s="32"/>
      <c r="F876" s="32"/>
      <c r="G876" s="65"/>
      <c r="H876" s="67"/>
      <c r="I876" s="67"/>
      <c r="J876" s="32"/>
      <c r="K876" s="68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 ht="15.75" customHeight="1">
      <c r="A877" s="32"/>
      <c r="B877" s="65"/>
      <c r="C877" s="65"/>
      <c r="D877" s="32"/>
      <c r="E877" s="32"/>
      <c r="F877" s="32"/>
      <c r="G877" s="65"/>
      <c r="H877" s="67"/>
      <c r="I877" s="67"/>
      <c r="J877" s="32"/>
      <c r="K877" s="68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</row>
    <row r="878" ht="15.75" customHeight="1">
      <c r="A878" s="32"/>
      <c r="B878" s="65"/>
      <c r="C878" s="65"/>
      <c r="D878" s="32"/>
      <c r="E878" s="32"/>
      <c r="F878" s="32"/>
      <c r="G878" s="65"/>
      <c r="H878" s="67"/>
      <c r="I878" s="67"/>
      <c r="J878" s="32"/>
      <c r="K878" s="68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</row>
    <row r="879" ht="15.75" customHeight="1">
      <c r="A879" s="32"/>
      <c r="B879" s="65"/>
      <c r="C879" s="65"/>
      <c r="D879" s="32"/>
      <c r="E879" s="32"/>
      <c r="F879" s="32"/>
      <c r="G879" s="65"/>
      <c r="H879" s="67"/>
      <c r="I879" s="67"/>
      <c r="J879" s="32"/>
      <c r="K879" s="68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</row>
    <row r="880" ht="15.75" customHeight="1">
      <c r="A880" s="32"/>
      <c r="B880" s="65"/>
      <c r="C880" s="65"/>
      <c r="D880" s="32"/>
      <c r="E880" s="32"/>
      <c r="F880" s="32"/>
      <c r="G880" s="65"/>
      <c r="H880" s="67"/>
      <c r="I880" s="67"/>
      <c r="J880" s="32"/>
      <c r="K880" s="68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</row>
    <row r="881" ht="15.75" customHeight="1">
      <c r="A881" s="32"/>
      <c r="B881" s="65"/>
      <c r="C881" s="65"/>
      <c r="D881" s="32"/>
      <c r="E881" s="32"/>
      <c r="F881" s="32"/>
      <c r="G881" s="65"/>
      <c r="H881" s="67"/>
      <c r="I881" s="67"/>
      <c r="J881" s="32"/>
      <c r="K881" s="68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</row>
    <row r="882" ht="15.75" customHeight="1">
      <c r="A882" s="32"/>
      <c r="B882" s="65"/>
      <c r="C882" s="65"/>
      <c r="D882" s="32"/>
      <c r="E882" s="32"/>
      <c r="F882" s="32"/>
      <c r="G882" s="65"/>
      <c r="H882" s="67"/>
      <c r="I882" s="67"/>
      <c r="J882" s="32"/>
      <c r="K882" s="68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</row>
    <row r="883" ht="15.75" customHeight="1">
      <c r="A883" s="32"/>
      <c r="B883" s="65"/>
      <c r="C883" s="65"/>
      <c r="D883" s="32"/>
      <c r="E883" s="32"/>
      <c r="F883" s="32"/>
      <c r="G883" s="65"/>
      <c r="H883" s="67"/>
      <c r="I883" s="67"/>
      <c r="J883" s="32"/>
      <c r="K883" s="68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</row>
    <row r="884" ht="15.75" customHeight="1">
      <c r="A884" s="32"/>
      <c r="B884" s="65"/>
      <c r="C884" s="65"/>
      <c r="D884" s="32"/>
      <c r="E884" s="32"/>
      <c r="F884" s="32"/>
      <c r="G884" s="65"/>
      <c r="H884" s="67"/>
      <c r="I884" s="67"/>
      <c r="J884" s="32"/>
      <c r="K884" s="68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</row>
    <row r="885" ht="15.75" customHeight="1">
      <c r="A885" s="32"/>
      <c r="B885" s="65"/>
      <c r="C885" s="65"/>
      <c r="D885" s="32"/>
      <c r="E885" s="32"/>
      <c r="F885" s="32"/>
      <c r="G885" s="65"/>
      <c r="H885" s="67"/>
      <c r="I885" s="67"/>
      <c r="J885" s="32"/>
      <c r="K885" s="68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</row>
    <row r="886" ht="15.75" customHeight="1">
      <c r="A886" s="32"/>
      <c r="B886" s="65"/>
      <c r="C886" s="65"/>
      <c r="D886" s="32"/>
      <c r="E886" s="32"/>
      <c r="F886" s="32"/>
      <c r="G886" s="65"/>
      <c r="H886" s="67"/>
      <c r="I886" s="67"/>
      <c r="J886" s="32"/>
      <c r="K886" s="68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</row>
    <row r="887" ht="15.75" customHeight="1">
      <c r="A887" s="32"/>
      <c r="B887" s="65"/>
      <c r="C887" s="65"/>
      <c r="D887" s="32"/>
      <c r="E887" s="32"/>
      <c r="F887" s="32"/>
      <c r="G887" s="65"/>
      <c r="H887" s="67"/>
      <c r="I887" s="67"/>
      <c r="J887" s="32"/>
      <c r="K887" s="68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</row>
    <row r="888" ht="15.75" customHeight="1">
      <c r="A888" s="32"/>
      <c r="B888" s="65"/>
      <c r="C888" s="65"/>
      <c r="D888" s="32"/>
      <c r="E888" s="32"/>
      <c r="F888" s="32"/>
      <c r="G888" s="65"/>
      <c r="H888" s="67"/>
      <c r="I888" s="67"/>
      <c r="J888" s="32"/>
      <c r="K888" s="68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</row>
    <row r="889" ht="15.75" customHeight="1">
      <c r="A889" s="32"/>
      <c r="B889" s="65"/>
      <c r="C889" s="65"/>
      <c r="D889" s="32"/>
      <c r="E889" s="32"/>
      <c r="F889" s="32"/>
      <c r="G889" s="65"/>
      <c r="H889" s="67"/>
      <c r="I889" s="67"/>
      <c r="J889" s="32"/>
      <c r="K889" s="68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</row>
    <row r="890" ht="15.75" customHeight="1">
      <c r="A890" s="32"/>
      <c r="B890" s="65"/>
      <c r="C890" s="65"/>
      <c r="D890" s="32"/>
      <c r="E890" s="32"/>
      <c r="F890" s="32"/>
      <c r="G890" s="65"/>
      <c r="H890" s="67"/>
      <c r="I890" s="67"/>
      <c r="J890" s="32"/>
      <c r="K890" s="68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</row>
    <row r="891" ht="15.75" customHeight="1">
      <c r="A891" s="32"/>
      <c r="B891" s="65"/>
      <c r="C891" s="65"/>
      <c r="D891" s="32"/>
      <c r="E891" s="32"/>
      <c r="F891" s="32"/>
      <c r="G891" s="65"/>
      <c r="H891" s="67"/>
      <c r="I891" s="67"/>
      <c r="J891" s="32"/>
      <c r="K891" s="68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</row>
    <row r="892" ht="15.75" customHeight="1">
      <c r="A892" s="32"/>
      <c r="B892" s="65"/>
      <c r="C892" s="65"/>
      <c r="D892" s="32"/>
      <c r="E892" s="32"/>
      <c r="F892" s="32"/>
      <c r="G892" s="65"/>
      <c r="H892" s="67"/>
      <c r="I892" s="67"/>
      <c r="J892" s="32"/>
      <c r="K892" s="68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 ht="15.75" customHeight="1">
      <c r="A893" s="32"/>
      <c r="B893" s="65"/>
      <c r="C893" s="65"/>
      <c r="D893" s="32"/>
      <c r="E893" s="32"/>
      <c r="F893" s="32"/>
      <c r="G893" s="65"/>
      <c r="H893" s="67"/>
      <c r="I893" s="67"/>
      <c r="J893" s="32"/>
      <c r="K893" s="68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</row>
    <row r="894" ht="15.75" customHeight="1">
      <c r="A894" s="32"/>
      <c r="B894" s="65"/>
      <c r="C894" s="65"/>
      <c r="D894" s="32"/>
      <c r="E894" s="32"/>
      <c r="F894" s="32"/>
      <c r="G894" s="65"/>
      <c r="H894" s="67"/>
      <c r="I894" s="67"/>
      <c r="J894" s="32"/>
      <c r="K894" s="68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</row>
    <row r="895" ht="15.75" customHeight="1">
      <c r="A895" s="32"/>
      <c r="B895" s="65"/>
      <c r="C895" s="65"/>
      <c r="D895" s="32"/>
      <c r="E895" s="32"/>
      <c r="F895" s="32"/>
      <c r="G895" s="65"/>
      <c r="H895" s="67"/>
      <c r="I895" s="67"/>
      <c r="J895" s="32"/>
      <c r="K895" s="68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</row>
    <row r="896" ht="15.75" customHeight="1">
      <c r="A896" s="32"/>
      <c r="B896" s="65"/>
      <c r="C896" s="65"/>
      <c r="D896" s="32"/>
      <c r="E896" s="32"/>
      <c r="F896" s="32"/>
      <c r="G896" s="65"/>
      <c r="H896" s="67"/>
      <c r="I896" s="67"/>
      <c r="J896" s="32"/>
      <c r="K896" s="68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</row>
    <row r="897" ht="15.75" customHeight="1">
      <c r="A897" s="32"/>
      <c r="B897" s="65"/>
      <c r="C897" s="65"/>
      <c r="D897" s="32"/>
      <c r="E897" s="32"/>
      <c r="F897" s="32"/>
      <c r="G897" s="65"/>
      <c r="H897" s="67"/>
      <c r="I897" s="67"/>
      <c r="J897" s="32"/>
      <c r="K897" s="68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</row>
    <row r="898" ht="15.75" customHeight="1">
      <c r="A898" s="32"/>
      <c r="B898" s="65"/>
      <c r="C898" s="65"/>
      <c r="D898" s="32"/>
      <c r="E898" s="32"/>
      <c r="F898" s="32"/>
      <c r="G898" s="65"/>
      <c r="H898" s="67"/>
      <c r="I898" s="67"/>
      <c r="J898" s="32"/>
      <c r="K898" s="68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</row>
    <row r="899" ht="15.75" customHeight="1">
      <c r="A899" s="32"/>
      <c r="B899" s="65"/>
      <c r="C899" s="65"/>
      <c r="D899" s="32"/>
      <c r="E899" s="32"/>
      <c r="F899" s="32"/>
      <c r="G899" s="65"/>
      <c r="H899" s="67"/>
      <c r="I899" s="67"/>
      <c r="J899" s="32"/>
      <c r="K899" s="68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</row>
    <row r="900" ht="15.75" customHeight="1">
      <c r="A900" s="32"/>
      <c r="B900" s="65"/>
      <c r="C900" s="65"/>
      <c r="D900" s="32"/>
      <c r="E900" s="32"/>
      <c r="F900" s="32"/>
      <c r="G900" s="65"/>
      <c r="H900" s="67"/>
      <c r="I900" s="67"/>
      <c r="J900" s="32"/>
      <c r="K900" s="68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</row>
    <row r="901" ht="15.75" customHeight="1">
      <c r="A901" s="32"/>
      <c r="B901" s="65"/>
      <c r="C901" s="65"/>
      <c r="D901" s="32"/>
      <c r="E901" s="32"/>
      <c r="F901" s="32"/>
      <c r="G901" s="65"/>
      <c r="H901" s="67"/>
      <c r="I901" s="67"/>
      <c r="J901" s="32"/>
      <c r="K901" s="68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 ht="15.75" customHeight="1">
      <c r="A902" s="32"/>
      <c r="B902" s="65"/>
      <c r="C902" s="65"/>
      <c r="D902" s="32"/>
      <c r="E902" s="32"/>
      <c r="F902" s="32"/>
      <c r="G902" s="65"/>
      <c r="H902" s="67"/>
      <c r="I902" s="67"/>
      <c r="J902" s="32"/>
      <c r="K902" s="68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</row>
    <row r="903" ht="15.75" customHeight="1">
      <c r="A903" s="32"/>
      <c r="B903" s="65"/>
      <c r="C903" s="65"/>
      <c r="D903" s="32"/>
      <c r="E903" s="32"/>
      <c r="F903" s="32"/>
      <c r="G903" s="65"/>
      <c r="H903" s="67"/>
      <c r="I903" s="67"/>
      <c r="J903" s="32"/>
      <c r="K903" s="68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</row>
    <row r="904" ht="15.75" customHeight="1">
      <c r="A904" s="32"/>
      <c r="B904" s="65"/>
      <c r="C904" s="65"/>
      <c r="D904" s="32"/>
      <c r="E904" s="32"/>
      <c r="F904" s="32"/>
      <c r="G904" s="65"/>
      <c r="H904" s="67"/>
      <c r="I904" s="67"/>
      <c r="J904" s="32"/>
      <c r="K904" s="68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</row>
    <row r="905" ht="15.75" customHeight="1">
      <c r="A905" s="32"/>
      <c r="B905" s="65"/>
      <c r="C905" s="65"/>
      <c r="D905" s="32"/>
      <c r="E905" s="32"/>
      <c r="F905" s="32"/>
      <c r="G905" s="65"/>
      <c r="H905" s="67"/>
      <c r="I905" s="67"/>
      <c r="J905" s="32"/>
      <c r="K905" s="68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</row>
    <row r="906" ht="15.75" customHeight="1">
      <c r="A906" s="32"/>
      <c r="B906" s="65"/>
      <c r="C906" s="65"/>
      <c r="D906" s="32"/>
      <c r="E906" s="32"/>
      <c r="F906" s="32"/>
      <c r="G906" s="65"/>
      <c r="H906" s="67"/>
      <c r="I906" s="67"/>
      <c r="J906" s="32"/>
      <c r="K906" s="68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</row>
    <row r="907" ht="15.75" customHeight="1">
      <c r="A907" s="32"/>
      <c r="B907" s="65"/>
      <c r="C907" s="65"/>
      <c r="D907" s="32"/>
      <c r="E907" s="32"/>
      <c r="F907" s="32"/>
      <c r="G907" s="65"/>
      <c r="H907" s="67"/>
      <c r="I907" s="67"/>
      <c r="J907" s="32"/>
      <c r="K907" s="68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</row>
    <row r="908" ht="15.75" customHeight="1">
      <c r="A908" s="32"/>
      <c r="B908" s="65"/>
      <c r="C908" s="65"/>
      <c r="D908" s="32"/>
      <c r="E908" s="32"/>
      <c r="F908" s="32"/>
      <c r="G908" s="65"/>
      <c r="H908" s="67"/>
      <c r="I908" s="67"/>
      <c r="J908" s="32"/>
      <c r="K908" s="68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</row>
    <row r="909" ht="15.75" customHeight="1">
      <c r="A909" s="32"/>
      <c r="B909" s="65"/>
      <c r="C909" s="65"/>
      <c r="D909" s="32"/>
      <c r="E909" s="32"/>
      <c r="F909" s="32"/>
      <c r="G909" s="65"/>
      <c r="H909" s="67"/>
      <c r="I909" s="67"/>
      <c r="J909" s="32"/>
      <c r="K909" s="68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</row>
    <row r="910" ht="15.75" customHeight="1">
      <c r="A910" s="32"/>
      <c r="B910" s="65"/>
      <c r="C910" s="65"/>
      <c r="D910" s="32"/>
      <c r="E910" s="32"/>
      <c r="F910" s="32"/>
      <c r="G910" s="65"/>
      <c r="H910" s="67"/>
      <c r="I910" s="67"/>
      <c r="J910" s="32"/>
      <c r="K910" s="68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</row>
    <row r="911" ht="15.75" customHeight="1">
      <c r="A911" s="32"/>
      <c r="B911" s="65"/>
      <c r="C911" s="65"/>
      <c r="D911" s="32"/>
      <c r="E911" s="32"/>
      <c r="F911" s="32"/>
      <c r="G911" s="65"/>
      <c r="H911" s="67"/>
      <c r="I911" s="67"/>
      <c r="J911" s="32"/>
      <c r="K911" s="68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</row>
    <row r="912" ht="15.75" customHeight="1">
      <c r="A912" s="32"/>
      <c r="B912" s="65"/>
      <c r="C912" s="65"/>
      <c r="D912" s="32"/>
      <c r="E912" s="32"/>
      <c r="F912" s="32"/>
      <c r="G912" s="65"/>
      <c r="H912" s="67"/>
      <c r="I912" s="67"/>
      <c r="J912" s="32"/>
      <c r="K912" s="68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</row>
    <row r="913" ht="15.75" customHeight="1">
      <c r="A913" s="32"/>
      <c r="B913" s="65"/>
      <c r="C913" s="65"/>
      <c r="D913" s="32"/>
      <c r="E913" s="32"/>
      <c r="F913" s="32"/>
      <c r="G913" s="65"/>
      <c r="H913" s="67"/>
      <c r="I913" s="67"/>
      <c r="J913" s="32"/>
      <c r="K913" s="68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</row>
    <row r="914" ht="15.75" customHeight="1">
      <c r="A914" s="32"/>
      <c r="B914" s="65"/>
      <c r="C914" s="65"/>
      <c r="D914" s="32"/>
      <c r="E914" s="32"/>
      <c r="F914" s="32"/>
      <c r="G914" s="65"/>
      <c r="H914" s="67"/>
      <c r="I914" s="67"/>
      <c r="J914" s="32"/>
      <c r="K914" s="68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</row>
    <row r="915" ht="15.75" customHeight="1">
      <c r="A915" s="32"/>
      <c r="B915" s="65"/>
      <c r="C915" s="65"/>
      <c r="D915" s="32"/>
      <c r="E915" s="32"/>
      <c r="F915" s="32"/>
      <c r="G915" s="65"/>
      <c r="H915" s="67"/>
      <c r="I915" s="67"/>
      <c r="J915" s="32"/>
      <c r="K915" s="68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</row>
    <row r="916" ht="15.75" customHeight="1">
      <c r="A916" s="32"/>
      <c r="B916" s="65"/>
      <c r="C916" s="65"/>
      <c r="D916" s="32"/>
      <c r="E916" s="32"/>
      <c r="F916" s="32"/>
      <c r="G916" s="65"/>
      <c r="H916" s="67"/>
      <c r="I916" s="67"/>
      <c r="J916" s="32"/>
      <c r="K916" s="68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</row>
    <row r="917" ht="15.75" customHeight="1">
      <c r="A917" s="32"/>
      <c r="B917" s="65"/>
      <c r="C917" s="65"/>
      <c r="D917" s="32"/>
      <c r="E917" s="32"/>
      <c r="F917" s="32"/>
      <c r="G917" s="65"/>
      <c r="H917" s="67"/>
      <c r="I917" s="67"/>
      <c r="J917" s="32"/>
      <c r="K917" s="68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</row>
    <row r="918" ht="15.75" customHeight="1">
      <c r="A918" s="32"/>
      <c r="B918" s="65"/>
      <c r="C918" s="65"/>
      <c r="D918" s="32"/>
      <c r="E918" s="32"/>
      <c r="F918" s="32"/>
      <c r="G918" s="65"/>
      <c r="H918" s="67"/>
      <c r="I918" s="67"/>
      <c r="J918" s="32"/>
      <c r="K918" s="68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 ht="15.75" customHeight="1">
      <c r="A919" s="32"/>
      <c r="B919" s="65"/>
      <c r="C919" s="65"/>
      <c r="D919" s="32"/>
      <c r="E919" s="32"/>
      <c r="F919" s="32"/>
      <c r="G919" s="65"/>
      <c r="H919" s="67"/>
      <c r="I919" s="67"/>
      <c r="J919" s="32"/>
      <c r="K919" s="68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</row>
    <row r="920" ht="15.75" customHeight="1">
      <c r="A920" s="32"/>
      <c r="B920" s="65"/>
      <c r="C920" s="65"/>
      <c r="D920" s="32"/>
      <c r="E920" s="32"/>
      <c r="F920" s="32"/>
      <c r="G920" s="65"/>
      <c r="H920" s="67"/>
      <c r="I920" s="67"/>
      <c r="J920" s="32"/>
      <c r="K920" s="68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</row>
    <row r="921" ht="15.75" customHeight="1">
      <c r="A921" s="32"/>
      <c r="B921" s="65"/>
      <c r="C921" s="65"/>
      <c r="D921" s="32"/>
      <c r="E921" s="32"/>
      <c r="F921" s="32"/>
      <c r="G921" s="65"/>
      <c r="H921" s="67"/>
      <c r="I921" s="67"/>
      <c r="J921" s="32"/>
      <c r="K921" s="68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</row>
    <row r="922" ht="15.75" customHeight="1">
      <c r="A922" s="32"/>
      <c r="B922" s="65"/>
      <c r="C922" s="65"/>
      <c r="D922" s="32"/>
      <c r="E922" s="32"/>
      <c r="F922" s="32"/>
      <c r="G922" s="65"/>
      <c r="H922" s="67"/>
      <c r="I922" s="67"/>
      <c r="J922" s="32"/>
      <c r="K922" s="68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</row>
    <row r="923" ht="15.75" customHeight="1">
      <c r="A923" s="32"/>
      <c r="B923" s="65"/>
      <c r="C923" s="65"/>
      <c r="D923" s="32"/>
      <c r="E923" s="32"/>
      <c r="F923" s="32"/>
      <c r="G923" s="65"/>
      <c r="H923" s="67"/>
      <c r="I923" s="67"/>
      <c r="J923" s="32"/>
      <c r="K923" s="68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</row>
    <row r="924" ht="15.75" customHeight="1">
      <c r="A924" s="32"/>
      <c r="B924" s="65"/>
      <c r="C924" s="65"/>
      <c r="D924" s="32"/>
      <c r="E924" s="32"/>
      <c r="F924" s="32"/>
      <c r="G924" s="65"/>
      <c r="H924" s="67"/>
      <c r="I924" s="67"/>
      <c r="J924" s="32"/>
      <c r="K924" s="68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 ht="15.75" customHeight="1">
      <c r="A925" s="32"/>
      <c r="B925" s="65"/>
      <c r="C925" s="65"/>
      <c r="D925" s="32"/>
      <c r="E925" s="32"/>
      <c r="F925" s="32"/>
      <c r="G925" s="65"/>
      <c r="H925" s="67"/>
      <c r="I925" s="67"/>
      <c r="J925" s="32"/>
      <c r="K925" s="68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</row>
    <row r="926" ht="15.75" customHeight="1">
      <c r="A926" s="32"/>
      <c r="B926" s="65"/>
      <c r="C926" s="65"/>
      <c r="D926" s="32"/>
      <c r="E926" s="32"/>
      <c r="F926" s="32"/>
      <c r="G926" s="65"/>
      <c r="H926" s="67"/>
      <c r="I926" s="67"/>
      <c r="J926" s="32"/>
      <c r="K926" s="68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</row>
    <row r="927" ht="15.75" customHeight="1">
      <c r="A927" s="32"/>
      <c r="B927" s="65"/>
      <c r="C927" s="65"/>
      <c r="D927" s="32"/>
      <c r="E927" s="32"/>
      <c r="F927" s="32"/>
      <c r="G927" s="65"/>
      <c r="H927" s="67"/>
      <c r="I927" s="67"/>
      <c r="J927" s="32"/>
      <c r="K927" s="68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</row>
    <row r="928" ht="15.75" customHeight="1">
      <c r="A928" s="32"/>
      <c r="B928" s="65"/>
      <c r="C928" s="65"/>
      <c r="D928" s="32"/>
      <c r="E928" s="32"/>
      <c r="F928" s="32"/>
      <c r="G928" s="65"/>
      <c r="H928" s="67"/>
      <c r="I928" s="67"/>
      <c r="J928" s="32"/>
      <c r="K928" s="68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</row>
    <row r="929" ht="15.75" customHeight="1">
      <c r="A929" s="32"/>
      <c r="B929" s="65"/>
      <c r="C929" s="65"/>
      <c r="D929" s="32"/>
      <c r="E929" s="32"/>
      <c r="F929" s="32"/>
      <c r="G929" s="65"/>
      <c r="H929" s="67"/>
      <c r="I929" s="67"/>
      <c r="J929" s="32"/>
      <c r="K929" s="68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</row>
    <row r="930" ht="15.75" customHeight="1">
      <c r="A930" s="32"/>
      <c r="B930" s="65"/>
      <c r="C930" s="65"/>
      <c r="D930" s="32"/>
      <c r="E930" s="32"/>
      <c r="F930" s="32"/>
      <c r="G930" s="65"/>
      <c r="H930" s="67"/>
      <c r="I930" s="67"/>
      <c r="J930" s="32"/>
      <c r="K930" s="68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 ht="15.75" customHeight="1">
      <c r="A931" s="32"/>
      <c r="B931" s="65"/>
      <c r="C931" s="65"/>
      <c r="D931" s="32"/>
      <c r="E931" s="32"/>
      <c r="F931" s="32"/>
      <c r="G931" s="65"/>
      <c r="H931" s="67"/>
      <c r="I931" s="67"/>
      <c r="J931" s="32"/>
      <c r="K931" s="68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</row>
    <row r="932" ht="15.75" customHeight="1">
      <c r="A932" s="32"/>
      <c r="B932" s="65"/>
      <c r="C932" s="65"/>
      <c r="D932" s="32"/>
      <c r="E932" s="32"/>
      <c r="F932" s="32"/>
      <c r="G932" s="65"/>
      <c r="H932" s="67"/>
      <c r="I932" s="67"/>
      <c r="J932" s="32"/>
      <c r="K932" s="68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</row>
    <row r="933" ht="15.75" customHeight="1">
      <c r="A933" s="32"/>
      <c r="B933" s="65"/>
      <c r="C933" s="65"/>
      <c r="D933" s="32"/>
      <c r="E933" s="32"/>
      <c r="F933" s="32"/>
      <c r="G933" s="65"/>
      <c r="H933" s="67"/>
      <c r="I933" s="67"/>
      <c r="J933" s="32"/>
      <c r="K933" s="68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</row>
    <row r="934" ht="15.75" customHeight="1">
      <c r="A934" s="32"/>
      <c r="B934" s="65"/>
      <c r="C934" s="65"/>
      <c r="D934" s="32"/>
      <c r="E934" s="32"/>
      <c r="F934" s="32"/>
      <c r="G934" s="65"/>
      <c r="H934" s="67"/>
      <c r="I934" s="67"/>
      <c r="J934" s="32"/>
      <c r="K934" s="68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</row>
    <row r="935" ht="15.75" customHeight="1">
      <c r="A935" s="32"/>
      <c r="B935" s="65"/>
      <c r="C935" s="65"/>
      <c r="D935" s="32"/>
      <c r="E935" s="32"/>
      <c r="F935" s="32"/>
      <c r="G935" s="65"/>
      <c r="H935" s="67"/>
      <c r="I935" s="67"/>
      <c r="J935" s="32"/>
      <c r="K935" s="68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</row>
    <row r="936" ht="15.75" customHeight="1">
      <c r="A936" s="32"/>
      <c r="B936" s="65"/>
      <c r="C936" s="65"/>
      <c r="D936" s="32"/>
      <c r="E936" s="32"/>
      <c r="F936" s="32"/>
      <c r="G936" s="65"/>
      <c r="H936" s="67"/>
      <c r="I936" s="67"/>
      <c r="J936" s="32"/>
      <c r="K936" s="68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 ht="15.75" customHeight="1">
      <c r="A937" s="32"/>
      <c r="B937" s="65"/>
      <c r="C937" s="65"/>
      <c r="D937" s="32"/>
      <c r="E937" s="32"/>
      <c r="F937" s="32"/>
      <c r="G937" s="65"/>
      <c r="H937" s="67"/>
      <c r="I937" s="67"/>
      <c r="J937" s="32"/>
      <c r="K937" s="68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</row>
    <row r="938" ht="15.75" customHeight="1">
      <c r="A938" s="32"/>
      <c r="B938" s="65"/>
      <c r="C938" s="65"/>
      <c r="D938" s="32"/>
      <c r="E938" s="32"/>
      <c r="F938" s="32"/>
      <c r="G938" s="65"/>
      <c r="H938" s="67"/>
      <c r="I938" s="67"/>
      <c r="J938" s="32"/>
      <c r="K938" s="68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</row>
    <row r="939" ht="15.75" customHeight="1">
      <c r="A939" s="32"/>
      <c r="B939" s="65"/>
      <c r="C939" s="65"/>
      <c r="D939" s="32"/>
      <c r="E939" s="32"/>
      <c r="F939" s="32"/>
      <c r="G939" s="65"/>
      <c r="H939" s="67"/>
      <c r="I939" s="67"/>
      <c r="J939" s="32"/>
      <c r="K939" s="68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</row>
    <row r="940" ht="15.75" customHeight="1">
      <c r="A940" s="32"/>
      <c r="B940" s="65"/>
      <c r="C940" s="65"/>
      <c r="D940" s="32"/>
      <c r="E940" s="32"/>
      <c r="F940" s="32"/>
      <c r="G940" s="65"/>
      <c r="H940" s="67"/>
      <c r="I940" s="67"/>
      <c r="J940" s="32"/>
      <c r="K940" s="68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</row>
    <row r="941" ht="15.75" customHeight="1">
      <c r="A941" s="32"/>
      <c r="B941" s="65"/>
      <c r="C941" s="65"/>
      <c r="D941" s="32"/>
      <c r="E941" s="32"/>
      <c r="F941" s="32"/>
      <c r="G941" s="65"/>
      <c r="H941" s="67"/>
      <c r="I941" s="67"/>
      <c r="J941" s="32"/>
      <c r="K941" s="68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</row>
    <row r="942" ht="15.75" customHeight="1">
      <c r="A942" s="32"/>
      <c r="B942" s="65"/>
      <c r="C942" s="65"/>
      <c r="D942" s="32"/>
      <c r="E942" s="32"/>
      <c r="F942" s="32"/>
      <c r="G942" s="65"/>
      <c r="H942" s="67"/>
      <c r="I942" s="67"/>
      <c r="J942" s="32"/>
      <c r="K942" s="68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</row>
    <row r="943" ht="15.75" customHeight="1">
      <c r="A943" s="32"/>
      <c r="B943" s="65"/>
      <c r="C943" s="65"/>
      <c r="D943" s="32"/>
      <c r="E943" s="32"/>
      <c r="F943" s="32"/>
      <c r="G943" s="65"/>
      <c r="H943" s="67"/>
      <c r="I943" s="67"/>
      <c r="J943" s="32"/>
      <c r="K943" s="68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</row>
    <row r="944" ht="15.75" customHeight="1">
      <c r="A944" s="32"/>
      <c r="B944" s="65"/>
      <c r="C944" s="65"/>
      <c r="D944" s="32"/>
      <c r="E944" s="32"/>
      <c r="F944" s="32"/>
      <c r="G944" s="65"/>
      <c r="H944" s="67"/>
      <c r="I944" s="67"/>
      <c r="J944" s="32"/>
      <c r="K944" s="68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</row>
    <row r="945" ht="15.75" customHeight="1">
      <c r="A945" s="32"/>
      <c r="B945" s="65"/>
      <c r="C945" s="65"/>
      <c r="D945" s="32"/>
      <c r="E945" s="32"/>
      <c r="F945" s="32"/>
      <c r="G945" s="65"/>
      <c r="H945" s="67"/>
      <c r="I945" s="67"/>
      <c r="J945" s="32"/>
      <c r="K945" s="68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</row>
    <row r="946" ht="15.75" customHeight="1">
      <c r="A946" s="32"/>
      <c r="B946" s="65"/>
      <c r="C946" s="65"/>
      <c r="D946" s="32"/>
      <c r="E946" s="32"/>
      <c r="F946" s="32"/>
      <c r="G946" s="65"/>
      <c r="H946" s="67"/>
      <c r="I946" s="67"/>
      <c r="J946" s="32"/>
      <c r="K946" s="68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</row>
    <row r="947" ht="15.75" customHeight="1">
      <c r="A947" s="32"/>
      <c r="B947" s="65"/>
      <c r="C947" s="65"/>
      <c r="D947" s="32"/>
      <c r="E947" s="32"/>
      <c r="F947" s="32"/>
      <c r="G947" s="65"/>
      <c r="H947" s="67"/>
      <c r="I947" s="67"/>
      <c r="J947" s="32"/>
      <c r="K947" s="68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</row>
    <row r="948" ht="15.75" customHeight="1">
      <c r="A948" s="32"/>
      <c r="B948" s="65"/>
      <c r="C948" s="65"/>
      <c r="D948" s="32"/>
      <c r="E948" s="32"/>
      <c r="F948" s="32"/>
      <c r="G948" s="65"/>
      <c r="H948" s="67"/>
      <c r="I948" s="67"/>
      <c r="J948" s="32"/>
      <c r="K948" s="68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</row>
    <row r="949" ht="15.75" customHeight="1">
      <c r="A949" s="32"/>
      <c r="B949" s="65"/>
      <c r="C949" s="65"/>
      <c r="D949" s="32"/>
      <c r="E949" s="32"/>
      <c r="F949" s="32"/>
      <c r="G949" s="65"/>
      <c r="H949" s="67"/>
      <c r="I949" s="67"/>
      <c r="J949" s="32"/>
      <c r="K949" s="68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</row>
    <row r="950" ht="15.75" customHeight="1">
      <c r="A950" s="32"/>
      <c r="B950" s="65"/>
      <c r="C950" s="65"/>
      <c r="D950" s="32"/>
      <c r="E950" s="32"/>
      <c r="F950" s="32"/>
      <c r="G950" s="65"/>
      <c r="H950" s="67"/>
      <c r="I950" s="67"/>
      <c r="J950" s="32"/>
      <c r="K950" s="68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</row>
    <row r="951" ht="15.75" customHeight="1">
      <c r="A951" s="32"/>
      <c r="B951" s="65"/>
      <c r="C951" s="65"/>
      <c r="D951" s="32"/>
      <c r="E951" s="32"/>
      <c r="F951" s="32"/>
      <c r="G951" s="65"/>
      <c r="H951" s="67"/>
      <c r="I951" s="67"/>
      <c r="J951" s="32"/>
      <c r="K951" s="68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</row>
    <row r="952" ht="15.75" customHeight="1">
      <c r="A952" s="32"/>
      <c r="B952" s="65"/>
      <c r="C952" s="65"/>
      <c r="D952" s="32"/>
      <c r="E952" s="32"/>
      <c r="F952" s="32"/>
      <c r="G952" s="65"/>
      <c r="H952" s="67"/>
      <c r="I952" s="67"/>
      <c r="J952" s="32"/>
      <c r="K952" s="68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</row>
    <row r="953" ht="15.75" customHeight="1">
      <c r="A953" s="32"/>
      <c r="B953" s="65"/>
      <c r="C953" s="65"/>
      <c r="D953" s="32"/>
      <c r="E953" s="32"/>
      <c r="F953" s="32"/>
      <c r="G953" s="65"/>
      <c r="H953" s="67"/>
      <c r="I953" s="67"/>
      <c r="J953" s="32"/>
      <c r="K953" s="68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</row>
    <row r="954" ht="15.75" customHeight="1">
      <c r="A954" s="32"/>
      <c r="B954" s="65"/>
      <c r="C954" s="65"/>
      <c r="D954" s="32"/>
      <c r="E954" s="32"/>
      <c r="F954" s="32"/>
      <c r="G954" s="65"/>
      <c r="H954" s="67"/>
      <c r="I954" s="67"/>
      <c r="J954" s="32"/>
      <c r="K954" s="68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</row>
    <row r="955" ht="15.75" customHeight="1">
      <c r="A955" s="32"/>
      <c r="B955" s="65"/>
      <c r="C955" s="65"/>
      <c r="D955" s="32"/>
      <c r="E955" s="32"/>
      <c r="F955" s="32"/>
      <c r="G955" s="65"/>
      <c r="H955" s="67"/>
      <c r="I955" s="67"/>
      <c r="J955" s="32"/>
      <c r="K955" s="68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</row>
    <row r="956" ht="15.75" customHeight="1">
      <c r="A956" s="32"/>
      <c r="B956" s="65"/>
      <c r="C956" s="65"/>
      <c r="D956" s="32"/>
      <c r="E956" s="32"/>
      <c r="F956" s="32"/>
      <c r="G956" s="65"/>
      <c r="H956" s="67"/>
      <c r="I956" s="67"/>
      <c r="J956" s="32"/>
      <c r="K956" s="68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</row>
    <row r="957" ht="15.75" customHeight="1">
      <c r="A957" s="32"/>
      <c r="B957" s="65"/>
      <c r="C957" s="65"/>
      <c r="D957" s="32"/>
      <c r="E957" s="32"/>
      <c r="F957" s="32"/>
      <c r="G957" s="65"/>
      <c r="H957" s="67"/>
      <c r="I957" s="67"/>
      <c r="J957" s="32"/>
      <c r="K957" s="68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</row>
    <row r="958" ht="15.75" customHeight="1">
      <c r="A958" s="32"/>
      <c r="B958" s="65"/>
      <c r="C958" s="65"/>
      <c r="D958" s="32"/>
      <c r="E958" s="32"/>
      <c r="F958" s="32"/>
      <c r="G958" s="65"/>
      <c r="H958" s="67"/>
      <c r="I958" s="67"/>
      <c r="J958" s="32"/>
      <c r="K958" s="68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</row>
    <row r="959" ht="15.75" customHeight="1">
      <c r="A959" s="32"/>
      <c r="B959" s="65"/>
      <c r="C959" s="65"/>
      <c r="D959" s="32"/>
      <c r="E959" s="32"/>
      <c r="F959" s="32"/>
      <c r="G959" s="65"/>
      <c r="H959" s="67"/>
      <c r="I959" s="67"/>
      <c r="J959" s="32"/>
      <c r="K959" s="68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</row>
    <row r="960" ht="15.75" customHeight="1">
      <c r="A960" s="32"/>
      <c r="B960" s="65"/>
      <c r="C960" s="65"/>
      <c r="D960" s="32"/>
      <c r="E960" s="32"/>
      <c r="F960" s="32"/>
      <c r="G960" s="65"/>
      <c r="H960" s="67"/>
      <c r="I960" s="67"/>
      <c r="J960" s="32"/>
      <c r="K960" s="68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</row>
    <row r="961" ht="15.75" customHeight="1">
      <c r="A961" s="32"/>
      <c r="B961" s="65"/>
      <c r="C961" s="65"/>
      <c r="D961" s="32"/>
      <c r="E961" s="32"/>
      <c r="F961" s="32"/>
      <c r="G961" s="65"/>
      <c r="H961" s="67"/>
      <c r="I961" s="67"/>
      <c r="J961" s="32"/>
      <c r="K961" s="68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</row>
    <row r="962" ht="15.75" customHeight="1">
      <c r="A962" s="32"/>
      <c r="B962" s="65"/>
      <c r="C962" s="65"/>
      <c r="D962" s="32"/>
      <c r="E962" s="32"/>
      <c r="F962" s="32"/>
      <c r="G962" s="65"/>
      <c r="H962" s="67"/>
      <c r="I962" s="67"/>
      <c r="J962" s="32"/>
      <c r="K962" s="68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</row>
    <row r="963" ht="15.75" customHeight="1">
      <c r="A963" s="32"/>
      <c r="B963" s="65"/>
      <c r="C963" s="65"/>
      <c r="D963" s="32"/>
      <c r="E963" s="32"/>
      <c r="F963" s="32"/>
      <c r="G963" s="65"/>
      <c r="H963" s="67"/>
      <c r="I963" s="67"/>
      <c r="J963" s="32"/>
      <c r="K963" s="68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</row>
    <row r="964" ht="15.75" customHeight="1">
      <c r="A964" s="32"/>
      <c r="B964" s="65"/>
      <c r="C964" s="65"/>
      <c r="D964" s="32"/>
      <c r="E964" s="32"/>
      <c r="F964" s="32"/>
      <c r="G964" s="65"/>
      <c r="H964" s="67"/>
      <c r="I964" s="67"/>
      <c r="J964" s="32"/>
      <c r="K964" s="68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</row>
    <row r="965" ht="15.75" customHeight="1">
      <c r="A965" s="32"/>
      <c r="B965" s="65"/>
      <c r="C965" s="65"/>
      <c r="D965" s="32"/>
      <c r="E965" s="32"/>
      <c r="F965" s="32"/>
      <c r="G965" s="65"/>
      <c r="H965" s="67"/>
      <c r="I965" s="67"/>
      <c r="J965" s="32"/>
      <c r="K965" s="68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</row>
    <row r="966" ht="15.75" customHeight="1">
      <c r="A966" s="32"/>
      <c r="B966" s="65"/>
      <c r="C966" s="65"/>
      <c r="D966" s="32"/>
      <c r="E966" s="32"/>
      <c r="F966" s="32"/>
      <c r="G966" s="65"/>
      <c r="H966" s="67"/>
      <c r="I966" s="67"/>
      <c r="J966" s="32"/>
      <c r="K966" s="68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</row>
    <row r="967" ht="15.75" customHeight="1">
      <c r="A967" s="32"/>
      <c r="B967" s="65"/>
      <c r="C967" s="65"/>
      <c r="D967" s="32"/>
      <c r="E967" s="32"/>
      <c r="F967" s="32"/>
      <c r="G967" s="65"/>
      <c r="H967" s="67"/>
      <c r="I967" s="67"/>
      <c r="J967" s="32"/>
      <c r="K967" s="68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</row>
    <row r="968" ht="15.75" customHeight="1">
      <c r="A968" s="32"/>
      <c r="B968" s="65"/>
      <c r="C968" s="65"/>
      <c r="D968" s="32"/>
      <c r="E968" s="32"/>
      <c r="F968" s="32"/>
      <c r="G968" s="65"/>
      <c r="H968" s="67"/>
      <c r="I968" s="67"/>
      <c r="J968" s="32"/>
      <c r="K968" s="68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</row>
    <row r="969" ht="15.75" customHeight="1">
      <c r="A969" s="32"/>
      <c r="B969" s="65"/>
      <c r="C969" s="65"/>
      <c r="D969" s="32"/>
      <c r="E969" s="32"/>
      <c r="F969" s="32"/>
      <c r="G969" s="65"/>
      <c r="H969" s="67"/>
      <c r="I969" s="67"/>
      <c r="J969" s="32"/>
      <c r="K969" s="68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</row>
    <row r="970" ht="15.75" customHeight="1">
      <c r="A970" s="32"/>
      <c r="B970" s="65"/>
      <c r="C970" s="65"/>
      <c r="D970" s="32"/>
      <c r="E970" s="32"/>
      <c r="F970" s="32"/>
      <c r="G970" s="65"/>
      <c r="H970" s="67"/>
      <c r="I970" s="67"/>
      <c r="J970" s="32"/>
      <c r="K970" s="68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</row>
    <row r="971" ht="15.75" customHeight="1">
      <c r="A971" s="32"/>
      <c r="B971" s="65"/>
      <c r="C971" s="65"/>
      <c r="D971" s="32"/>
      <c r="E971" s="32"/>
      <c r="F971" s="32"/>
      <c r="G971" s="65"/>
      <c r="H971" s="67"/>
      <c r="I971" s="67"/>
      <c r="J971" s="32"/>
      <c r="K971" s="68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</row>
    <row r="972" ht="15.75" customHeight="1">
      <c r="A972" s="32"/>
      <c r="B972" s="65"/>
      <c r="C972" s="65"/>
      <c r="D972" s="32"/>
      <c r="E972" s="32"/>
      <c r="F972" s="32"/>
      <c r="G972" s="65"/>
      <c r="H972" s="67"/>
      <c r="I972" s="67"/>
      <c r="J972" s="32"/>
      <c r="K972" s="68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</row>
    <row r="973" ht="15.75" customHeight="1">
      <c r="A973" s="32"/>
      <c r="B973" s="65"/>
      <c r="C973" s="65"/>
      <c r="D973" s="32"/>
      <c r="E973" s="32"/>
      <c r="F973" s="32"/>
      <c r="G973" s="65"/>
      <c r="H973" s="67"/>
      <c r="I973" s="67"/>
      <c r="J973" s="32"/>
      <c r="K973" s="68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</row>
    <row r="974" ht="15.75" customHeight="1">
      <c r="A974" s="32"/>
      <c r="B974" s="65"/>
      <c r="C974" s="65"/>
      <c r="D974" s="32"/>
      <c r="E974" s="32"/>
      <c r="F974" s="32"/>
      <c r="G974" s="65"/>
      <c r="H974" s="67"/>
      <c r="I974" s="67"/>
      <c r="J974" s="32"/>
      <c r="K974" s="68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</row>
    <row r="975" ht="15.75" customHeight="1">
      <c r="A975" s="32"/>
      <c r="B975" s="65"/>
      <c r="C975" s="65"/>
      <c r="D975" s="32"/>
      <c r="E975" s="32"/>
      <c r="F975" s="32"/>
      <c r="G975" s="65"/>
      <c r="H975" s="67"/>
      <c r="I975" s="67"/>
      <c r="J975" s="32"/>
      <c r="K975" s="68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</row>
    <row r="976" ht="15.75" customHeight="1">
      <c r="A976" s="32"/>
      <c r="B976" s="65"/>
      <c r="C976" s="65"/>
      <c r="D976" s="32"/>
      <c r="E976" s="32"/>
      <c r="F976" s="32"/>
      <c r="G976" s="65"/>
      <c r="H976" s="67"/>
      <c r="I976" s="67"/>
      <c r="J976" s="32"/>
      <c r="K976" s="68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</row>
    <row r="977" ht="15.75" customHeight="1">
      <c r="A977" s="32"/>
      <c r="B977" s="65"/>
      <c r="C977" s="65"/>
      <c r="D977" s="32"/>
      <c r="E977" s="32"/>
      <c r="F977" s="32"/>
      <c r="G977" s="65"/>
      <c r="H977" s="67"/>
      <c r="I977" s="67"/>
      <c r="J977" s="32"/>
      <c r="K977" s="68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</row>
    <row r="978" ht="15.75" customHeight="1">
      <c r="A978" s="32"/>
      <c r="B978" s="65"/>
      <c r="C978" s="65"/>
      <c r="D978" s="32"/>
      <c r="E978" s="32"/>
      <c r="F978" s="32"/>
      <c r="G978" s="65"/>
      <c r="H978" s="67"/>
      <c r="I978" s="67"/>
      <c r="J978" s="32"/>
      <c r="K978" s="68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</row>
    <row r="979" ht="15.75" customHeight="1">
      <c r="A979" s="32"/>
      <c r="B979" s="65"/>
      <c r="C979" s="65"/>
      <c r="D979" s="32"/>
      <c r="E979" s="32"/>
      <c r="F979" s="32"/>
      <c r="G979" s="65"/>
      <c r="H979" s="67"/>
      <c r="I979" s="67"/>
      <c r="J979" s="32"/>
      <c r="K979" s="68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</row>
    <row r="980" ht="15.75" customHeight="1">
      <c r="A980" s="32"/>
      <c r="B980" s="65"/>
      <c r="C980" s="65"/>
      <c r="D980" s="32"/>
      <c r="E980" s="32"/>
      <c r="F980" s="32"/>
      <c r="G980" s="65"/>
      <c r="H980" s="67"/>
      <c r="I980" s="67"/>
      <c r="J980" s="32"/>
      <c r="K980" s="68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</row>
    <row r="981" ht="15.75" customHeight="1">
      <c r="A981" s="32"/>
      <c r="B981" s="65"/>
      <c r="C981" s="65"/>
      <c r="D981" s="32"/>
      <c r="E981" s="32"/>
      <c r="F981" s="32"/>
      <c r="G981" s="65"/>
      <c r="H981" s="67"/>
      <c r="I981" s="67"/>
      <c r="J981" s="32"/>
      <c r="K981" s="68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</row>
    <row r="982" ht="15.75" customHeight="1">
      <c r="A982" s="32"/>
      <c r="B982" s="65"/>
      <c r="C982" s="65"/>
      <c r="D982" s="32"/>
      <c r="E982" s="32"/>
      <c r="F982" s="32"/>
      <c r="G982" s="65"/>
      <c r="H982" s="67"/>
      <c r="I982" s="67"/>
      <c r="J982" s="32"/>
      <c r="K982" s="68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</row>
    <row r="983" ht="15.75" customHeight="1">
      <c r="A983" s="32"/>
      <c r="B983" s="65"/>
      <c r="C983" s="65"/>
      <c r="D983" s="32"/>
      <c r="E983" s="32"/>
      <c r="F983" s="32"/>
      <c r="G983" s="65"/>
      <c r="H983" s="67"/>
      <c r="I983" s="67"/>
      <c r="J983" s="32"/>
      <c r="K983" s="68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</row>
    <row r="984" ht="15.75" customHeight="1">
      <c r="A984" s="32"/>
      <c r="B984" s="65"/>
      <c r="C984" s="65"/>
      <c r="D984" s="32"/>
      <c r="E984" s="32"/>
      <c r="F984" s="32"/>
      <c r="G984" s="65"/>
      <c r="H984" s="67"/>
      <c r="I984" s="67"/>
      <c r="J984" s="32"/>
      <c r="K984" s="68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 ht="15.75" customHeight="1">
      <c r="A985" s="32"/>
      <c r="B985" s="65"/>
      <c r="C985" s="65"/>
      <c r="D985" s="32"/>
      <c r="E985" s="32"/>
      <c r="F985" s="32"/>
      <c r="G985" s="65"/>
      <c r="H985" s="67"/>
      <c r="I985" s="67"/>
      <c r="J985" s="32"/>
      <c r="K985" s="68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</row>
    <row r="986" ht="15.75" customHeight="1">
      <c r="A986" s="32"/>
      <c r="B986" s="65"/>
      <c r="C986" s="65"/>
      <c r="D986" s="32"/>
      <c r="E986" s="32"/>
      <c r="F986" s="32"/>
      <c r="G986" s="65"/>
      <c r="H986" s="67"/>
      <c r="I986" s="67"/>
      <c r="J986" s="32"/>
      <c r="K986" s="68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</row>
    <row r="987" ht="15.75" customHeight="1">
      <c r="A987" s="32"/>
      <c r="B987" s="65"/>
      <c r="C987" s="65"/>
      <c r="D987" s="32"/>
      <c r="E987" s="32"/>
      <c r="F987" s="32"/>
      <c r="G987" s="65"/>
      <c r="H987" s="67"/>
      <c r="I987" s="67"/>
      <c r="J987" s="32"/>
      <c r="K987" s="68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</row>
    <row r="988" ht="15.75" customHeight="1">
      <c r="A988" s="32"/>
      <c r="B988" s="65"/>
      <c r="C988" s="65"/>
      <c r="D988" s="32"/>
      <c r="E988" s="32"/>
      <c r="F988" s="32"/>
      <c r="G988" s="65"/>
      <c r="H988" s="67"/>
      <c r="I988" s="67"/>
      <c r="J988" s="32"/>
      <c r="K988" s="68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</row>
    <row r="989" ht="15.75" customHeight="1">
      <c r="A989" s="32"/>
      <c r="B989" s="65"/>
      <c r="C989" s="65"/>
      <c r="D989" s="32"/>
      <c r="E989" s="32"/>
      <c r="F989" s="32"/>
      <c r="G989" s="65"/>
      <c r="H989" s="67"/>
      <c r="I989" s="67"/>
      <c r="J989" s="32"/>
      <c r="K989" s="68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</row>
    <row r="990" ht="15.75" customHeight="1">
      <c r="A990" s="32"/>
      <c r="B990" s="65"/>
      <c r="C990" s="65"/>
      <c r="D990" s="32"/>
      <c r="E990" s="32"/>
      <c r="F990" s="32"/>
      <c r="G990" s="65"/>
      <c r="H990" s="67"/>
      <c r="I990" s="67"/>
      <c r="J990" s="32"/>
      <c r="K990" s="68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</row>
    <row r="991" ht="15.75" customHeight="1">
      <c r="A991" s="32"/>
      <c r="B991" s="65"/>
      <c r="C991" s="65"/>
      <c r="D991" s="32"/>
      <c r="E991" s="32"/>
      <c r="F991" s="32"/>
      <c r="G991" s="65"/>
      <c r="H991" s="67"/>
      <c r="I991" s="67"/>
      <c r="J991" s="32"/>
      <c r="K991" s="68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</row>
    <row r="992" ht="15.75" customHeight="1">
      <c r="A992" s="32"/>
      <c r="B992" s="65"/>
      <c r="C992" s="65"/>
      <c r="D992" s="32"/>
      <c r="E992" s="32"/>
      <c r="F992" s="32"/>
      <c r="G992" s="65"/>
      <c r="H992" s="67"/>
      <c r="I992" s="67"/>
      <c r="J992" s="32"/>
      <c r="K992" s="68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</row>
    <row r="993" ht="15.75" customHeight="1">
      <c r="A993" s="32"/>
      <c r="B993" s="65"/>
      <c r="C993" s="65"/>
      <c r="D993" s="32"/>
      <c r="E993" s="32"/>
      <c r="F993" s="32"/>
      <c r="G993" s="65"/>
      <c r="H993" s="67"/>
      <c r="I993" s="67"/>
      <c r="J993" s="32"/>
      <c r="K993" s="68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</row>
    <row r="994" ht="15.75" customHeight="1">
      <c r="A994" s="32"/>
      <c r="B994" s="65"/>
      <c r="C994" s="65"/>
      <c r="D994" s="32"/>
      <c r="E994" s="32"/>
      <c r="F994" s="32"/>
      <c r="G994" s="65"/>
      <c r="H994" s="67"/>
      <c r="I994" s="67"/>
      <c r="J994" s="32"/>
      <c r="K994" s="68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</row>
    <row r="995" ht="15.75" customHeight="1">
      <c r="A995" s="32"/>
      <c r="B995" s="65"/>
      <c r="C995" s="65"/>
      <c r="D995" s="32"/>
      <c r="E995" s="32"/>
      <c r="F995" s="32"/>
      <c r="G995" s="65"/>
      <c r="H995" s="67"/>
      <c r="I995" s="67"/>
      <c r="J995" s="32"/>
      <c r="K995" s="68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</row>
    <row r="996" ht="15.75" customHeight="1">
      <c r="A996" s="32"/>
      <c r="B996" s="65"/>
      <c r="C996" s="65"/>
      <c r="D996" s="32"/>
      <c r="E996" s="32"/>
      <c r="F996" s="32"/>
      <c r="G996" s="65"/>
      <c r="H996" s="67"/>
      <c r="I996" s="67"/>
      <c r="J996" s="32"/>
      <c r="K996" s="68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</row>
    <row r="997" ht="15.75" customHeight="1">
      <c r="A997" s="32"/>
      <c r="B997" s="65"/>
      <c r="C997" s="65"/>
      <c r="D997" s="32"/>
      <c r="E997" s="32"/>
      <c r="F997" s="32"/>
      <c r="G997" s="65"/>
      <c r="H997" s="67"/>
      <c r="I997" s="67"/>
      <c r="J997" s="32"/>
      <c r="K997" s="68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</row>
    <row r="998" ht="15.75" customHeight="1">
      <c r="A998" s="32"/>
      <c r="B998" s="65"/>
      <c r="C998" s="65"/>
      <c r="D998" s="32"/>
      <c r="E998" s="32"/>
      <c r="G998" s="65"/>
      <c r="H998" s="67"/>
      <c r="I998" s="67"/>
      <c r="J998" s="32"/>
      <c r="K998" s="68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</row>
  </sheetData>
  <mergeCells count="18">
    <mergeCell ref="K6:K7"/>
    <mergeCell ref="K10:K11"/>
    <mergeCell ref="K12:K13"/>
    <mergeCell ref="K14:K15"/>
    <mergeCell ref="B12:B13"/>
    <mergeCell ref="C12:C13"/>
    <mergeCell ref="B14:B15"/>
    <mergeCell ref="C14:C15"/>
    <mergeCell ref="B17:F17"/>
    <mergeCell ref="D19:F19"/>
    <mergeCell ref="D20:F20"/>
    <mergeCell ref="B4:B5"/>
    <mergeCell ref="C4:C5"/>
    <mergeCell ref="K4:K5"/>
    <mergeCell ref="B6:B7"/>
    <mergeCell ref="C6:C7"/>
    <mergeCell ref="B10:B11"/>
    <mergeCell ref="C10:C11"/>
  </mergeCells>
  <hyperlinks>
    <hyperlink r:id="rId1" ref="K4"/>
    <hyperlink r:id="rId2" ref="K6"/>
    <hyperlink r:id="rId3" ref="K8"/>
    <hyperlink r:id="rId4" ref="K9"/>
    <hyperlink r:id="rId5" ref="K10"/>
    <hyperlink r:id="rId6" ref="K12"/>
    <hyperlink r:id="rId7" ref="K14"/>
  </hyperlinks>
  <printOptions/>
  <pageMargins bottom="1.0" footer="0.0" header="0.0" left="0.75" right="0.75" top="1.0"/>
  <pageSetup orientation="landscape"/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88"/>
    <col customWidth="1" min="2" max="2" width="8.13"/>
    <col customWidth="1" min="3" max="3" width="11.5"/>
    <col customWidth="1" hidden="1" min="4" max="4" width="30.0"/>
    <col customWidth="1" hidden="1" min="5" max="5" width="24.25"/>
    <col customWidth="1" min="6" max="6" width="34.25"/>
    <col customWidth="1" min="7" max="7" width="10.13"/>
    <col customWidth="1" hidden="1" min="12" max="12" width="8.25"/>
    <col customWidth="1" hidden="1" min="13" max="13" width="14.13"/>
    <col hidden="1" min="14" max="14" width="12.63"/>
    <col customWidth="1" min="15" max="15" width="33.38"/>
    <col customWidth="1" min="16" max="16" width="28.75"/>
  </cols>
  <sheetData>
    <row r="1">
      <c r="A1" s="25"/>
      <c r="B1" s="25"/>
      <c r="C1" s="25"/>
      <c r="D1" s="25"/>
      <c r="E1" s="25"/>
      <c r="F1" s="74"/>
      <c r="G1" s="76"/>
      <c r="H1" s="76"/>
      <c r="I1" s="76"/>
      <c r="J1" s="25"/>
      <c r="K1" s="25"/>
      <c r="L1" s="76"/>
      <c r="M1" s="72"/>
      <c r="N1" s="72"/>
      <c r="O1" s="74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>
      <c r="A2" s="76"/>
      <c r="B2" s="77" t="s">
        <v>20</v>
      </c>
      <c r="C2" s="78" t="s">
        <v>22</v>
      </c>
      <c r="D2" s="77" t="s">
        <v>24</v>
      </c>
      <c r="E2" s="77" t="s">
        <v>26</v>
      </c>
      <c r="F2" s="81" t="s">
        <v>28</v>
      </c>
      <c r="G2" s="79" t="s">
        <v>85</v>
      </c>
      <c r="H2" s="79" t="s">
        <v>494</v>
      </c>
      <c r="I2" s="77" t="s">
        <v>30</v>
      </c>
      <c r="J2" s="80" t="s">
        <v>33</v>
      </c>
      <c r="K2" s="80" t="s">
        <v>36</v>
      </c>
      <c r="L2" s="77"/>
      <c r="M2" s="80" t="s">
        <v>33</v>
      </c>
      <c r="N2" s="80" t="s">
        <v>36</v>
      </c>
      <c r="O2" s="81" t="s">
        <v>41</v>
      </c>
      <c r="P2" s="77" t="s">
        <v>16</v>
      </c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>
      <c r="A3" s="25"/>
      <c r="B3" s="193">
        <v>1.0</v>
      </c>
      <c r="C3" s="193" t="str">
        <f t="shared" ref="C3:C7" si="1">IF(ISNUMBER(B3), "P11" &amp; TEXT(B3, "00"), "")</f>
        <v>P1101</v>
      </c>
      <c r="D3" s="319" t="s">
        <v>495</v>
      </c>
      <c r="E3" s="319" t="s">
        <v>496</v>
      </c>
      <c r="F3" s="217" t="str">
        <f t="shared" ref="F3:F4" si="2">CONCATENATE(E3," - ",D3)</f>
        <v>Avocado Coconut Latte - Latte Bơ Dừa (kèm Trân Châu Vải)</v>
      </c>
      <c r="G3" s="79"/>
      <c r="H3" s="79" t="s">
        <v>497</v>
      </c>
      <c r="I3" s="79" t="s">
        <v>52</v>
      </c>
      <c r="J3" s="320">
        <v>10.9</v>
      </c>
      <c r="K3" s="88">
        <f t="shared" ref="K3:K4" si="3">LET(v,J3*1.15,
i,INT(v),
d,v-i,
IF(d&lt;=0.2,
i-0.1,
IF(d&lt;=0.7,
i+0.5,
i+0.9)))
</f>
        <v>12.5</v>
      </c>
      <c r="O3" s="90" t="s">
        <v>498</v>
      </c>
      <c r="P3" s="193"/>
      <c r="Q3" s="321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</row>
    <row r="4">
      <c r="A4" s="25"/>
      <c r="B4" s="269">
        <v>2.0</v>
      </c>
      <c r="C4" s="269" t="str">
        <f t="shared" si="1"/>
        <v>P1102</v>
      </c>
      <c r="D4" s="322" t="s">
        <v>499</v>
      </c>
      <c r="E4" s="322" t="s">
        <v>500</v>
      </c>
      <c r="F4" s="304" t="str">
        <f t="shared" si="2"/>
        <v>Avocado Coffee Latte - Latte Bơ Cà Phê</v>
      </c>
      <c r="G4" s="323"/>
      <c r="H4" s="79" t="s">
        <v>497</v>
      </c>
      <c r="I4" s="79" t="s">
        <v>52</v>
      </c>
      <c r="J4" s="324">
        <v>10.5</v>
      </c>
      <c r="K4" s="272">
        <f t="shared" si="3"/>
        <v>11.9</v>
      </c>
      <c r="O4" s="92" t="s">
        <v>501</v>
      </c>
      <c r="P4" s="91" t="s">
        <v>502</v>
      </c>
      <c r="Q4" s="321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</row>
    <row r="5">
      <c r="A5" s="325"/>
      <c r="B5" s="326"/>
      <c r="C5" s="326" t="str">
        <f t="shared" si="1"/>
        <v/>
      </c>
      <c r="D5" s="327"/>
      <c r="E5" s="327"/>
      <c r="F5" s="328"/>
      <c r="G5" s="329"/>
      <c r="H5" s="329"/>
      <c r="I5" s="329"/>
      <c r="J5" s="330"/>
      <c r="K5" s="331"/>
      <c r="L5" s="332"/>
      <c r="M5" s="333"/>
      <c r="N5" s="334"/>
      <c r="O5" s="335"/>
      <c r="P5" s="326"/>
      <c r="Q5" s="336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</row>
    <row r="6">
      <c r="A6" s="25"/>
      <c r="B6" s="82">
        <v>6.0</v>
      </c>
      <c r="C6" s="82" t="str">
        <f t="shared" si="1"/>
        <v>P1106</v>
      </c>
      <c r="D6" s="82" t="s">
        <v>503</v>
      </c>
      <c r="E6" s="82" t="s">
        <v>504</v>
      </c>
      <c r="F6" s="89" t="s">
        <v>505</v>
      </c>
      <c r="G6" s="79"/>
      <c r="H6" s="79" t="s">
        <v>506</v>
      </c>
      <c r="I6" s="79" t="s">
        <v>52</v>
      </c>
      <c r="J6" s="337">
        <v>13.9</v>
      </c>
      <c r="K6" s="272">
        <f t="shared" ref="K6:K10" si="4">LET(v,J6*1.15,
i,INT(v),
d,v-i,
IF(d&lt;=0.2,
i-0.1,
IF(d&lt;=0.7,
i+0.5,
i+0.9)))
</f>
        <v>15.9</v>
      </c>
      <c r="O6" s="90" t="s">
        <v>507</v>
      </c>
      <c r="P6" s="82" t="s">
        <v>508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</row>
    <row r="7">
      <c r="A7" s="25"/>
      <c r="B7" s="91">
        <v>7.0</v>
      </c>
      <c r="C7" s="91" t="str">
        <f t="shared" si="1"/>
        <v>P1107</v>
      </c>
      <c r="D7" s="82"/>
      <c r="E7" s="82"/>
      <c r="F7" s="306" t="s">
        <v>509</v>
      </c>
      <c r="G7" s="79"/>
      <c r="H7" s="79" t="s">
        <v>506</v>
      </c>
      <c r="I7" s="79" t="s">
        <v>89</v>
      </c>
      <c r="J7" s="337">
        <v>9.9</v>
      </c>
      <c r="K7" s="88">
        <f t="shared" si="4"/>
        <v>11.5</v>
      </c>
      <c r="L7" s="79"/>
      <c r="M7" s="337"/>
      <c r="N7" s="272"/>
      <c r="O7" s="92" t="s">
        <v>510</v>
      </c>
      <c r="P7" s="269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ht="44.25" customHeight="1">
      <c r="A8" s="25"/>
      <c r="B8" s="93"/>
      <c r="C8" s="93"/>
      <c r="D8" s="82" t="s">
        <v>511</v>
      </c>
      <c r="E8" s="82" t="s">
        <v>512</v>
      </c>
      <c r="F8" s="93"/>
      <c r="G8" s="79"/>
      <c r="H8" s="79" t="s">
        <v>506</v>
      </c>
      <c r="I8" s="79" t="s">
        <v>52</v>
      </c>
      <c r="J8" s="337">
        <v>11.9</v>
      </c>
      <c r="K8" s="272">
        <f t="shared" si="4"/>
        <v>13.5</v>
      </c>
      <c r="O8" s="93"/>
      <c r="P8" s="93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>
      <c r="A9" s="25"/>
      <c r="B9" s="91">
        <v>8.0</v>
      </c>
      <c r="C9" s="91" t="str">
        <f>IF(ISNUMBER(B9), "P11" &amp; TEXT(B9, "00"), "")</f>
        <v>P1108</v>
      </c>
      <c r="D9" s="82"/>
      <c r="E9" s="82"/>
      <c r="F9" s="306" t="s">
        <v>513</v>
      </c>
      <c r="G9" s="323"/>
      <c r="H9" s="323" t="s">
        <v>506</v>
      </c>
      <c r="I9" s="79" t="s">
        <v>89</v>
      </c>
      <c r="J9" s="337">
        <v>9.9</v>
      </c>
      <c r="K9" s="88">
        <f t="shared" si="4"/>
        <v>11.5</v>
      </c>
      <c r="L9" s="188"/>
      <c r="M9" s="22"/>
      <c r="N9" s="72"/>
      <c r="O9" s="92" t="s">
        <v>514</v>
      </c>
      <c r="P9" s="91" t="s">
        <v>515</v>
      </c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</row>
    <row r="10" ht="48.0" customHeight="1">
      <c r="A10" s="25"/>
      <c r="B10" s="93"/>
      <c r="C10" s="93"/>
      <c r="D10" s="82" t="s">
        <v>516</v>
      </c>
      <c r="E10" s="82" t="s">
        <v>517</v>
      </c>
      <c r="F10" s="93"/>
      <c r="G10" s="93"/>
      <c r="H10" s="93"/>
      <c r="I10" s="79" t="s">
        <v>52</v>
      </c>
      <c r="J10" s="337">
        <v>11.9</v>
      </c>
      <c r="K10" s="88">
        <f t="shared" si="4"/>
        <v>13.5</v>
      </c>
      <c r="O10" s="93"/>
      <c r="P10" s="93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</row>
    <row r="11">
      <c r="A11" s="325"/>
      <c r="B11" s="338"/>
      <c r="C11" s="338" t="str">
        <f t="shared" ref="C11:C15" si="5">IF(ISNUMBER(B11), "P11" &amp; TEXT(B11, "00"), "")</f>
        <v/>
      </c>
      <c r="D11" s="338"/>
      <c r="E11" s="338"/>
      <c r="F11" s="339"/>
      <c r="G11" s="332"/>
      <c r="H11" s="332"/>
      <c r="I11" s="332"/>
      <c r="J11" s="340"/>
      <c r="K11" s="331"/>
      <c r="L11" s="332"/>
      <c r="M11" s="340"/>
      <c r="N11" s="331"/>
      <c r="O11" s="341"/>
      <c r="P11" s="342"/>
      <c r="Q11" s="325"/>
      <c r="R11" s="325"/>
      <c r="S11" s="325"/>
      <c r="T11" s="325"/>
      <c r="U11" s="325"/>
      <c r="V11" s="325"/>
      <c r="W11" s="325"/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325"/>
    </row>
    <row r="12">
      <c r="A12" s="25"/>
      <c r="B12" s="82">
        <v>10.0</v>
      </c>
      <c r="C12" s="82" t="str">
        <f t="shared" si="5"/>
        <v>P1110</v>
      </c>
      <c r="D12" s="82" t="s">
        <v>518</v>
      </c>
      <c r="E12" s="82" t="s">
        <v>519</v>
      </c>
      <c r="F12" s="89" t="s">
        <v>520</v>
      </c>
      <c r="G12" s="77"/>
      <c r="H12" s="79" t="s">
        <v>521</v>
      </c>
      <c r="I12" s="77"/>
      <c r="J12" s="337">
        <v>14.9</v>
      </c>
      <c r="K12" s="88">
        <f t="shared" ref="K12:K14" si="6">LET(v,J12*1.15,
i,INT(v),
d,v-i,
IF(d&lt;=0.2,
i-0.1,
IF(d&lt;=0.7,
i+0.5,
i+0.9)))
</f>
        <v>16.9</v>
      </c>
      <c r="L12" s="77"/>
      <c r="M12" s="337">
        <v>14.9</v>
      </c>
      <c r="N12" s="88">
        <f t="shared" ref="N12:N14" si="7">LET(v,M12*1.15,
i,INT(v),
d,v-i,
IF(d&lt;=0.2,
i-0.1,
IF(d&lt;=0.7,
i+0.5,
i+0.9)))
</f>
        <v>16.9</v>
      </c>
      <c r="O12" s="90" t="s">
        <v>522</v>
      </c>
      <c r="P12" s="343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</row>
    <row r="13">
      <c r="A13" s="25"/>
      <c r="B13" s="82">
        <v>11.0</v>
      </c>
      <c r="C13" s="82" t="str">
        <f t="shared" si="5"/>
        <v>P1111</v>
      </c>
      <c r="D13" s="82" t="s">
        <v>523</v>
      </c>
      <c r="E13" s="82" t="s">
        <v>524</v>
      </c>
      <c r="F13" s="89" t="s">
        <v>525</v>
      </c>
      <c r="G13" s="77"/>
      <c r="H13" s="79" t="s">
        <v>521</v>
      </c>
      <c r="I13" s="77"/>
      <c r="J13" s="337">
        <v>14.9</v>
      </c>
      <c r="K13" s="88">
        <f t="shared" si="6"/>
        <v>16.9</v>
      </c>
      <c r="L13" s="77"/>
      <c r="M13" s="337">
        <v>14.9</v>
      </c>
      <c r="N13" s="88">
        <f t="shared" si="7"/>
        <v>16.9</v>
      </c>
      <c r="O13" s="90" t="s">
        <v>526</v>
      </c>
      <c r="P13" s="82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</row>
    <row r="14">
      <c r="A14" s="25"/>
      <c r="B14" s="82">
        <v>12.0</v>
      </c>
      <c r="C14" s="82" t="str">
        <f t="shared" si="5"/>
        <v>P1112</v>
      </c>
      <c r="D14" s="82" t="s">
        <v>527</v>
      </c>
      <c r="E14" s="82" t="s">
        <v>528</v>
      </c>
      <c r="F14" s="89" t="s">
        <v>529</v>
      </c>
      <c r="G14" s="77"/>
      <c r="H14" s="79" t="s">
        <v>521</v>
      </c>
      <c r="I14" s="77"/>
      <c r="J14" s="337">
        <v>14.9</v>
      </c>
      <c r="K14" s="88">
        <f t="shared" si="6"/>
        <v>16.9</v>
      </c>
      <c r="L14" s="77"/>
      <c r="M14" s="337">
        <v>14.9</v>
      </c>
      <c r="N14" s="88">
        <f t="shared" si="7"/>
        <v>16.9</v>
      </c>
      <c r="O14" s="90" t="s">
        <v>530</v>
      </c>
      <c r="P14" s="343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>
      <c r="A15" s="325"/>
      <c r="B15" s="344" t="s">
        <v>531</v>
      </c>
      <c r="C15" s="344" t="str">
        <f t="shared" si="5"/>
        <v/>
      </c>
      <c r="D15" s="325"/>
      <c r="E15" s="325"/>
      <c r="F15" s="345"/>
      <c r="G15" s="346"/>
      <c r="H15" s="346"/>
      <c r="I15" s="346"/>
      <c r="J15" s="325"/>
      <c r="K15" s="325"/>
      <c r="L15" s="346"/>
      <c r="M15" s="325"/>
      <c r="N15" s="325"/>
      <c r="O15" s="34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  <c r="AA15" s="325"/>
      <c r="AB15" s="325"/>
      <c r="AC15" s="325"/>
      <c r="AD15" s="325"/>
      <c r="AE15" s="325"/>
      <c r="AF15" s="325"/>
      <c r="AG15" s="325"/>
      <c r="AH15" s="325"/>
    </row>
    <row r="16">
      <c r="A16" s="347"/>
      <c r="B16" s="348" t="s">
        <v>532</v>
      </c>
      <c r="F16" s="349"/>
      <c r="G16" s="350"/>
      <c r="H16" s="350"/>
      <c r="I16" s="350"/>
      <c r="J16" s="347"/>
      <c r="K16" s="347"/>
      <c r="L16" s="350"/>
      <c r="M16" s="347"/>
      <c r="N16" s="347"/>
      <c r="O16" s="349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7"/>
      <c r="AF16" s="347"/>
      <c r="AG16" s="347"/>
      <c r="AH16" s="347"/>
    </row>
    <row r="17">
      <c r="A17" s="275"/>
      <c r="B17" s="266">
        <v>13.0</v>
      </c>
      <c r="C17" s="270" t="str">
        <f t="shared" ref="C17:C26" si="8">IF(ISNUMBER(B17), "P11" &amp; TEXT(B17, "00"), "")</f>
        <v>P1113</v>
      </c>
      <c r="D17" s="351" t="s">
        <v>533</v>
      </c>
      <c r="E17" s="352" t="s">
        <v>534</v>
      </c>
      <c r="F17" s="312" t="str">
        <f t="shared" ref="F17:F24" si="9">CONCATENATE(D17," - ",E17)</f>
        <v>Mung Bean Milk - Sữa đậu xanh</v>
      </c>
      <c r="G17" s="353" t="s">
        <v>535</v>
      </c>
      <c r="H17" s="354"/>
      <c r="I17" s="354"/>
      <c r="J17" s="113">
        <v>9.9</v>
      </c>
      <c r="K17" s="88">
        <f t="shared" ref="K17:K24" si="10">LET(v,J17*1.15,
i,INT(v),
d,v-i,
IF(d&lt;=0.2,
i-0.1,
IF(d&lt;=0.7,
i+0.5,
i+0.9)))
</f>
        <v>11.5</v>
      </c>
      <c r="L17" s="354"/>
      <c r="M17" s="275"/>
      <c r="N17" s="275"/>
      <c r="O17" s="312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  <c r="AB17" s="275"/>
      <c r="AC17" s="275"/>
      <c r="AD17" s="275"/>
      <c r="AE17" s="275"/>
      <c r="AF17" s="275"/>
      <c r="AG17" s="275"/>
      <c r="AH17" s="275"/>
    </row>
    <row r="18">
      <c r="A18" s="275"/>
      <c r="B18" s="153"/>
      <c r="C18" s="270" t="str">
        <f t="shared" si="8"/>
        <v/>
      </c>
      <c r="D18" s="351" t="s">
        <v>533</v>
      </c>
      <c r="E18" s="352" t="s">
        <v>534</v>
      </c>
      <c r="F18" s="312" t="str">
        <f t="shared" si="9"/>
        <v>Mung Bean Milk - Sữa đậu xanh</v>
      </c>
      <c r="G18" s="353" t="s">
        <v>536</v>
      </c>
      <c r="H18" s="354"/>
      <c r="I18" s="354"/>
      <c r="J18" s="113">
        <v>9.9</v>
      </c>
      <c r="K18" s="88">
        <f t="shared" si="10"/>
        <v>11.5</v>
      </c>
      <c r="L18" s="354"/>
      <c r="M18" s="275"/>
      <c r="N18" s="275"/>
      <c r="O18" s="312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  <c r="AE18" s="275"/>
      <c r="AF18" s="275"/>
      <c r="AG18" s="275"/>
      <c r="AH18" s="275"/>
    </row>
    <row r="19">
      <c r="A19" s="275"/>
      <c r="B19" s="266">
        <v>14.0</v>
      </c>
      <c r="C19" s="270" t="str">
        <f t="shared" si="8"/>
        <v>P1114</v>
      </c>
      <c r="D19" s="351" t="s">
        <v>537</v>
      </c>
      <c r="E19" s="270" t="s">
        <v>538</v>
      </c>
      <c r="F19" s="312" t="str">
        <f t="shared" si="9"/>
        <v>Corn Milk - Sữa bắp nóng</v>
      </c>
      <c r="G19" s="353" t="s">
        <v>535</v>
      </c>
      <c r="H19" s="354"/>
      <c r="I19" s="354"/>
      <c r="J19" s="113">
        <v>9.9</v>
      </c>
      <c r="K19" s="88">
        <f t="shared" si="10"/>
        <v>11.5</v>
      </c>
      <c r="L19" s="354"/>
      <c r="M19" s="275"/>
      <c r="N19" s="275"/>
      <c r="O19" s="312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  <c r="AE19" s="275"/>
      <c r="AF19" s="275"/>
      <c r="AG19" s="275"/>
      <c r="AH19" s="275"/>
    </row>
    <row r="20">
      <c r="A20" s="275"/>
      <c r="B20" s="153"/>
      <c r="C20" s="270" t="str">
        <f t="shared" si="8"/>
        <v/>
      </c>
      <c r="D20" s="351" t="s">
        <v>539</v>
      </c>
      <c r="E20" s="270" t="s">
        <v>540</v>
      </c>
      <c r="F20" s="312" t="str">
        <f t="shared" si="9"/>
        <v>Iced Corn Milk - Sữa bắp lạnh</v>
      </c>
      <c r="G20" s="353" t="s">
        <v>536</v>
      </c>
      <c r="H20" s="354"/>
      <c r="I20" s="354"/>
      <c r="J20" s="113">
        <v>9.9</v>
      </c>
      <c r="K20" s="88">
        <f t="shared" si="10"/>
        <v>11.5</v>
      </c>
      <c r="L20" s="354"/>
      <c r="M20" s="275"/>
      <c r="N20" s="275"/>
      <c r="O20" s="97" t="s">
        <v>541</v>
      </c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  <c r="AE20" s="275"/>
      <c r="AF20" s="275"/>
      <c r="AG20" s="275"/>
      <c r="AH20" s="275"/>
    </row>
    <row r="21">
      <c r="A21" s="275"/>
      <c r="B21" s="270">
        <v>15.0</v>
      </c>
      <c r="C21" s="21" t="str">
        <f t="shared" si="8"/>
        <v>P1115</v>
      </c>
      <c r="D21" s="355" t="s">
        <v>542</v>
      </c>
      <c r="E21" s="270" t="s">
        <v>543</v>
      </c>
      <c r="F21" s="312" t="str">
        <f t="shared" si="9"/>
        <v>Pumpkin milk - Sữa bí đỏ</v>
      </c>
      <c r="G21" s="353" t="s">
        <v>535</v>
      </c>
      <c r="H21" s="354"/>
      <c r="I21" s="354"/>
      <c r="J21" s="275"/>
      <c r="K21" s="88">
        <f t="shared" si="10"/>
        <v>-0.1</v>
      </c>
      <c r="L21" s="354"/>
      <c r="M21" s="275"/>
      <c r="N21" s="275"/>
      <c r="O21" s="312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5"/>
      <c r="AH21" s="275"/>
    </row>
    <row r="22">
      <c r="A22" s="275"/>
      <c r="B22" s="270">
        <v>16.0</v>
      </c>
      <c r="C22" s="270" t="str">
        <f t="shared" si="8"/>
        <v>P1116</v>
      </c>
      <c r="D22" s="270" t="s">
        <v>544</v>
      </c>
      <c r="E22" s="270" t="s">
        <v>545</v>
      </c>
      <c r="F22" s="312" t="str">
        <f t="shared" si="9"/>
        <v>Coconut Milk w Herbal Jelly - Sữa Dừa &amp; Sương sáo</v>
      </c>
      <c r="G22" s="353" t="s">
        <v>536</v>
      </c>
      <c r="H22" s="354"/>
      <c r="I22" s="354"/>
      <c r="J22" s="113">
        <v>10.9</v>
      </c>
      <c r="K22" s="88">
        <f t="shared" si="10"/>
        <v>12.5</v>
      </c>
      <c r="L22" s="354"/>
      <c r="M22" s="275"/>
      <c r="N22" s="275"/>
      <c r="O22" s="97" t="s">
        <v>546</v>
      </c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  <c r="AB22" s="275"/>
      <c r="AC22" s="275"/>
      <c r="AD22" s="275"/>
      <c r="AE22" s="275"/>
      <c r="AF22" s="275"/>
      <c r="AG22" s="275"/>
      <c r="AH22" s="275"/>
    </row>
    <row r="23">
      <c r="A23" s="275"/>
      <c r="B23" s="270">
        <v>17.0</v>
      </c>
      <c r="C23" s="270" t="str">
        <f t="shared" si="8"/>
        <v>P1117</v>
      </c>
      <c r="D23" s="270" t="s">
        <v>547</v>
      </c>
      <c r="E23" s="270" t="s">
        <v>548</v>
      </c>
      <c r="F23" s="312" t="str">
        <f t="shared" si="9"/>
        <v>Taro coconut milk - Sữa dừa khoai môn</v>
      </c>
      <c r="G23" s="353" t="s">
        <v>536</v>
      </c>
      <c r="H23" s="354"/>
      <c r="I23" s="354"/>
      <c r="J23" s="113">
        <v>10.9</v>
      </c>
      <c r="K23" s="88">
        <f t="shared" si="10"/>
        <v>12.5</v>
      </c>
      <c r="L23" s="354"/>
      <c r="M23" s="275"/>
      <c r="N23" s="275"/>
      <c r="O23" s="312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  <c r="AB23" s="275"/>
      <c r="AC23" s="275"/>
      <c r="AD23" s="275"/>
      <c r="AE23" s="275"/>
      <c r="AF23" s="275"/>
      <c r="AG23" s="275"/>
      <c r="AH23" s="275"/>
    </row>
    <row r="24">
      <c r="A24" s="275"/>
      <c r="B24" s="270">
        <v>18.0</v>
      </c>
      <c r="C24" s="270" t="str">
        <f t="shared" si="8"/>
        <v>P1118</v>
      </c>
      <c r="D24" s="270" t="s">
        <v>549</v>
      </c>
      <c r="E24" s="270" t="s">
        <v>550</v>
      </c>
      <c r="F24" s="312" t="str">
        <f t="shared" si="9"/>
        <v>Corn Milk w Pandan Jellys - Sữa Bắp &amp; Thạch lá dứa</v>
      </c>
      <c r="G24" s="353" t="s">
        <v>536</v>
      </c>
      <c r="H24" s="354"/>
      <c r="I24" s="354"/>
      <c r="J24" s="113">
        <v>10.9</v>
      </c>
      <c r="K24" s="88">
        <f t="shared" si="10"/>
        <v>12.5</v>
      </c>
      <c r="L24" s="354"/>
      <c r="M24" s="275"/>
      <c r="N24" s="275"/>
      <c r="O24" s="97" t="s">
        <v>551</v>
      </c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  <c r="AB24" s="275"/>
      <c r="AC24" s="275"/>
      <c r="AD24" s="275"/>
      <c r="AE24" s="275"/>
      <c r="AF24" s="275"/>
      <c r="AG24" s="275"/>
      <c r="AH24" s="275"/>
    </row>
    <row r="25">
      <c r="A25" s="25"/>
      <c r="B25" s="25"/>
      <c r="C25" s="25" t="str">
        <f t="shared" si="8"/>
        <v/>
      </c>
      <c r="D25" s="25"/>
      <c r="E25" s="25"/>
      <c r="F25" s="74"/>
      <c r="G25" s="76"/>
      <c r="H25" s="76"/>
      <c r="I25" s="76"/>
      <c r="J25" s="25"/>
      <c r="K25" s="25"/>
      <c r="L25" s="76"/>
      <c r="M25" s="25"/>
      <c r="N25" s="25"/>
      <c r="O25" s="74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>
      <c r="A26" s="25"/>
      <c r="B26" s="25"/>
      <c r="C26" s="25" t="str">
        <f t="shared" si="8"/>
        <v/>
      </c>
      <c r="D26" s="25"/>
      <c r="E26" s="25"/>
      <c r="F26" s="74"/>
      <c r="G26" s="76"/>
      <c r="H26" s="76"/>
      <c r="I26" s="76"/>
      <c r="J26" s="25"/>
      <c r="K26" s="25"/>
      <c r="L26" s="76"/>
      <c r="M26" s="25"/>
      <c r="N26" s="25"/>
      <c r="O26" s="74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>
      <c r="A27" s="25"/>
      <c r="B27" s="25"/>
      <c r="C27" s="25"/>
      <c r="D27" s="25"/>
      <c r="E27" s="25"/>
      <c r="F27" s="74"/>
      <c r="G27" s="76"/>
      <c r="H27" s="76"/>
      <c r="I27" s="76"/>
      <c r="J27" s="25"/>
      <c r="K27" s="25"/>
      <c r="L27" s="76"/>
      <c r="M27" s="25"/>
      <c r="N27" s="25"/>
      <c r="O27" s="74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>
      <c r="A28" s="25"/>
      <c r="B28" s="69"/>
      <c r="G28" s="76"/>
      <c r="H28" s="76"/>
      <c r="I28" s="76"/>
      <c r="J28" s="25"/>
      <c r="K28" s="25"/>
      <c r="L28" s="76"/>
      <c r="M28" s="25"/>
      <c r="N28" s="25"/>
      <c r="O28" s="74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  <row r="29">
      <c r="A29" s="25"/>
      <c r="B29" s="70"/>
      <c r="C29" s="70"/>
      <c r="D29" s="71"/>
      <c r="G29" s="76"/>
      <c r="H29" s="76"/>
      <c r="I29" s="76"/>
      <c r="J29" s="25"/>
      <c r="K29" s="25"/>
      <c r="L29" s="76"/>
      <c r="M29" s="25"/>
      <c r="N29" s="25"/>
      <c r="O29" s="74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</row>
    <row r="30">
      <c r="A30" s="25"/>
      <c r="B30" s="70"/>
      <c r="C30" s="70"/>
      <c r="D30" s="71"/>
      <c r="G30" s="76"/>
      <c r="H30" s="76"/>
      <c r="I30" s="76"/>
      <c r="J30" s="25"/>
      <c r="K30" s="25"/>
      <c r="L30" s="76"/>
      <c r="M30" s="25"/>
      <c r="N30" s="25"/>
      <c r="O30" s="74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</row>
    <row r="31">
      <c r="A31" s="25"/>
      <c r="B31" s="25"/>
      <c r="C31" s="25"/>
      <c r="D31" s="117"/>
      <c r="G31" s="76"/>
      <c r="H31" s="76"/>
      <c r="I31" s="76"/>
      <c r="J31" s="25"/>
      <c r="K31" s="25"/>
      <c r="L31" s="76"/>
      <c r="M31" s="25"/>
      <c r="N31" s="25"/>
      <c r="O31" s="74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</row>
    <row r="32">
      <c r="A32" s="25"/>
      <c r="B32" s="25"/>
      <c r="C32" s="25"/>
      <c r="D32" s="21"/>
      <c r="E32" s="25"/>
      <c r="F32" s="74"/>
      <c r="G32" s="76"/>
      <c r="H32" s="76"/>
      <c r="I32" s="76"/>
      <c r="J32" s="25"/>
      <c r="K32" s="25"/>
      <c r="L32" s="76"/>
      <c r="M32" s="25"/>
      <c r="N32" s="25"/>
      <c r="O32" s="74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</row>
    <row r="33">
      <c r="A33" s="25"/>
      <c r="B33" s="25"/>
      <c r="C33" s="25"/>
      <c r="D33" s="25"/>
      <c r="E33" s="25"/>
      <c r="F33" s="74"/>
      <c r="G33" s="76"/>
      <c r="H33" s="76"/>
      <c r="I33" s="76"/>
      <c r="J33" s="25"/>
      <c r="K33" s="25"/>
      <c r="L33" s="76"/>
      <c r="M33" s="25"/>
      <c r="N33" s="25"/>
      <c r="O33" s="74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</row>
    <row r="34">
      <c r="A34" s="25"/>
      <c r="B34" s="25"/>
      <c r="C34" s="25"/>
      <c r="D34" s="25"/>
      <c r="E34" s="25"/>
      <c r="F34" s="74"/>
      <c r="G34" s="76"/>
      <c r="H34" s="76"/>
      <c r="I34" s="76"/>
      <c r="J34" s="25"/>
      <c r="K34" s="25"/>
      <c r="L34" s="76"/>
      <c r="M34" s="25"/>
      <c r="N34" s="25"/>
      <c r="O34" s="74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</row>
    <row r="35">
      <c r="A35" s="25"/>
      <c r="B35" s="25"/>
      <c r="C35" s="25"/>
      <c r="D35" s="25"/>
      <c r="E35" s="25"/>
      <c r="F35" s="74"/>
      <c r="G35" s="76"/>
      <c r="H35" s="76"/>
      <c r="I35" s="76"/>
      <c r="J35" s="25"/>
      <c r="K35" s="25"/>
      <c r="L35" s="76"/>
      <c r="M35" s="25"/>
      <c r="N35" s="25"/>
      <c r="O35" s="74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36">
      <c r="A36" s="25"/>
      <c r="B36" s="25"/>
      <c r="C36" s="25"/>
      <c r="D36" s="25"/>
      <c r="E36" s="25"/>
      <c r="F36" s="74"/>
      <c r="G36" s="76"/>
      <c r="H36" s="76"/>
      <c r="I36" s="76"/>
      <c r="J36" s="25"/>
      <c r="K36" s="25"/>
      <c r="L36" s="76"/>
      <c r="M36" s="25"/>
      <c r="N36" s="25"/>
      <c r="O36" s="74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</row>
    <row r="37">
      <c r="A37" s="25"/>
      <c r="B37" s="25"/>
      <c r="C37" s="25"/>
      <c r="D37" s="25"/>
      <c r="E37" s="25"/>
      <c r="F37" s="74"/>
      <c r="G37" s="76"/>
      <c r="H37" s="76"/>
      <c r="I37" s="76"/>
      <c r="J37" s="25"/>
      <c r="K37" s="25"/>
      <c r="L37" s="76"/>
      <c r="M37" s="25"/>
      <c r="N37" s="25"/>
      <c r="O37" s="74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38">
      <c r="A38" s="25"/>
      <c r="B38" s="25"/>
      <c r="C38" s="25"/>
      <c r="D38" s="25"/>
      <c r="E38" s="25"/>
      <c r="F38" s="74"/>
      <c r="G38" s="76"/>
      <c r="H38" s="76"/>
      <c r="I38" s="76"/>
      <c r="J38" s="25"/>
      <c r="K38" s="25"/>
      <c r="L38" s="76"/>
      <c r="M38" s="25"/>
      <c r="N38" s="25"/>
      <c r="O38" s="74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</row>
    <row r="39">
      <c r="A39" s="25"/>
      <c r="B39" s="25"/>
      <c r="C39" s="25"/>
      <c r="D39" s="25"/>
      <c r="E39" s="25"/>
      <c r="F39" s="74"/>
      <c r="G39" s="76"/>
      <c r="H39" s="76"/>
      <c r="I39" s="76"/>
      <c r="J39" s="25"/>
      <c r="K39" s="25"/>
      <c r="L39" s="76"/>
      <c r="M39" s="25"/>
      <c r="N39" s="25"/>
      <c r="O39" s="74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</row>
    <row r="40">
      <c r="A40" s="25"/>
      <c r="B40" s="25"/>
      <c r="C40" s="25"/>
      <c r="D40" s="25"/>
      <c r="E40" s="25"/>
      <c r="F40" s="74"/>
      <c r="G40" s="76"/>
      <c r="H40" s="76"/>
      <c r="I40" s="76"/>
      <c r="J40" s="25"/>
      <c r="K40" s="25"/>
      <c r="L40" s="76"/>
      <c r="M40" s="25"/>
      <c r="N40" s="25"/>
      <c r="O40" s="74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</row>
    <row r="41">
      <c r="A41" s="25"/>
      <c r="B41" s="25"/>
      <c r="C41" s="25"/>
      <c r="D41" s="25"/>
      <c r="E41" s="25"/>
      <c r="F41" s="74"/>
      <c r="G41" s="76"/>
      <c r="H41" s="76"/>
      <c r="I41" s="76"/>
      <c r="J41" s="25"/>
      <c r="K41" s="25"/>
      <c r="L41" s="76"/>
      <c r="M41" s="25"/>
      <c r="N41" s="25"/>
      <c r="O41" s="74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</row>
    <row r="42">
      <c r="A42" s="25"/>
      <c r="B42" s="25"/>
      <c r="C42" s="25"/>
      <c r="D42" s="25"/>
      <c r="E42" s="25"/>
      <c r="F42" s="74"/>
      <c r="G42" s="76"/>
      <c r="H42" s="76"/>
      <c r="I42" s="76"/>
      <c r="J42" s="25"/>
      <c r="K42" s="25"/>
      <c r="L42" s="76"/>
      <c r="M42" s="25"/>
      <c r="N42" s="25"/>
      <c r="O42" s="74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</row>
    <row r="43">
      <c r="A43" s="25"/>
      <c r="B43" s="25"/>
      <c r="C43" s="25"/>
      <c r="D43" s="25"/>
      <c r="E43" s="25"/>
      <c r="F43" s="74"/>
      <c r="G43" s="76"/>
      <c r="H43" s="76"/>
      <c r="I43" s="76"/>
      <c r="J43" s="25"/>
      <c r="K43" s="25"/>
      <c r="L43" s="76"/>
      <c r="M43" s="25"/>
      <c r="N43" s="25"/>
      <c r="O43" s="74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</row>
    <row r="44">
      <c r="A44" s="25"/>
      <c r="B44" s="25"/>
      <c r="C44" s="25"/>
      <c r="D44" s="25"/>
      <c r="E44" s="25"/>
      <c r="F44" s="74"/>
      <c r="G44" s="76"/>
      <c r="H44" s="76"/>
      <c r="I44" s="76"/>
      <c r="J44" s="25"/>
      <c r="K44" s="25"/>
      <c r="L44" s="76"/>
      <c r="M44" s="25"/>
      <c r="N44" s="25"/>
      <c r="O44" s="74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</row>
    <row r="45">
      <c r="A45" s="25"/>
      <c r="B45" s="25"/>
      <c r="C45" s="25"/>
      <c r="D45" s="25"/>
      <c r="E45" s="25"/>
      <c r="F45" s="74"/>
      <c r="G45" s="76"/>
      <c r="H45" s="76"/>
      <c r="I45" s="76"/>
      <c r="J45" s="25"/>
      <c r="K45" s="25"/>
      <c r="L45" s="76"/>
      <c r="M45" s="25"/>
      <c r="N45" s="25"/>
      <c r="O45" s="74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</row>
    <row r="46">
      <c r="A46" s="25"/>
      <c r="B46" s="25"/>
      <c r="C46" s="25"/>
      <c r="D46" s="25"/>
      <c r="E46" s="25"/>
      <c r="F46" s="74"/>
      <c r="G46" s="76"/>
      <c r="H46" s="76"/>
      <c r="I46" s="76"/>
      <c r="J46" s="25"/>
      <c r="K46" s="25"/>
      <c r="L46" s="76"/>
      <c r="M46" s="25"/>
      <c r="N46" s="25"/>
      <c r="O46" s="74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>
      <c r="A47" s="25"/>
      <c r="B47" s="25"/>
      <c r="C47" s="25"/>
      <c r="D47" s="25"/>
      <c r="E47" s="25"/>
      <c r="F47" s="74"/>
      <c r="G47" s="76"/>
      <c r="H47" s="76"/>
      <c r="I47" s="76"/>
      <c r="J47" s="25"/>
      <c r="K47" s="25"/>
      <c r="L47" s="76"/>
      <c r="M47" s="25"/>
      <c r="N47" s="25"/>
      <c r="O47" s="74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</row>
    <row r="48">
      <c r="A48" s="25"/>
      <c r="B48" s="25"/>
      <c r="C48" s="25"/>
      <c r="D48" s="25"/>
      <c r="E48" s="25"/>
      <c r="F48" s="74"/>
      <c r="G48" s="76"/>
      <c r="H48" s="76"/>
      <c r="I48" s="76"/>
      <c r="J48" s="25"/>
      <c r="K48" s="25"/>
      <c r="L48" s="76"/>
      <c r="M48" s="25"/>
      <c r="N48" s="25"/>
      <c r="O48" s="74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</row>
    <row r="49">
      <c r="A49" s="25"/>
      <c r="B49" s="25"/>
      <c r="C49" s="25"/>
      <c r="D49" s="25"/>
      <c r="E49" s="25"/>
      <c r="F49" s="74"/>
      <c r="G49" s="76"/>
      <c r="H49" s="76"/>
      <c r="I49" s="76"/>
      <c r="J49" s="25"/>
      <c r="K49" s="25"/>
      <c r="L49" s="76"/>
      <c r="M49" s="25"/>
      <c r="N49" s="25"/>
      <c r="O49" s="74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</row>
    <row r="50">
      <c r="A50" s="25"/>
      <c r="B50" s="25"/>
      <c r="C50" s="25"/>
      <c r="D50" s="25"/>
      <c r="E50" s="25"/>
      <c r="F50" s="74"/>
      <c r="G50" s="76"/>
      <c r="H50" s="76"/>
      <c r="I50" s="76"/>
      <c r="J50" s="25"/>
      <c r="K50" s="25"/>
      <c r="L50" s="76"/>
      <c r="M50" s="25"/>
      <c r="N50" s="25"/>
      <c r="O50" s="74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</row>
    <row r="51">
      <c r="A51" s="25"/>
      <c r="B51" s="25"/>
      <c r="C51" s="25"/>
      <c r="D51" s="25"/>
      <c r="E51" s="25"/>
      <c r="F51" s="74"/>
      <c r="G51" s="76"/>
      <c r="H51" s="76"/>
      <c r="I51" s="76"/>
      <c r="J51" s="25"/>
      <c r="K51" s="25"/>
      <c r="L51" s="76"/>
      <c r="M51" s="25"/>
      <c r="N51" s="25"/>
      <c r="O51" s="74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</row>
    <row r="52">
      <c r="A52" s="25"/>
      <c r="B52" s="25"/>
      <c r="C52" s="25"/>
      <c r="D52" s="25"/>
      <c r="E52" s="25"/>
      <c r="F52" s="74"/>
      <c r="G52" s="76"/>
      <c r="H52" s="76"/>
      <c r="I52" s="76"/>
      <c r="J52" s="25"/>
      <c r="K52" s="25"/>
      <c r="L52" s="76"/>
      <c r="M52" s="25"/>
      <c r="N52" s="25"/>
      <c r="O52" s="74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</row>
    <row r="53">
      <c r="A53" s="25"/>
      <c r="B53" s="25"/>
      <c r="C53" s="25"/>
      <c r="D53" s="25"/>
      <c r="E53" s="25"/>
      <c r="F53" s="74"/>
      <c r="G53" s="76"/>
      <c r="H53" s="76"/>
      <c r="I53" s="76"/>
      <c r="J53" s="25"/>
      <c r="K53" s="25"/>
      <c r="L53" s="76"/>
      <c r="M53" s="25"/>
      <c r="N53" s="25"/>
      <c r="O53" s="74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</row>
    <row r="54">
      <c r="A54" s="25"/>
      <c r="B54" s="25"/>
      <c r="C54" s="25"/>
      <c r="D54" s="25"/>
      <c r="E54" s="25"/>
      <c r="F54" s="74"/>
      <c r="G54" s="76"/>
      <c r="H54" s="76"/>
      <c r="I54" s="76"/>
      <c r="J54" s="25"/>
      <c r="K54" s="25"/>
      <c r="L54" s="76"/>
      <c r="M54" s="25"/>
      <c r="N54" s="25"/>
      <c r="O54" s="74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</row>
    <row r="55">
      <c r="A55" s="25"/>
      <c r="B55" s="25"/>
      <c r="C55" s="25"/>
      <c r="D55" s="25"/>
      <c r="E55" s="25"/>
      <c r="F55" s="74"/>
      <c r="G55" s="76"/>
      <c r="H55" s="76"/>
      <c r="I55" s="76"/>
      <c r="J55" s="25"/>
      <c r="K55" s="25"/>
      <c r="L55" s="76"/>
      <c r="M55" s="25"/>
      <c r="N55" s="25"/>
      <c r="O55" s="74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</row>
    <row r="56">
      <c r="A56" s="25"/>
      <c r="B56" s="25"/>
      <c r="C56" s="25"/>
      <c r="D56" s="25"/>
      <c r="E56" s="25"/>
      <c r="F56" s="74"/>
      <c r="G56" s="76"/>
      <c r="H56" s="76"/>
      <c r="I56" s="76"/>
      <c r="J56" s="25"/>
      <c r="K56" s="25"/>
      <c r="L56" s="76"/>
      <c r="M56" s="25"/>
      <c r="N56" s="25"/>
      <c r="O56" s="74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</row>
    <row r="57">
      <c r="A57" s="25"/>
      <c r="B57" s="25"/>
      <c r="C57" s="25"/>
      <c r="D57" s="25"/>
      <c r="E57" s="25"/>
      <c r="F57" s="74"/>
      <c r="G57" s="76"/>
      <c r="H57" s="76"/>
      <c r="I57" s="76"/>
      <c r="J57" s="25"/>
      <c r="K57" s="25"/>
      <c r="L57" s="76"/>
      <c r="M57" s="25"/>
      <c r="N57" s="25"/>
      <c r="O57" s="74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</row>
    <row r="58">
      <c r="A58" s="25"/>
      <c r="B58" s="25"/>
      <c r="C58" s="25"/>
      <c r="D58" s="25"/>
      <c r="E58" s="25"/>
      <c r="F58" s="74"/>
      <c r="G58" s="76"/>
      <c r="H58" s="76"/>
      <c r="I58" s="76"/>
      <c r="J58" s="25"/>
      <c r="K58" s="25"/>
      <c r="L58" s="76"/>
      <c r="M58" s="25"/>
      <c r="N58" s="25"/>
      <c r="O58" s="74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</row>
    <row r="59">
      <c r="A59" s="25"/>
      <c r="B59" s="25"/>
      <c r="C59" s="25"/>
      <c r="D59" s="25"/>
      <c r="E59" s="25"/>
      <c r="F59" s="74"/>
      <c r="G59" s="76"/>
      <c r="H59" s="76"/>
      <c r="I59" s="76"/>
      <c r="J59" s="25"/>
      <c r="K59" s="25"/>
      <c r="L59" s="76"/>
      <c r="M59" s="25"/>
      <c r="N59" s="25"/>
      <c r="O59" s="74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</row>
    <row r="60">
      <c r="A60" s="25"/>
      <c r="B60" s="25"/>
      <c r="C60" s="25"/>
      <c r="D60" s="25"/>
      <c r="E60" s="25"/>
      <c r="F60" s="74"/>
      <c r="G60" s="76"/>
      <c r="H60" s="76"/>
      <c r="I60" s="76"/>
      <c r="J60" s="25"/>
      <c r="K60" s="25"/>
      <c r="L60" s="76"/>
      <c r="M60" s="25"/>
      <c r="N60" s="25"/>
      <c r="O60" s="74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</row>
    <row r="61">
      <c r="A61" s="25"/>
      <c r="B61" s="25"/>
      <c r="C61" s="25"/>
      <c r="D61" s="25"/>
      <c r="E61" s="25"/>
      <c r="F61" s="74"/>
      <c r="G61" s="76"/>
      <c r="H61" s="76"/>
      <c r="I61" s="76"/>
      <c r="J61" s="25"/>
      <c r="K61" s="25"/>
      <c r="L61" s="76"/>
      <c r="M61" s="25"/>
      <c r="N61" s="25"/>
      <c r="O61" s="74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</row>
    <row r="62">
      <c r="A62" s="25"/>
      <c r="B62" s="25"/>
      <c r="C62" s="25"/>
      <c r="D62" s="25"/>
      <c r="E62" s="25"/>
      <c r="F62" s="74"/>
      <c r="G62" s="76"/>
      <c r="H62" s="76"/>
      <c r="I62" s="76"/>
      <c r="J62" s="25"/>
      <c r="K62" s="25"/>
      <c r="L62" s="76"/>
      <c r="M62" s="25"/>
      <c r="N62" s="25"/>
      <c r="O62" s="74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</row>
    <row r="63">
      <c r="A63" s="25"/>
      <c r="B63" s="25"/>
      <c r="C63" s="25"/>
      <c r="D63" s="25"/>
      <c r="E63" s="25"/>
      <c r="F63" s="74"/>
      <c r="G63" s="76"/>
      <c r="H63" s="76"/>
      <c r="I63" s="76"/>
      <c r="J63" s="25"/>
      <c r="K63" s="25"/>
      <c r="L63" s="76"/>
      <c r="M63" s="25"/>
      <c r="N63" s="25"/>
      <c r="O63" s="74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</row>
    <row r="64">
      <c r="A64" s="25"/>
      <c r="B64" s="25"/>
      <c r="C64" s="25"/>
      <c r="D64" s="25"/>
      <c r="E64" s="25"/>
      <c r="F64" s="74"/>
      <c r="G64" s="76"/>
      <c r="H64" s="76"/>
      <c r="I64" s="76"/>
      <c r="J64" s="25"/>
      <c r="K64" s="25"/>
      <c r="L64" s="76"/>
      <c r="M64" s="25"/>
      <c r="N64" s="25"/>
      <c r="O64" s="74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</row>
    <row r="65">
      <c r="A65" s="25"/>
      <c r="B65" s="25"/>
      <c r="C65" s="25"/>
      <c r="D65" s="25"/>
      <c r="E65" s="25"/>
      <c r="F65" s="74"/>
      <c r="G65" s="76"/>
      <c r="H65" s="76"/>
      <c r="I65" s="76"/>
      <c r="J65" s="25"/>
      <c r="K65" s="25"/>
      <c r="L65" s="76"/>
      <c r="M65" s="25"/>
      <c r="N65" s="25"/>
      <c r="O65" s="74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</row>
    <row r="66">
      <c r="A66" s="25"/>
      <c r="B66" s="25"/>
      <c r="C66" s="25"/>
      <c r="D66" s="25"/>
      <c r="E66" s="25"/>
      <c r="F66" s="74"/>
      <c r="G66" s="76"/>
      <c r="H66" s="76"/>
      <c r="I66" s="76"/>
      <c r="J66" s="25"/>
      <c r="K66" s="25"/>
      <c r="L66" s="76"/>
      <c r="M66" s="25"/>
      <c r="N66" s="25"/>
      <c r="O66" s="74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>
      <c r="A67" s="25"/>
      <c r="B67" s="25"/>
      <c r="C67" s="25"/>
      <c r="D67" s="25"/>
      <c r="E67" s="25"/>
      <c r="F67" s="74"/>
      <c r="G67" s="76"/>
      <c r="H67" s="76"/>
      <c r="I67" s="76"/>
      <c r="J67" s="25"/>
      <c r="K67" s="25"/>
      <c r="L67" s="76"/>
      <c r="M67" s="25"/>
      <c r="N67" s="25"/>
      <c r="O67" s="74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</row>
    <row r="68">
      <c r="A68" s="25"/>
      <c r="B68" s="25"/>
      <c r="C68" s="25"/>
      <c r="D68" s="25"/>
      <c r="E68" s="25"/>
      <c r="F68" s="74"/>
      <c r="G68" s="76"/>
      <c r="H68" s="76"/>
      <c r="I68" s="76"/>
      <c r="J68" s="25"/>
      <c r="K68" s="25"/>
      <c r="L68" s="76"/>
      <c r="M68" s="25"/>
      <c r="N68" s="25"/>
      <c r="O68" s="74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</row>
    <row r="69">
      <c r="A69" s="25"/>
      <c r="B69" s="25"/>
      <c r="C69" s="25"/>
      <c r="D69" s="25"/>
      <c r="E69" s="25"/>
      <c r="F69" s="74"/>
      <c r="G69" s="76"/>
      <c r="H69" s="76"/>
      <c r="I69" s="76"/>
      <c r="J69" s="25"/>
      <c r="K69" s="25"/>
      <c r="L69" s="76"/>
      <c r="M69" s="25"/>
      <c r="N69" s="25"/>
      <c r="O69" s="74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</row>
    <row r="70">
      <c r="A70" s="25"/>
      <c r="B70" s="25"/>
      <c r="C70" s="25"/>
      <c r="D70" s="25"/>
      <c r="E70" s="25"/>
      <c r="F70" s="74"/>
      <c r="G70" s="76"/>
      <c r="H70" s="76"/>
      <c r="I70" s="76"/>
      <c r="J70" s="25"/>
      <c r="K70" s="25"/>
      <c r="L70" s="76"/>
      <c r="M70" s="25"/>
      <c r="N70" s="25"/>
      <c r="O70" s="74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</row>
    <row r="71">
      <c r="A71" s="25"/>
      <c r="B71" s="25"/>
      <c r="C71" s="25"/>
      <c r="D71" s="25"/>
      <c r="E71" s="25"/>
      <c r="F71" s="74"/>
      <c r="G71" s="76"/>
      <c r="H71" s="76"/>
      <c r="I71" s="76"/>
      <c r="J71" s="25"/>
      <c r="K71" s="25"/>
      <c r="L71" s="76"/>
      <c r="M71" s="25"/>
      <c r="N71" s="25"/>
      <c r="O71" s="74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</row>
    <row r="72">
      <c r="A72" s="25"/>
      <c r="B72" s="25"/>
      <c r="C72" s="25"/>
      <c r="D72" s="25"/>
      <c r="E72" s="25"/>
      <c r="F72" s="74"/>
      <c r="G72" s="76"/>
      <c r="H72" s="76"/>
      <c r="I72" s="76"/>
      <c r="J72" s="25"/>
      <c r="K72" s="25"/>
      <c r="L72" s="76"/>
      <c r="M72" s="25"/>
      <c r="N72" s="25"/>
      <c r="O72" s="74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</row>
    <row r="73">
      <c r="A73" s="25"/>
      <c r="B73" s="25"/>
      <c r="C73" s="25"/>
      <c r="D73" s="25"/>
      <c r="E73" s="25"/>
      <c r="F73" s="74"/>
      <c r="G73" s="76"/>
      <c r="H73" s="76"/>
      <c r="I73" s="76"/>
      <c r="J73" s="25"/>
      <c r="K73" s="25"/>
      <c r="L73" s="76"/>
      <c r="M73" s="25"/>
      <c r="N73" s="25"/>
      <c r="O73" s="74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</row>
    <row r="74">
      <c r="A74" s="25"/>
      <c r="B74" s="25"/>
      <c r="C74" s="25"/>
      <c r="D74" s="25"/>
      <c r="E74" s="25"/>
      <c r="F74" s="74"/>
      <c r="G74" s="76"/>
      <c r="H74" s="76"/>
      <c r="I74" s="76"/>
      <c r="J74" s="25"/>
      <c r="K74" s="25"/>
      <c r="L74" s="76"/>
      <c r="M74" s="25"/>
      <c r="N74" s="25"/>
      <c r="O74" s="74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</row>
    <row r="75">
      <c r="A75" s="25"/>
      <c r="B75" s="25"/>
      <c r="C75" s="25"/>
      <c r="D75" s="25"/>
      <c r="E75" s="25"/>
      <c r="F75" s="74"/>
      <c r="G75" s="76"/>
      <c r="H75" s="76"/>
      <c r="I75" s="76"/>
      <c r="J75" s="25"/>
      <c r="K75" s="25"/>
      <c r="L75" s="76"/>
      <c r="M75" s="25"/>
      <c r="N75" s="25"/>
      <c r="O75" s="74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</row>
    <row r="76">
      <c r="A76" s="25"/>
      <c r="B76" s="25"/>
      <c r="C76" s="25"/>
      <c r="D76" s="25"/>
      <c r="E76" s="25"/>
      <c r="F76" s="74"/>
      <c r="G76" s="76"/>
      <c r="H76" s="76"/>
      <c r="I76" s="76"/>
      <c r="J76" s="25"/>
      <c r="K76" s="25"/>
      <c r="L76" s="76"/>
      <c r="M76" s="25"/>
      <c r="N76" s="25"/>
      <c r="O76" s="74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</row>
    <row r="77">
      <c r="A77" s="25"/>
      <c r="B77" s="25"/>
      <c r="C77" s="25"/>
      <c r="D77" s="25"/>
      <c r="E77" s="25"/>
      <c r="F77" s="74"/>
      <c r="G77" s="76"/>
      <c r="H77" s="76"/>
      <c r="I77" s="76"/>
      <c r="J77" s="25"/>
      <c r="K77" s="25"/>
      <c r="L77" s="76"/>
      <c r="M77" s="25"/>
      <c r="N77" s="25"/>
      <c r="O77" s="74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</row>
    <row r="78">
      <c r="A78" s="25"/>
      <c r="B78" s="25"/>
      <c r="C78" s="25"/>
      <c r="D78" s="25"/>
      <c r="E78" s="25"/>
      <c r="F78" s="74"/>
      <c r="G78" s="76"/>
      <c r="H78" s="76"/>
      <c r="I78" s="76"/>
      <c r="J78" s="25"/>
      <c r="K78" s="25"/>
      <c r="L78" s="76"/>
      <c r="M78" s="25"/>
      <c r="N78" s="25"/>
      <c r="O78" s="74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</row>
    <row r="79">
      <c r="A79" s="25"/>
      <c r="B79" s="25"/>
      <c r="C79" s="25"/>
      <c r="D79" s="25"/>
      <c r="E79" s="25"/>
      <c r="F79" s="74"/>
      <c r="G79" s="76"/>
      <c r="H79" s="76"/>
      <c r="I79" s="76"/>
      <c r="J79" s="25"/>
      <c r="K79" s="25"/>
      <c r="L79" s="76"/>
      <c r="M79" s="25"/>
      <c r="N79" s="25"/>
      <c r="O79" s="74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</row>
    <row r="80">
      <c r="A80" s="25"/>
      <c r="B80" s="25"/>
      <c r="C80" s="25"/>
      <c r="D80" s="25"/>
      <c r="E80" s="25"/>
      <c r="F80" s="74"/>
      <c r="G80" s="76"/>
      <c r="H80" s="76"/>
      <c r="I80" s="76"/>
      <c r="J80" s="25"/>
      <c r="K80" s="25"/>
      <c r="L80" s="76"/>
      <c r="M80" s="25"/>
      <c r="N80" s="25"/>
      <c r="O80" s="74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</row>
    <row r="81">
      <c r="A81" s="25"/>
      <c r="B81" s="25"/>
      <c r="C81" s="25"/>
      <c r="D81" s="25"/>
      <c r="E81" s="25"/>
      <c r="F81" s="74"/>
      <c r="G81" s="76"/>
      <c r="H81" s="76"/>
      <c r="I81" s="76"/>
      <c r="J81" s="25"/>
      <c r="K81" s="25"/>
      <c r="L81" s="76"/>
      <c r="M81" s="25"/>
      <c r="N81" s="25"/>
      <c r="O81" s="74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</row>
    <row r="82">
      <c r="A82" s="25"/>
      <c r="B82" s="25"/>
      <c r="C82" s="25"/>
      <c r="D82" s="25"/>
      <c r="E82" s="25"/>
      <c r="F82" s="74"/>
      <c r="G82" s="76"/>
      <c r="H82" s="76"/>
      <c r="I82" s="76"/>
      <c r="J82" s="25"/>
      <c r="K82" s="25"/>
      <c r="L82" s="76"/>
      <c r="M82" s="25"/>
      <c r="N82" s="25"/>
      <c r="O82" s="74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</row>
    <row r="83">
      <c r="A83" s="25"/>
      <c r="B83" s="25"/>
      <c r="C83" s="25"/>
      <c r="D83" s="25"/>
      <c r="E83" s="25"/>
      <c r="F83" s="74"/>
      <c r="G83" s="76"/>
      <c r="H83" s="76"/>
      <c r="I83" s="76"/>
      <c r="J83" s="25"/>
      <c r="K83" s="25"/>
      <c r="L83" s="76"/>
      <c r="M83" s="25"/>
      <c r="N83" s="25"/>
      <c r="O83" s="74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</row>
    <row r="84">
      <c r="A84" s="25"/>
      <c r="B84" s="25"/>
      <c r="C84" s="25"/>
      <c r="D84" s="25"/>
      <c r="E84" s="25"/>
      <c r="F84" s="74"/>
      <c r="G84" s="76"/>
      <c r="H84" s="76"/>
      <c r="I84" s="76"/>
      <c r="J84" s="25"/>
      <c r="K84" s="25"/>
      <c r="L84" s="76"/>
      <c r="M84" s="25"/>
      <c r="N84" s="25"/>
      <c r="O84" s="74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</row>
    <row r="85">
      <c r="A85" s="25"/>
      <c r="B85" s="25"/>
      <c r="C85" s="25"/>
      <c r="D85" s="25"/>
      <c r="E85" s="25"/>
      <c r="F85" s="74"/>
      <c r="G85" s="76"/>
      <c r="H85" s="76"/>
      <c r="I85" s="76"/>
      <c r="J85" s="25"/>
      <c r="K85" s="25"/>
      <c r="L85" s="76"/>
      <c r="M85" s="25"/>
      <c r="N85" s="25"/>
      <c r="O85" s="74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</row>
    <row r="86">
      <c r="A86" s="25"/>
      <c r="B86" s="25"/>
      <c r="C86" s="25"/>
      <c r="D86" s="25"/>
      <c r="E86" s="25"/>
      <c r="F86" s="74"/>
      <c r="G86" s="76"/>
      <c r="H86" s="76"/>
      <c r="I86" s="76"/>
      <c r="J86" s="25"/>
      <c r="K86" s="25"/>
      <c r="L86" s="76"/>
      <c r="M86" s="25"/>
      <c r="N86" s="25"/>
      <c r="O86" s="74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</row>
    <row r="87">
      <c r="A87" s="25"/>
      <c r="B87" s="25"/>
      <c r="C87" s="25"/>
      <c r="D87" s="25"/>
      <c r="E87" s="25"/>
      <c r="F87" s="74"/>
      <c r="G87" s="76"/>
      <c r="H87" s="76"/>
      <c r="I87" s="76"/>
      <c r="J87" s="25"/>
      <c r="K87" s="25"/>
      <c r="L87" s="76"/>
      <c r="M87" s="25"/>
      <c r="N87" s="25"/>
      <c r="O87" s="74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</row>
    <row r="88">
      <c r="A88" s="25"/>
      <c r="B88" s="25"/>
      <c r="C88" s="25"/>
      <c r="D88" s="25"/>
      <c r="E88" s="25"/>
      <c r="F88" s="74"/>
      <c r="G88" s="76"/>
      <c r="H88" s="76"/>
      <c r="I88" s="76"/>
      <c r="J88" s="25"/>
      <c r="K88" s="25"/>
      <c r="L88" s="76"/>
      <c r="M88" s="25"/>
      <c r="N88" s="25"/>
      <c r="O88" s="74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</row>
    <row r="89">
      <c r="A89" s="25"/>
      <c r="B89" s="25"/>
      <c r="C89" s="25"/>
      <c r="D89" s="25"/>
      <c r="E89" s="25"/>
      <c r="F89" s="74"/>
      <c r="G89" s="76"/>
      <c r="H89" s="76"/>
      <c r="I89" s="76"/>
      <c r="J89" s="25"/>
      <c r="K89" s="25"/>
      <c r="L89" s="76"/>
      <c r="M89" s="25"/>
      <c r="N89" s="25"/>
      <c r="O89" s="74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</row>
    <row r="90">
      <c r="A90" s="25"/>
      <c r="B90" s="25"/>
      <c r="C90" s="25"/>
      <c r="D90" s="25"/>
      <c r="E90" s="25"/>
      <c r="F90" s="74"/>
      <c r="G90" s="76"/>
      <c r="H90" s="76"/>
      <c r="I90" s="76"/>
      <c r="J90" s="25"/>
      <c r="K90" s="25"/>
      <c r="L90" s="76"/>
      <c r="M90" s="25"/>
      <c r="N90" s="25"/>
      <c r="O90" s="74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</row>
    <row r="91">
      <c r="A91" s="25"/>
      <c r="B91" s="25"/>
      <c r="C91" s="25"/>
      <c r="D91" s="25"/>
      <c r="E91" s="25"/>
      <c r="F91" s="74"/>
      <c r="G91" s="76"/>
      <c r="H91" s="76"/>
      <c r="I91" s="76"/>
      <c r="J91" s="25"/>
      <c r="K91" s="25"/>
      <c r="L91" s="76"/>
      <c r="M91" s="25"/>
      <c r="N91" s="25"/>
      <c r="O91" s="74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</row>
    <row r="92">
      <c r="A92" s="25"/>
      <c r="B92" s="25"/>
      <c r="C92" s="25"/>
      <c r="D92" s="25"/>
      <c r="E92" s="25"/>
      <c r="F92" s="74"/>
      <c r="G92" s="76"/>
      <c r="H92" s="76"/>
      <c r="I92" s="76"/>
      <c r="J92" s="25"/>
      <c r="K92" s="25"/>
      <c r="L92" s="76"/>
      <c r="M92" s="25"/>
      <c r="N92" s="25"/>
      <c r="O92" s="74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</row>
    <row r="93">
      <c r="A93" s="25"/>
      <c r="B93" s="25"/>
      <c r="C93" s="25"/>
      <c r="D93" s="25"/>
      <c r="E93" s="25"/>
      <c r="F93" s="74"/>
      <c r="G93" s="76"/>
      <c r="H93" s="76"/>
      <c r="I93" s="76"/>
      <c r="J93" s="25"/>
      <c r="K93" s="25"/>
      <c r="L93" s="76"/>
      <c r="M93" s="25"/>
      <c r="N93" s="25"/>
      <c r="O93" s="74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</row>
    <row r="94">
      <c r="A94" s="25"/>
      <c r="B94" s="25"/>
      <c r="C94" s="25"/>
      <c r="D94" s="25"/>
      <c r="E94" s="25"/>
      <c r="F94" s="74"/>
      <c r="G94" s="76"/>
      <c r="H94" s="76"/>
      <c r="I94" s="76"/>
      <c r="J94" s="25"/>
      <c r="K94" s="25"/>
      <c r="L94" s="76"/>
      <c r="M94" s="25"/>
      <c r="N94" s="25"/>
      <c r="O94" s="74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</row>
    <row r="95">
      <c r="A95" s="25"/>
      <c r="B95" s="25"/>
      <c r="C95" s="25"/>
      <c r="D95" s="25"/>
      <c r="E95" s="25"/>
      <c r="F95" s="74"/>
      <c r="G95" s="76"/>
      <c r="H95" s="76"/>
      <c r="I95" s="76"/>
      <c r="J95" s="25"/>
      <c r="K95" s="25"/>
      <c r="L95" s="76"/>
      <c r="M95" s="25"/>
      <c r="N95" s="25"/>
      <c r="O95" s="74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</row>
    <row r="96">
      <c r="A96" s="25"/>
      <c r="B96" s="25"/>
      <c r="C96" s="25"/>
      <c r="D96" s="25"/>
      <c r="E96" s="25"/>
      <c r="F96" s="74"/>
      <c r="G96" s="76"/>
      <c r="H96" s="76"/>
      <c r="I96" s="76"/>
      <c r="J96" s="25"/>
      <c r="K96" s="25"/>
      <c r="L96" s="76"/>
      <c r="M96" s="25"/>
      <c r="N96" s="25"/>
      <c r="O96" s="74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</row>
    <row r="97">
      <c r="A97" s="25"/>
      <c r="B97" s="25"/>
      <c r="C97" s="25"/>
      <c r="D97" s="25"/>
      <c r="E97" s="25"/>
      <c r="F97" s="74"/>
      <c r="G97" s="76"/>
      <c r="H97" s="76"/>
      <c r="I97" s="76"/>
      <c r="J97" s="25"/>
      <c r="K97" s="25"/>
      <c r="L97" s="76"/>
      <c r="M97" s="25"/>
      <c r="N97" s="25"/>
      <c r="O97" s="74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</row>
    <row r="98">
      <c r="A98" s="25"/>
      <c r="B98" s="25"/>
      <c r="C98" s="25"/>
      <c r="D98" s="25"/>
      <c r="E98" s="25"/>
      <c r="F98" s="74"/>
      <c r="G98" s="76"/>
      <c r="H98" s="76"/>
      <c r="I98" s="76"/>
      <c r="J98" s="25"/>
      <c r="K98" s="25"/>
      <c r="L98" s="76"/>
      <c r="M98" s="25"/>
      <c r="N98" s="25"/>
      <c r="O98" s="74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</row>
    <row r="99">
      <c r="A99" s="25"/>
      <c r="B99" s="25"/>
      <c r="C99" s="25"/>
      <c r="D99" s="25"/>
      <c r="E99" s="25"/>
      <c r="F99" s="74"/>
      <c r="G99" s="76"/>
      <c r="H99" s="76"/>
      <c r="I99" s="76"/>
      <c r="J99" s="25"/>
      <c r="K99" s="25"/>
      <c r="L99" s="76"/>
      <c r="M99" s="25"/>
      <c r="N99" s="25"/>
      <c r="O99" s="74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</row>
    <row r="100">
      <c r="A100" s="25"/>
      <c r="B100" s="25"/>
      <c r="C100" s="25"/>
      <c r="D100" s="25"/>
      <c r="E100" s="25"/>
      <c r="F100" s="74"/>
      <c r="G100" s="76"/>
      <c r="H100" s="76"/>
      <c r="I100" s="76"/>
      <c r="J100" s="25"/>
      <c r="K100" s="25"/>
      <c r="L100" s="76"/>
      <c r="M100" s="25"/>
      <c r="N100" s="25"/>
      <c r="O100" s="74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</row>
    <row r="101">
      <c r="A101" s="25"/>
      <c r="B101" s="25"/>
      <c r="C101" s="25"/>
      <c r="D101" s="25"/>
      <c r="E101" s="25"/>
      <c r="F101" s="74"/>
      <c r="G101" s="76"/>
      <c r="H101" s="76"/>
      <c r="I101" s="76"/>
      <c r="J101" s="25"/>
      <c r="K101" s="25"/>
      <c r="L101" s="76"/>
      <c r="M101" s="25"/>
      <c r="N101" s="25"/>
      <c r="O101" s="74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</row>
    <row r="102">
      <c r="A102" s="25"/>
      <c r="B102" s="25"/>
      <c r="C102" s="25"/>
      <c r="D102" s="25"/>
      <c r="E102" s="25"/>
      <c r="F102" s="74"/>
      <c r="G102" s="76"/>
      <c r="H102" s="76"/>
      <c r="I102" s="76"/>
      <c r="J102" s="25"/>
      <c r="K102" s="25"/>
      <c r="L102" s="76"/>
      <c r="M102" s="25"/>
      <c r="N102" s="25"/>
      <c r="O102" s="74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</row>
    <row r="103">
      <c r="A103" s="25"/>
      <c r="B103" s="25"/>
      <c r="C103" s="25"/>
      <c r="D103" s="25"/>
      <c r="E103" s="25"/>
      <c r="F103" s="74"/>
      <c r="G103" s="76"/>
      <c r="H103" s="76"/>
      <c r="I103" s="76"/>
      <c r="J103" s="25"/>
      <c r="K103" s="25"/>
      <c r="L103" s="76"/>
      <c r="M103" s="25"/>
      <c r="N103" s="25"/>
      <c r="O103" s="74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</row>
    <row r="104">
      <c r="A104" s="25"/>
      <c r="B104" s="25"/>
      <c r="C104" s="25"/>
      <c r="D104" s="25"/>
      <c r="E104" s="25"/>
      <c r="F104" s="74"/>
      <c r="G104" s="76"/>
      <c r="H104" s="76"/>
      <c r="I104" s="76"/>
      <c r="J104" s="25"/>
      <c r="K104" s="25"/>
      <c r="L104" s="76"/>
      <c r="M104" s="25"/>
      <c r="N104" s="25"/>
      <c r="O104" s="74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</row>
    <row r="105">
      <c r="A105" s="25"/>
      <c r="B105" s="25"/>
      <c r="C105" s="25"/>
      <c r="D105" s="25"/>
      <c r="E105" s="25"/>
      <c r="F105" s="74"/>
      <c r="G105" s="76"/>
      <c r="H105" s="76"/>
      <c r="I105" s="76"/>
      <c r="J105" s="25"/>
      <c r="K105" s="25"/>
      <c r="L105" s="76"/>
      <c r="M105" s="25"/>
      <c r="N105" s="25"/>
      <c r="O105" s="74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</row>
    <row r="106">
      <c r="A106" s="25"/>
      <c r="B106" s="25"/>
      <c r="C106" s="25"/>
      <c r="D106" s="25"/>
      <c r="E106" s="25"/>
      <c r="F106" s="74"/>
      <c r="G106" s="76"/>
      <c r="H106" s="76"/>
      <c r="I106" s="76"/>
      <c r="J106" s="25"/>
      <c r="K106" s="25"/>
      <c r="L106" s="76"/>
      <c r="M106" s="25"/>
      <c r="N106" s="25"/>
      <c r="O106" s="74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</row>
    <row r="107">
      <c r="A107" s="25"/>
      <c r="B107" s="25"/>
      <c r="C107" s="25"/>
      <c r="D107" s="25"/>
      <c r="E107" s="25"/>
      <c r="F107" s="74"/>
      <c r="G107" s="76"/>
      <c r="H107" s="76"/>
      <c r="I107" s="76"/>
      <c r="J107" s="25"/>
      <c r="K107" s="25"/>
      <c r="L107" s="76"/>
      <c r="M107" s="25"/>
      <c r="N107" s="25"/>
      <c r="O107" s="74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</row>
    <row r="108">
      <c r="A108" s="25"/>
      <c r="B108" s="25"/>
      <c r="C108" s="25"/>
      <c r="D108" s="25"/>
      <c r="E108" s="25"/>
      <c r="F108" s="74"/>
      <c r="G108" s="76"/>
      <c r="H108" s="76"/>
      <c r="I108" s="76"/>
      <c r="J108" s="25"/>
      <c r="K108" s="25"/>
      <c r="L108" s="76"/>
      <c r="M108" s="25"/>
      <c r="N108" s="25"/>
      <c r="O108" s="74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</row>
    <row r="109">
      <c r="A109" s="25"/>
      <c r="B109" s="25"/>
      <c r="C109" s="25"/>
      <c r="D109" s="25"/>
      <c r="E109" s="25"/>
      <c r="F109" s="74"/>
      <c r="G109" s="76"/>
      <c r="H109" s="76"/>
      <c r="I109" s="76"/>
      <c r="J109" s="25"/>
      <c r="K109" s="25"/>
      <c r="L109" s="76"/>
      <c r="M109" s="25"/>
      <c r="N109" s="25"/>
      <c r="O109" s="74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</row>
    <row r="110">
      <c r="A110" s="25"/>
      <c r="B110" s="25"/>
      <c r="C110" s="25"/>
      <c r="D110" s="25"/>
      <c r="E110" s="25"/>
      <c r="F110" s="74"/>
      <c r="G110" s="76"/>
      <c r="H110" s="76"/>
      <c r="I110" s="76"/>
      <c r="J110" s="25"/>
      <c r="K110" s="25"/>
      <c r="L110" s="76"/>
      <c r="M110" s="25"/>
      <c r="N110" s="25"/>
      <c r="O110" s="74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</row>
    <row r="111">
      <c r="A111" s="25"/>
      <c r="B111" s="25"/>
      <c r="C111" s="25"/>
      <c r="D111" s="25"/>
      <c r="E111" s="25"/>
      <c r="F111" s="74"/>
      <c r="G111" s="76"/>
      <c r="H111" s="76"/>
      <c r="I111" s="76"/>
      <c r="J111" s="25"/>
      <c r="K111" s="25"/>
      <c r="L111" s="76"/>
      <c r="M111" s="25"/>
      <c r="N111" s="25"/>
      <c r="O111" s="74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</row>
    <row r="112">
      <c r="A112" s="25"/>
      <c r="B112" s="25"/>
      <c r="C112" s="25"/>
      <c r="D112" s="25"/>
      <c r="E112" s="25"/>
      <c r="F112" s="74"/>
      <c r="G112" s="76"/>
      <c r="H112" s="76"/>
      <c r="I112" s="76"/>
      <c r="J112" s="25"/>
      <c r="K112" s="25"/>
      <c r="L112" s="76"/>
      <c r="M112" s="25"/>
      <c r="N112" s="25"/>
      <c r="O112" s="74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</row>
    <row r="113">
      <c r="A113" s="25"/>
      <c r="B113" s="25"/>
      <c r="C113" s="25"/>
      <c r="D113" s="25"/>
      <c r="E113" s="25"/>
      <c r="F113" s="74"/>
      <c r="G113" s="76"/>
      <c r="H113" s="76"/>
      <c r="I113" s="76"/>
      <c r="J113" s="25"/>
      <c r="K113" s="25"/>
      <c r="L113" s="76"/>
      <c r="M113" s="25"/>
      <c r="N113" s="25"/>
      <c r="O113" s="74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</row>
    <row r="114">
      <c r="A114" s="25"/>
      <c r="B114" s="25"/>
      <c r="C114" s="25"/>
      <c r="D114" s="25"/>
      <c r="E114" s="25"/>
      <c r="F114" s="74"/>
      <c r="G114" s="76"/>
      <c r="H114" s="76"/>
      <c r="I114" s="76"/>
      <c r="J114" s="25"/>
      <c r="K114" s="25"/>
      <c r="L114" s="76"/>
      <c r="M114" s="25"/>
      <c r="N114" s="25"/>
      <c r="O114" s="74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</row>
    <row r="115">
      <c r="A115" s="25"/>
      <c r="B115" s="25"/>
      <c r="C115" s="25"/>
      <c r="D115" s="25"/>
      <c r="E115" s="25"/>
      <c r="F115" s="74"/>
      <c r="G115" s="76"/>
      <c r="H115" s="76"/>
      <c r="I115" s="76"/>
      <c r="J115" s="25"/>
      <c r="K115" s="25"/>
      <c r="L115" s="76"/>
      <c r="M115" s="25"/>
      <c r="N115" s="25"/>
      <c r="O115" s="74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</row>
    <row r="116">
      <c r="A116" s="25"/>
      <c r="B116" s="25"/>
      <c r="C116" s="25"/>
      <c r="D116" s="25"/>
      <c r="E116" s="25"/>
      <c r="F116" s="74"/>
      <c r="G116" s="76"/>
      <c r="H116" s="76"/>
      <c r="I116" s="76"/>
      <c r="J116" s="25"/>
      <c r="K116" s="25"/>
      <c r="L116" s="76"/>
      <c r="M116" s="25"/>
      <c r="N116" s="25"/>
      <c r="O116" s="74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</row>
    <row r="117">
      <c r="A117" s="25"/>
      <c r="B117" s="25"/>
      <c r="C117" s="25"/>
      <c r="D117" s="25"/>
      <c r="E117" s="25"/>
      <c r="F117" s="74"/>
      <c r="G117" s="76"/>
      <c r="H117" s="76"/>
      <c r="I117" s="76"/>
      <c r="J117" s="25"/>
      <c r="K117" s="25"/>
      <c r="L117" s="76"/>
      <c r="M117" s="25"/>
      <c r="N117" s="25"/>
      <c r="O117" s="74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</row>
    <row r="118">
      <c r="A118" s="25"/>
      <c r="B118" s="25"/>
      <c r="C118" s="25"/>
      <c r="D118" s="25"/>
      <c r="E118" s="25"/>
      <c r="F118" s="74"/>
      <c r="G118" s="76"/>
      <c r="H118" s="76"/>
      <c r="I118" s="76"/>
      <c r="J118" s="25"/>
      <c r="K118" s="25"/>
      <c r="L118" s="76"/>
      <c r="M118" s="25"/>
      <c r="N118" s="25"/>
      <c r="O118" s="74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</row>
    <row r="119">
      <c r="A119" s="25"/>
      <c r="B119" s="25"/>
      <c r="C119" s="25"/>
      <c r="D119" s="25"/>
      <c r="E119" s="25"/>
      <c r="F119" s="74"/>
      <c r="G119" s="76"/>
      <c r="H119" s="76"/>
      <c r="I119" s="76"/>
      <c r="J119" s="25"/>
      <c r="K119" s="25"/>
      <c r="L119" s="76"/>
      <c r="M119" s="25"/>
      <c r="N119" s="25"/>
      <c r="O119" s="74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</row>
    <row r="120">
      <c r="A120" s="25"/>
      <c r="B120" s="25"/>
      <c r="C120" s="25"/>
      <c r="D120" s="25"/>
      <c r="E120" s="25"/>
      <c r="F120" s="74"/>
      <c r="G120" s="76"/>
      <c r="H120" s="76"/>
      <c r="I120" s="76"/>
      <c r="J120" s="25"/>
      <c r="K120" s="25"/>
      <c r="L120" s="76"/>
      <c r="M120" s="25"/>
      <c r="N120" s="25"/>
      <c r="O120" s="74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</row>
    <row r="121">
      <c r="A121" s="25"/>
      <c r="B121" s="25"/>
      <c r="C121" s="25"/>
      <c r="D121" s="25"/>
      <c r="E121" s="25"/>
      <c r="F121" s="74"/>
      <c r="G121" s="76"/>
      <c r="H121" s="76"/>
      <c r="I121" s="76"/>
      <c r="J121" s="25"/>
      <c r="K121" s="25"/>
      <c r="L121" s="76"/>
      <c r="M121" s="25"/>
      <c r="N121" s="25"/>
      <c r="O121" s="74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</row>
    <row r="122">
      <c r="A122" s="25"/>
      <c r="B122" s="25"/>
      <c r="C122" s="25"/>
      <c r="D122" s="25"/>
      <c r="E122" s="25"/>
      <c r="F122" s="74"/>
      <c r="G122" s="76"/>
      <c r="H122" s="76"/>
      <c r="I122" s="76"/>
      <c r="J122" s="25"/>
      <c r="K122" s="25"/>
      <c r="L122" s="76"/>
      <c r="M122" s="25"/>
      <c r="N122" s="25"/>
      <c r="O122" s="74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</row>
    <row r="123">
      <c r="A123" s="25"/>
      <c r="B123" s="25"/>
      <c r="C123" s="25"/>
      <c r="D123" s="25"/>
      <c r="E123" s="25"/>
      <c r="F123" s="74"/>
      <c r="G123" s="76"/>
      <c r="H123" s="76"/>
      <c r="I123" s="76"/>
      <c r="J123" s="25"/>
      <c r="K123" s="25"/>
      <c r="L123" s="76"/>
      <c r="M123" s="25"/>
      <c r="N123" s="25"/>
      <c r="O123" s="74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</row>
    <row r="124">
      <c r="A124" s="25"/>
      <c r="B124" s="25"/>
      <c r="C124" s="25"/>
      <c r="D124" s="25"/>
      <c r="E124" s="25"/>
      <c r="F124" s="74"/>
      <c r="G124" s="76"/>
      <c r="H124" s="76"/>
      <c r="I124" s="76"/>
      <c r="J124" s="25"/>
      <c r="K124" s="25"/>
      <c r="L124" s="76"/>
      <c r="M124" s="25"/>
      <c r="N124" s="25"/>
      <c r="O124" s="74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</row>
    <row r="125">
      <c r="A125" s="25"/>
      <c r="B125" s="25"/>
      <c r="C125" s="25"/>
      <c r="D125" s="25"/>
      <c r="E125" s="25"/>
      <c r="F125" s="74"/>
      <c r="G125" s="76"/>
      <c r="H125" s="76"/>
      <c r="I125" s="76"/>
      <c r="J125" s="25"/>
      <c r="K125" s="25"/>
      <c r="L125" s="76"/>
      <c r="M125" s="25"/>
      <c r="N125" s="25"/>
      <c r="O125" s="74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</row>
    <row r="126">
      <c r="A126" s="25"/>
      <c r="B126" s="25"/>
      <c r="C126" s="25"/>
      <c r="D126" s="25"/>
      <c r="E126" s="25"/>
      <c r="F126" s="74"/>
      <c r="G126" s="76"/>
      <c r="H126" s="76"/>
      <c r="I126" s="76"/>
      <c r="J126" s="25"/>
      <c r="K126" s="25"/>
      <c r="L126" s="76"/>
      <c r="M126" s="25"/>
      <c r="N126" s="25"/>
      <c r="O126" s="74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</row>
    <row r="127">
      <c r="A127" s="25"/>
      <c r="B127" s="25"/>
      <c r="C127" s="25"/>
      <c r="D127" s="25"/>
      <c r="E127" s="25"/>
      <c r="F127" s="74"/>
      <c r="G127" s="76"/>
      <c r="H127" s="76"/>
      <c r="I127" s="76"/>
      <c r="J127" s="25"/>
      <c r="K127" s="25"/>
      <c r="L127" s="76"/>
      <c r="M127" s="25"/>
      <c r="N127" s="25"/>
      <c r="O127" s="74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</row>
    <row r="128">
      <c r="A128" s="25"/>
      <c r="B128" s="25"/>
      <c r="C128" s="25"/>
      <c r="D128" s="25"/>
      <c r="E128" s="25"/>
      <c r="F128" s="74"/>
      <c r="G128" s="76"/>
      <c r="H128" s="76"/>
      <c r="I128" s="76"/>
      <c r="J128" s="25"/>
      <c r="K128" s="25"/>
      <c r="L128" s="76"/>
      <c r="M128" s="25"/>
      <c r="N128" s="25"/>
      <c r="O128" s="74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</row>
    <row r="129">
      <c r="A129" s="25"/>
      <c r="B129" s="25"/>
      <c r="C129" s="25"/>
      <c r="D129" s="25"/>
      <c r="E129" s="25"/>
      <c r="F129" s="74"/>
      <c r="G129" s="76"/>
      <c r="H129" s="76"/>
      <c r="I129" s="76"/>
      <c r="J129" s="25"/>
      <c r="K129" s="25"/>
      <c r="L129" s="76"/>
      <c r="M129" s="25"/>
      <c r="N129" s="25"/>
      <c r="O129" s="74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</row>
    <row r="130">
      <c r="A130" s="25"/>
      <c r="B130" s="25"/>
      <c r="C130" s="25"/>
      <c r="D130" s="25"/>
      <c r="E130" s="25"/>
      <c r="F130" s="74"/>
      <c r="G130" s="76"/>
      <c r="H130" s="76"/>
      <c r="I130" s="76"/>
      <c r="J130" s="25"/>
      <c r="K130" s="25"/>
      <c r="L130" s="76"/>
      <c r="M130" s="25"/>
      <c r="N130" s="25"/>
      <c r="O130" s="74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</row>
    <row r="131">
      <c r="A131" s="25"/>
      <c r="B131" s="25"/>
      <c r="C131" s="25"/>
      <c r="D131" s="25"/>
      <c r="E131" s="25"/>
      <c r="F131" s="74"/>
      <c r="G131" s="76"/>
      <c r="H131" s="76"/>
      <c r="I131" s="76"/>
      <c r="J131" s="25"/>
      <c r="K131" s="25"/>
      <c r="L131" s="76"/>
      <c r="M131" s="25"/>
      <c r="N131" s="25"/>
      <c r="O131" s="74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</row>
    <row r="132">
      <c r="A132" s="25"/>
      <c r="B132" s="25"/>
      <c r="C132" s="25"/>
      <c r="D132" s="25"/>
      <c r="E132" s="25"/>
      <c r="F132" s="74"/>
      <c r="G132" s="76"/>
      <c r="H132" s="76"/>
      <c r="I132" s="76"/>
      <c r="J132" s="25"/>
      <c r="K132" s="25"/>
      <c r="L132" s="76"/>
      <c r="M132" s="25"/>
      <c r="N132" s="25"/>
      <c r="O132" s="74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</row>
    <row r="133">
      <c r="A133" s="25"/>
      <c r="B133" s="25"/>
      <c r="C133" s="25"/>
      <c r="D133" s="25"/>
      <c r="E133" s="25"/>
      <c r="F133" s="74"/>
      <c r="G133" s="76"/>
      <c r="H133" s="76"/>
      <c r="I133" s="76"/>
      <c r="J133" s="25"/>
      <c r="K133" s="25"/>
      <c r="L133" s="76"/>
      <c r="M133" s="25"/>
      <c r="N133" s="25"/>
      <c r="O133" s="74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</row>
    <row r="134">
      <c r="A134" s="25"/>
      <c r="B134" s="25"/>
      <c r="C134" s="25"/>
      <c r="D134" s="25"/>
      <c r="E134" s="25"/>
      <c r="F134" s="74"/>
      <c r="G134" s="76"/>
      <c r="H134" s="76"/>
      <c r="I134" s="76"/>
      <c r="J134" s="25"/>
      <c r="K134" s="25"/>
      <c r="L134" s="76"/>
      <c r="M134" s="25"/>
      <c r="N134" s="25"/>
      <c r="O134" s="74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</row>
    <row r="135">
      <c r="A135" s="25"/>
      <c r="B135" s="25"/>
      <c r="C135" s="25"/>
      <c r="D135" s="25"/>
      <c r="E135" s="25"/>
      <c r="F135" s="74"/>
      <c r="G135" s="76"/>
      <c r="H135" s="76"/>
      <c r="I135" s="76"/>
      <c r="J135" s="25"/>
      <c r="K135" s="25"/>
      <c r="L135" s="76"/>
      <c r="M135" s="25"/>
      <c r="N135" s="25"/>
      <c r="O135" s="74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</row>
    <row r="136">
      <c r="A136" s="25"/>
      <c r="B136" s="25"/>
      <c r="C136" s="25"/>
      <c r="D136" s="25"/>
      <c r="E136" s="25"/>
      <c r="F136" s="74"/>
      <c r="G136" s="76"/>
      <c r="H136" s="76"/>
      <c r="I136" s="76"/>
      <c r="J136" s="25"/>
      <c r="K136" s="25"/>
      <c r="L136" s="76"/>
      <c r="M136" s="25"/>
      <c r="N136" s="25"/>
      <c r="O136" s="74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</row>
    <row r="137">
      <c r="A137" s="25"/>
      <c r="B137" s="25"/>
      <c r="C137" s="25"/>
      <c r="D137" s="25"/>
      <c r="E137" s="25"/>
      <c r="F137" s="74"/>
      <c r="G137" s="76"/>
      <c r="H137" s="76"/>
      <c r="I137" s="76"/>
      <c r="J137" s="25"/>
      <c r="K137" s="25"/>
      <c r="L137" s="76"/>
      <c r="M137" s="25"/>
      <c r="N137" s="25"/>
      <c r="O137" s="74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</row>
    <row r="138">
      <c r="A138" s="25"/>
      <c r="B138" s="25"/>
      <c r="C138" s="25"/>
      <c r="D138" s="25"/>
      <c r="E138" s="25"/>
      <c r="F138" s="74"/>
      <c r="G138" s="76"/>
      <c r="H138" s="76"/>
      <c r="I138" s="76"/>
      <c r="J138" s="25"/>
      <c r="K138" s="25"/>
      <c r="L138" s="76"/>
      <c r="M138" s="25"/>
      <c r="N138" s="25"/>
      <c r="O138" s="74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</row>
    <row r="139">
      <c r="A139" s="25"/>
      <c r="B139" s="25"/>
      <c r="C139" s="25"/>
      <c r="D139" s="25"/>
      <c r="E139" s="25"/>
      <c r="F139" s="74"/>
      <c r="G139" s="76"/>
      <c r="H139" s="76"/>
      <c r="I139" s="76"/>
      <c r="J139" s="25"/>
      <c r="K139" s="25"/>
      <c r="L139" s="76"/>
      <c r="M139" s="25"/>
      <c r="N139" s="25"/>
      <c r="O139" s="74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</row>
    <row r="140">
      <c r="A140" s="25"/>
      <c r="B140" s="25"/>
      <c r="C140" s="25"/>
      <c r="D140" s="25"/>
      <c r="E140" s="25"/>
      <c r="F140" s="74"/>
      <c r="G140" s="76"/>
      <c r="H140" s="76"/>
      <c r="I140" s="76"/>
      <c r="J140" s="25"/>
      <c r="K140" s="25"/>
      <c r="L140" s="76"/>
      <c r="M140" s="25"/>
      <c r="N140" s="25"/>
      <c r="O140" s="74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</row>
    <row r="141">
      <c r="A141" s="25"/>
      <c r="B141" s="25"/>
      <c r="C141" s="25"/>
      <c r="D141" s="25"/>
      <c r="E141" s="25"/>
      <c r="F141" s="74"/>
      <c r="G141" s="76"/>
      <c r="H141" s="76"/>
      <c r="I141" s="76"/>
      <c r="J141" s="25"/>
      <c r="K141" s="25"/>
      <c r="L141" s="76"/>
      <c r="M141" s="25"/>
      <c r="N141" s="25"/>
      <c r="O141" s="74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</row>
    <row r="142">
      <c r="A142" s="25"/>
      <c r="B142" s="25"/>
      <c r="C142" s="25"/>
      <c r="D142" s="25"/>
      <c r="E142" s="25"/>
      <c r="F142" s="74"/>
      <c r="G142" s="76"/>
      <c r="H142" s="76"/>
      <c r="I142" s="76"/>
      <c r="J142" s="25"/>
      <c r="K142" s="25"/>
      <c r="L142" s="76"/>
      <c r="M142" s="25"/>
      <c r="N142" s="25"/>
      <c r="O142" s="74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</row>
    <row r="143">
      <c r="A143" s="25"/>
      <c r="B143" s="25"/>
      <c r="C143" s="25"/>
      <c r="D143" s="25"/>
      <c r="E143" s="25"/>
      <c r="F143" s="74"/>
      <c r="G143" s="76"/>
      <c r="H143" s="76"/>
      <c r="I143" s="76"/>
      <c r="J143" s="25"/>
      <c r="K143" s="25"/>
      <c r="L143" s="76"/>
      <c r="M143" s="25"/>
      <c r="N143" s="25"/>
      <c r="O143" s="74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</row>
    <row r="144">
      <c r="A144" s="25"/>
      <c r="B144" s="25"/>
      <c r="C144" s="25"/>
      <c r="D144" s="25"/>
      <c r="E144" s="25"/>
      <c r="F144" s="74"/>
      <c r="G144" s="76"/>
      <c r="H144" s="76"/>
      <c r="I144" s="76"/>
      <c r="J144" s="25"/>
      <c r="K144" s="25"/>
      <c r="L144" s="76"/>
      <c r="M144" s="25"/>
      <c r="N144" s="25"/>
      <c r="O144" s="74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</row>
    <row r="145">
      <c r="A145" s="25"/>
      <c r="B145" s="25"/>
      <c r="C145" s="25"/>
      <c r="D145" s="25"/>
      <c r="E145" s="25"/>
      <c r="F145" s="74"/>
      <c r="G145" s="76"/>
      <c r="H145" s="76"/>
      <c r="I145" s="76"/>
      <c r="J145" s="25"/>
      <c r="K145" s="25"/>
      <c r="L145" s="76"/>
      <c r="M145" s="25"/>
      <c r="N145" s="25"/>
      <c r="O145" s="74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</row>
    <row r="146">
      <c r="A146" s="25"/>
      <c r="B146" s="25"/>
      <c r="C146" s="25"/>
      <c r="D146" s="25"/>
      <c r="E146" s="25"/>
      <c r="F146" s="74"/>
      <c r="G146" s="76"/>
      <c r="H146" s="76"/>
      <c r="I146" s="76"/>
      <c r="J146" s="25"/>
      <c r="K146" s="25"/>
      <c r="L146" s="76"/>
      <c r="M146" s="25"/>
      <c r="N146" s="25"/>
      <c r="O146" s="74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</row>
    <row r="147">
      <c r="A147" s="25"/>
      <c r="B147" s="25"/>
      <c r="C147" s="25"/>
      <c r="D147" s="25"/>
      <c r="E147" s="25"/>
      <c r="F147" s="74"/>
      <c r="G147" s="76"/>
      <c r="H147" s="76"/>
      <c r="I147" s="76"/>
      <c r="J147" s="25"/>
      <c r="K147" s="25"/>
      <c r="L147" s="76"/>
      <c r="M147" s="25"/>
      <c r="N147" s="25"/>
      <c r="O147" s="74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</row>
    <row r="148">
      <c r="A148" s="25"/>
      <c r="B148" s="25"/>
      <c r="C148" s="25"/>
      <c r="D148" s="25"/>
      <c r="E148" s="25"/>
      <c r="F148" s="74"/>
      <c r="G148" s="76"/>
      <c r="H148" s="76"/>
      <c r="I148" s="76"/>
      <c r="J148" s="25"/>
      <c r="K148" s="25"/>
      <c r="L148" s="76"/>
      <c r="M148" s="25"/>
      <c r="N148" s="25"/>
      <c r="O148" s="74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</row>
    <row r="149">
      <c r="A149" s="25"/>
      <c r="B149" s="25"/>
      <c r="C149" s="25"/>
      <c r="D149" s="25"/>
      <c r="E149" s="25"/>
      <c r="F149" s="74"/>
      <c r="G149" s="76"/>
      <c r="H149" s="76"/>
      <c r="I149" s="76"/>
      <c r="J149" s="25"/>
      <c r="K149" s="25"/>
      <c r="L149" s="76"/>
      <c r="M149" s="25"/>
      <c r="N149" s="25"/>
      <c r="O149" s="74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</row>
    <row r="150">
      <c r="A150" s="25"/>
      <c r="B150" s="25"/>
      <c r="C150" s="25"/>
      <c r="D150" s="25"/>
      <c r="E150" s="25"/>
      <c r="F150" s="74"/>
      <c r="G150" s="76"/>
      <c r="H150" s="76"/>
      <c r="I150" s="76"/>
      <c r="J150" s="25"/>
      <c r="K150" s="25"/>
      <c r="L150" s="76"/>
      <c r="M150" s="25"/>
      <c r="N150" s="25"/>
      <c r="O150" s="74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</row>
    <row r="151">
      <c r="A151" s="25"/>
      <c r="B151" s="25"/>
      <c r="C151" s="25"/>
      <c r="D151" s="25"/>
      <c r="E151" s="25"/>
      <c r="F151" s="74"/>
      <c r="G151" s="76"/>
      <c r="H151" s="76"/>
      <c r="I151" s="76"/>
      <c r="J151" s="25"/>
      <c r="K151" s="25"/>
      <c r="L151" s="76"/>
      <c r="M151" s="25"/>
      <c r="N151" s="25"/>
      <c r="O151" s="74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</row>
    <row r="152">
      <c r="A152" s="25"/>
      <c r="B152" s="25"/>
      <c r="C152" s="25"/>
      <c r="D152" s="25"/>
      <c r="E152" s="25"/>
      <c r="F152" s="74"/>
      <c r="G152" s="76"/>
      <c r="H152" s="76"/>
      <c r="I152" s="76"/>
      <c r="J152" s="25"/>
      <c r="K152" s="25"/>
      <c r="L152" s="76"/>
      <c r="M152" s="25"/>
      <c r="N152" s="25"/>
      <c r="O152" s="74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</row>
    <row r="153">
      <c r="A153" s="25"/>
      <c r="B153" s="25"/>
      <c r="C153" s="25"/>
      <c r="D153" s="25"/>
      <c r="E153" s="25"/>
      <c r="F153" s="74"/>
      <c r="G153" s="76"/>
      <c r="H153" s="76"/>
      <c r="I153" s="76"/>
      <c r="J153" s="25"/>
      <c r="K153" s="25"/>
      <c r="L153" s="76"/>
      <c r="M153" s="25"/>
      <c r="N153" s="25"/>
      <c r="O153" s="74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</row>
    <row r="154">
      <c r="A154" s="25"/>
      <c r="B154" s="25"/>
      <c r="C154" s="25"/>
      <c r="D154" s="25"/>
      <c r="E154" s="25"/>
      <c r="F154" s="74"/>
      <c r="G154" s="76"/>
      <c r="H154" s="76"/>
      <c r="I154" s="76"/>
      <c r="J154" s="25"/>
      <c r="K154" s="25"/>
      <c r="L154" s="76"/>
      <c r="M154" s="25"/>
      <c r="N154" s="25"/>
      <c r="O154" s="74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</row>
    <row r="155">
      <c r="A155" s="25"/>
      <c r="B155" s="25"/>
      <c r="C155" s="25"/>
      <c r="D155" s="25"/>
      <c r="E155" s="25"/>
      <c r="F155" s="74"/>
      <c r="G155" s="76"/>
      <c r="H155" s="76"/>
      <c r="I155" s="76"/>
      <c r="J155" s="25"/>
      <c r="K155" s="25"/>
      <c r="L155" s="76"/>
      <c r="M155" s="25"/>
      <c r="N155" s="25"/>
      <c r="O155" s="74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</row>
    <row r="156">
      <c r="A156" s="25"/>
      <c r="B156" s="25"/>
      <c r="C156" s="25"/>
      <c r="D156" s="25"/>
      <c r="E156" s="25"/>
      <c r="F156" s="74"/>
      <c r="G156" s="76"/>
      <c r="H156" s="76"/>
      <c r="I156" s="76"/>
      <c r="J156" s="25"/>
      <c r="K156" s="25"/>
      <c r="L156" s="76"/>
      <c r="M156" s="25"/>
      <c r="N156" s="25"/>
      <c r="O156" s="74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</row>
    <row r="157">
      <c r="A157" s="25"/>
      <c r="B157" s="25"/>
      <c r="C157" s="25"/>
      <c r="D157" s="25"/>
      <c r="E157" s="25"/>
      <c r="F157" s="74"/>
      <c r="G157" s="76"/>
      <c r="H157" s="76"/>
      <c r="I157" s="76"/>
      <c r="J157" s="25"/>
      <c r="K157" s="25"/>
      <c r="L157" s="76"/>
      <c r="M157" s="25"/>
      <c r="N157" s="25"/>
      <c r="O157" s="74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</row>
    <row r="158">
      <c r="A158" s="25"/>
      <c r="B158" s="25"/>
      <c r="C158" s="25"/>
      <c r="D158" s="25"/>
      <c r="E158" s="25"/>
      <c r="F158" s="74"/>
      <c r="G158" s="76"/>
      <c r="H158" s="76"/>
      <c r="I158" s="76"/>
      <c r="J158" s="25"/>
      <c r="K158" s="25"/>
      <c r="L158" s="76"/>
      <c r="M158" s="25"/>
      <c r="N158" s="25"/>
      <c r="O158" s="74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</row>
    <row r="159">
      <c r="A159" s="25"/>
      <c r="B159" s="25"/>
      <c r="C159" s="25"/>
      <c r="D159" s="25"/>
      <c r="E159" s="25"/>
      <c r="F159" s="74"/>
      <c r="G159" s="76"/>
      <c r="H159" s="76"/>
      <c r="I159" s="76"/>
      <c r="J159" s="25"/>
      <c r="K159" s="25"/>
      <c r="L159" s="76"/>
      <c r="M159" s="25"/>
      <c r="N159" s="25"/>
      <c r="O159" s="74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</row>
    <row r="160">
      <c r="A160" s="25"/>
      <c r="B160" s="25"/>
      <c r="C160" s="25"/>
      <c r="D160" s="25"/>
      <c r="E160" s="25"/>
      <c r="F160" s="74"/>
      <c r="G160" s="76"/>
      <c r="H160" s="76"/>
      <c r="I160" s="76"/>
      <c r="J160" s="25"/>
      <c r="K160" s="25"/>
      <c r="L160" s="76"/>
      <c r="M160" s="25"/>
      <c r="N160" s="25"/>
      <c r="O160" s="74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</row>
    <row r="161">
      <c r="A161" s="25"/>
      <c r="B161" s="25"/>
      <c r="C161" s="25"/>
      <c r="D161" s="25"/>
      <c r="E161" s="25"/>
      <c r="F161" s="74"/>
      <c r="G161" s="76"/>
      <c r="H161" s="76"/>
      <c r="I161" s="76"/>
      <c r="J161" s="25"/>
      <c r="K161" s="25"/>
      <c r="L161" s="76"/>
      <c r="M161" s="25"/>
      <c r="N161" s="25"/>
      <c r="O161" s="74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</row>
    <row r="162">
      <c r="A162" s="25"/>
      <c r="B162" s="25"/>
      <c r="C162" s="25"/>
      <c r="D162" s="25"/>
      <c r="E162" s="25"/>
      <c r="F162" s="74"/>
      <c r="G162" s="76"/>
      <c r="H162" s="76"/>
      <c r="I162" s="76"/>
      <c r="J162" s="25"/>
      <c r="K162" s="25"/>
      <c r="L162" s="76"/>
      <c r="M162" s="25"/>
      <c r="N162" s="25"/>
      <c r="O162" s="74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</row>
    <row r="163">
      <c r="A163" s="25"/>
      <c r="B163" s="25"/>
      <c r="C163" s="25"/>
      <c r="D163" s="25"/>
      <c r="E163" s="25"/>
      <c r="F163" s="74"/>
      <c r="G163" s="76"/>
      <c r="H163" s="76"/>
      <c r="I163" s="76"/>
      <c r="J163" s="25"/>
      <c r="K163" s="25"/>
      <c r="L163" s="76"/>
      <c r="M163" s="25"/>
      <c r="N163" s="25"/>
      <c r="O163" s="74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</row>
    <row r="164">
      <c r="A164" s="25"/>
      <c r="B164" s="25"/>
      <c r="C164" s="25"/>
      <c r="D164" s="25"/>
      <c r="E164" s="25"/>
      <c r="F164" s="74"/>
      <c r="G164" s="76"/>
      <c r="H164" s="76"/>
      <c r="I164" s="76"/>
      <c r="J164" s="25"/>
      <c r="K164" s="25"/>
      <c r="L164" s="76"/>
      <c r="M164" s="25"/>
      <c r="N164" s="25"/>
      <c r="O164" s="74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</row>
    <row r="165">
      <c r="A165" s="25"/>
      <c r="B165" s="25"/>
      <c r="C165" s="25"/>
      <c r="D165" s="25"/>
      <c r="E165" s="25"/>
      <c r="F165" s="74"/>
      <c r="G165" s="76"/>
      <c r="H165" s="76"/>
      <c r="I165" s="76"/>
      <c r="J165" s="25"/>
      <c r="K165" s="25"/>
      <c r="L165" s="76"/>
      <c r="M165" s="25"/>
      <c r="N165" s="25"/>
      <c r="O165" s="74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</row>
    <row r="166">
      <c r="A166" s="25"/>
      <c r="B166" s="25"/>
      <c r="C166" s="25"/>
      <c r="D166" s="25"/>
      <c r="E166" s="25"/>
      <c r="F166" s="74"/>
      <c r="G166" s="76"/>
      <c r="H166" s="76"/>
      <c r="I166" s="76"/>
      <c r="J166" s="25"/>
      <c r="K166" s="25"/>
      <c r="L166" s="76"/>
      <c r="M166" s="25"/>
      <c r="N166" s="25"/>
      <c r="O166" s="74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</row>
    <row r="167">
      <c r="A167" s="25"/>
      <c r="B167" s="25"/>
      <c r="C167" s="25"/>
      <c r="D167" s="25"/>
      <c r="E167" s="25"/>
      <c r="F167" s="74"/>
      <c r="G167" s="76"/>
      <c r="H167" s="76"/>
      <c r="I167" s="76"/>
      <c r="J167" s="25"/>
      <c r="K167" s="25"/>
      <c r="L167" s="76"/>
      <c r="M167" s="25"/>
      <c r="N167" s="25"/>
      <c r="O167" s="74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</row>
    <row r="168">
      <c r="A168" s="25"/>
      <c r="B168" s="25"/>
      <c r="C168" s="25"/>
      <c r="D168" s="25"/>
      <c r="E168" s="25"/>
      <c r="F168" s="74"/>
      <c r="G168" s="76"/>
      <c r="H168" s="76"/>
      <c r="I168" s="76"/>
      <c r="J168" s="25"/>
      <c r="K168" s="25"/>
      <c r="L168" s="76"/>
      <c r="M168" s="25"/>
      <c r="N168" s="25"/>
      <c r="O168" s="74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</row>
    <row r="169">
      <c r="A169" s="25"/>
      <c r="B169" s="25"/>
      <c r="C169" s="25"/>
      <c r="D169" s="25"/>
      <c r="E169" s="25"/>
      <c r="F169" s="74"/>
      <c r="G169" s="76"/>
      <c r="H169" s="76"/>
      <c r="I169" s="76"/>
      <c r="J169" s="25"/>
      <c r="K169" s="25"/>
      <c r="L169" s="76"/>
      <c r="M169" s="25"/>
      <c r="N169" s="25"/>
      <c r="O169" s="74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</row>
    <row r="170">
      <c r="A170" s="25"/>
      <c r="B170" s="25"/>
      <c r="C170" s="25"/>
      <c r="D170" s="25"/>
      <c r="E170" s="25"/>
      <c r="F170" s="74"/>
      <c r="G170" s="76"/>
      <c r="H170" s="76"/>
      <c r="I170" s="76"/>
      <c r="J170" s="25"/>
      <c r="K170" s="25"/>
      <c r="L170" s="76"/>
      <c r="M170" s="25"/>
      <c r="N170" s="25"/>
      <c r="O170" s="74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</row>
    <row r="171">
      <c r="A171" s="25"/>
      <c r="B171" s="25"/>
      <c r="C171" s="25"/>
      <c r="D171" s="25"/>
      <c r="E171" s="25"/>
      <c r="F171" s="74"/>
      <c r="G171" s="76"/>
      <c r="H171" s="76"/>
      <c r="I171" s="76"/>
      <c r="J171" s="25"/>
      <c r="K171" s="25"/>
      <c r="L171" s="76"/>
      <c r="M171" s="25"/>
      <c r="N171" s="25"/>
      <c r="O171" s="74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</row>
    <row r="172">
      <c r="A172" s="25"/>
      <c r="B172" s="25"/>
      <c r="C172" s="25"/>
      <c r="D172" s="25"/>
      <c r="E172" s="25"/>
      <c r="F172" s="74"/>
      <c r="G172" s="76"/>
      <c r="H172" s="76"/>
      <c r="I172" s="76"/>
      <c r="J172" s="25"/>
      <c r="K172" s="25"/>
      <c r="L172" s="76"/>
      <c r="M172" s="25"/>
      <c r="N172" s="25"/>
      <c r="O172" s="74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</row>
    <row r="173">
      <c r="A173" s="25"/>
      <c r="B173" s="25"/>
      <c r="C173" s="25"/>
      <c r="D173" s="25"/>
      <c r="E173" s="25"/>
      <c r="F173" s="74"/>
      <c r="G173" s="76"/>
      <c r="H173" s="76"/>
      <c r="I173" s="76"/>
      <c r="J173" s="25"/>
      <c r="K173" s="25"/>
      <c r="L173" s="76"/>
      <c r="M173" s="25"/>
      <c r="N173" s="25"/>
      <c r="O173" s="74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</row>
    <row r="174">
      <c r="A174" s="25"/>
      <c r="B174" s="25"/>
      <c r="C174" s="25"/>
      <c r="D174" s="25"/>
      <c r="E174" s="25"/>
      <c r="F174" s="74"/>
      <c r="G174" s="76"/>
      <c r="H174" s="76"/>
      <c r="I174" s="76"/>
      <c r="J174" s="25"/>
      <c r="K174" s="25"/>
      <c r="L174" s="76"/>
      <c r="M174" s="25"/>
      <c r="N174" s="25"/>
      <c r="O174" s="74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</row>
    <row r="175">
      <c r="A175" s="25"/>
      <c r="B175" s="25"/>
      <c r="C175" s="25"/>
      <c r="D175" s="25"/>
      <c r="E175" s="25"/>
      <c r="F175" s="74"/>
      <c r="G175" s="76"/>
      <c r="H175" s="76"/>
      <c r="I175" s="76"/>
      <c r="J175" s="25"/>
      <c r="K175" s="25"/>
      <c r="L175" s="76"/>
      <c r="M175" s="25"/>
      <c r="N175" s="25"/>
      <c r="O175" s="74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</row>
    <row r="176">
      <c r="A176" s="25"/>
      <c r="B176" s="25"/>
      <c r="C176" s="25"/>
      <c r="D176" s="25"/>
      <c r="E176" s="25"/>
      <c r="F176" s="74"/>
      <c r="G176" s="76"/>
      <c r="H176" s="76"/>
      <c r="I176" s="76"/>
      <c r="J176" s="25"/>
      <c r="K176" s="25"/>
      <c r="L176" s="76"/>
      <c r="M176" s="25"/>
      <c r="N176" s="25"/>
      <c r="O176" s="74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</row>
    <row r="177">
      <c r="A177" s="25"/>
      <c r="B177" s="25"/>
      <c r="C177" s="25"/>
      <c r="D177" s="25"/>
      <c r="E177" s="25"/>
      <c r="F177" s="74"/>
      <c r="G177" s="76"/>
      <c r="H177" s="76"/>
      <c r="I177" s="76"/>
      <c r="J177" s="25"/>
      <c r="K177" s="25"/>
      <c r="L177" s="76"/>
      <c r="M177" s="25"/>
      <c r="N177" s="25"/>
      <c r="O177" s="74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</row>
    <row r="178">
      <c r="A178" s="25"/>
      <c r="B178" s="25"/>
      <c r="C178" s="25"/>
      <c r="D178" s="25"/>
      <c r="E178" s="25"/>
      <c r="F178" s="74"/>
      <c r="G178" s="76"/>
      <c r="H178" s="76"/>
      <c r="I178" s="76"/>
      <c r="J178" s="25"/>
      <c r="K178" s="25"/>
      <c r="L178" s="76"/>
      <c r="M178" s="25"/>
      <c r="N178" s="25"/>
      <c r="O178" s="74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</row>
    <row r="179">
      <c r="A179" s="25"/>
      <c r="B179" s="25"/>
      <c r="C179" s="25"/>
      <c r="D179" s="25"/>
      <c r="E179" s="25"/>
      <c r="F179" s="74"/>
      <c r="G179" s="76"/>
      <c r="H179" s="76"/>
      <c r="I179" s="76"/>
      <c r="J179" s="25"/>
      <c r="K179" s="25"/>
      <c r="L179" s="76"/>
      <c r="M179" s="25"/>
      <c r="N179" s="25"/>
      <c r="O179" s="74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</row>
    <row r="180">
      <c r="A180" s="25"/>
      <c r="B180" s="25"/>
      <c r="C180" s="25"/>
      <c r="D180" s="25"/>
      <c r="E180" s="25"/>
      <c r="F180" s="74"/>
      <c r="G180" s="76"/>
      <c r="H180" s="76"/>
      <c r="I180" s="76"/>
      <c r="J180" s="25"/>
      <c r="K180" s="25"/>
      <c r="L180" s="76"/>
      <c r="M180" s="25"/>
      <c r="N180" s="25"/>
      <c r="O180" s="74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</row>
    <row r="181">
      <c r="A181" s="25"/>
      <c r="B181" s="25"/>
      <c r="C181" s="25"/>
      <c r="D181" s="25"/>
      <c r="E181" s="25"/>
      <c r="F181" s="74"/>
      <c r="G181" s="76"/>
      <c r="H181" s="76"/>
      <c r="I181" s="76"/>
      <c r="J181" s="25"/>
      <c r="K181" s="25"/>
      <c r="L181" s="76"/>
      <c r="M181" s="25"/>
      <c r="N181" s="25"/>
      <c r="O181" s="74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</row>
    <row r="182">
      <c r="A182" s="25"/>
      <c r="B182" s="25"/>
      <c r="C182" s="25"/>
      <c r="D182" s="25"/>
      <c r="E182" s="25"/>
      <c r="F182" s="74"/>
      <c r="G182" s="76"/>
      <c r="H182" s="76"/>
      <c r="I182" s="76"/>
      <c r="J182" s="25"/>
      <c r="K182" s="25"/>
      <c r="L182" s="76"/>
      <c r="M182" s="25"/>
      <c r="N182" s="25"/>
      <c r="O182" s="74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</row>
    <row r="183">
      <c r="A183" s="25"/>
      <c r="B183" s="25"/>
      <c r="C183" s="25"/>
      <c r="D183" s="25"/>
      <c r="E183" s="25"/>
      <c r="F183" s="74"/>
      <c r="G183" s="76"/>
      <c r="H183" s="76"/>
      <c r="I183" s="76"/>
      <c r="J183" s="25"/>
      <c r="K183" s="25"/>
      <c r="L183" s="76"/>
      <c r="M183" s="25"/>
      <c r="N183" s="25"/>
      <c r="O183" s="74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</row>
    <row r="184">
      <c r="A184" s="25"/>
      <c r="B184" s="25"/>
      <c r="C184" s="25"/>
      <c r="D184" s="25"/>
      <c r="E184" s="25"/>
      <c r="F184" s="74"/>
      <c r="G184" s="76"/>
      <c r="H184" s="76"/>
      <c r="I184" s="76"/>
      <c r="J184" s="25"/>
      <c r="K184" s="25"/>
      <c r="L184" s="76"/>
      <c r="M184" s="25"/>
      <c r="N184" s="25"/>
      <c r="O184" s="74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</row>
    <row r="185">
      <c r="A185" s="25"/>
      <c r="B185" s="25"/>
      <c r="C185" s="25"/>
      <c r="D185" s="25"/>
      <c r="E185" s="25"/>
      <c r="F185" s="74"/>
      <c r="G185" s="76"/>
      <c r="H185" s="76"/>
      <c r="I185" s="76"/>
      <c r="J185" s="25"/>
      <c r="K185" s="25"/>
      <c r="L185" s="76"/>
      <c r="M185" s="25"/>
      <c r="N185" s="25"/>
      <c r="O185" s="74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</row>
    <row r="186">
      <c r="A186" s="25"/>
      <c r="B186" s="25"/>
      <c r="C186" s="25"/>
      <c r="D186" s="25"/>
      <c r="E186" s="25"/>
      <c r="F186" s="74"/>
      <c r="G186" s="76"/>
      <c r="H186" s="76"/>
      <c r="I186" s="76"/>
      <c r="J186" s="25"/>
      <c r="K186" s="25"/>
      <c r="L186" s="76"/>
      <c r="M186" s="25"/>
      <c r="N186" s="25"/>
      <c r="O186" s="74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</row>
    <row r="187">
      <c r="A187" s="25"/>
      <c r="B187" s="25"/>
      <c r="C187" s="25"/>
      <c r="D187" s="25"/>
      <c r="E187" s="25"/>
      <c r="F187" s="74"/>
      <c r="G187" s="76"/>
      <c r="H187" s="76"/>
      <c r="I187" s="76"/>
      <c r="J187" s="25"/>
      <c r="K187" s="25"/>
      <c r="L187" s="76"/>
      <c r="M187" s="25"/>
      <c r="N187" s="25"/>
      <c r="O187" s="74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</row>
    <row r="188">
      <c r="A188" s="25"/>
      <c r="B188" s="25"/>
      <c r="C188" s="25"/>
      <c r="D188" s="25"/>
      <c r="E188" s="25"/>
      <c r="F188" s="74"/>
      <c r="G188" s="76"/>
      <c r="H188" s="76"/>
      <c r="I188" s="76"/>
      <c r="J188" s="25"/>
      <c r="K188" s="25"/>
      <c r="L188" s="76"/>
      <c r="M188" s="25"/>
      <c r="N188" s="25"/>
      <c r="O188" s="74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</row>
    <row r="189">
      <c r="A189" s="25"/>
      <c r="B189" s="25"/>
      <c r="C189" s="25"/>
      <c r="D189" s="25"/>
      <c r="E189" s="25"/>
      <c r="F189" s="74"/>
      <c r="G189" s="76"/>
      <c r="H189" s="76"/>
      <c r="I189" s="76"/>
      <c r="J189" s="25"/>
      <c r="K189" s="25"/>
      <c r="L189" s="76"/>
      <c r="M189" s="25"/>
      <c r="N189" s="25"/>
      <c r="O189" s="74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</row>
    <row r="190">
      <c r="A190" s="25"/>
      <c r="B190" s="25"/>
      <c r="C190" s="25"/>
      <c r="D190" s="25"/>
      <c r="E190" s="25"/>
      <c r="F190" s="74"/>
      <c r="G190" s="76"/>
      <c r="H190" s="76"/>
      <c r="I190" s="76"/>
      <c r="J190" s="25"/>
      <c r="K190" s="25"/>
      <c r="L190" s="76"/>
      <c r="M190" s="25"/>
      <c r="N190" s="25"/>
      <c r="O190" s="74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</row>
    <row r="191">
      <c r="A191" s="25"/>
      <c r="B191" s="25"/>
      <c r="C191" s="25"/>
      <c r="D191" s="25"/>
      <c r="E191" s="25"/>
      <c r="F191" s="74"/>
      <c r="G191" s="76"/>
      <c r="H191" s="76"/>
      <c r="I191" s="76"/>
      <c r="J191" s="25"/>
      <c r="K191" s="25"/>
      <c r="L191" s="76"/>
      <c r="M191" s="25"/>
      <c r="N191" s="25"/>
      <c r="O191" s="74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</row>
    <row r="192">
      <c r="A192" s="25"/>
      <c r="B192" s="25"/>
      <c r="C192" s="25"/>
      <c r="D192" s="25"/>
      <c r="E192" s="25"/>
      <c r="F192" s="74"/>
      <c r="G192" s="76"/>
      <c r="H192" s="76"/>
      <c r="I192" s="76"/>
      <c r="J192" s="25"/>
      <c r="K192" s="25"/>
      <c r="L192" s="76"/>
      <c r="M192" s="25"/>
      <c r="N192" s="25"/>
      <c r="O192" s="74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</row>
    <row r="193">
      <c r="A193" s="25"/>
      <c r="B193" s="25"/>
      <c r="C193" s="25"/>
      <c r="D193" s="25"/>
      <c r="E193" s="25"/>
      <c r="F193" s="74"/>
      <c r="G193" s="76"/>
      <c r="H193" s="76"/>
      <c r="I193" s="76"/>
      <c r="J193" s="25"/>
      <c r="K193" s="25"/>
      <c r="L193" s="76"/>
      <c r="M193" s="25"/>
      <c r="N193" s="25"/>
      <c r="O193" s="74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</row>
    <row r="194">
      <c r="A194" s="25"/>
      <c r="B194" s="25"/>
      <c r="C194" s="25"/>
      <c r="D194" s="25"/>
      <c r="E194" s="25"/>
      <c r="F194" s="74"/>
      <c r="G194" s="76"/>
      <c r="H194" s="76"/>
      <c r="I194" s="76"/>
      <c r="J194" s="25"/>
      <c r="K194" s="25"/>
      <c r="L194" s="76"/>
      <c r="M194" s="25"/>
      <c r="N194" s="25"/>
      <c r="O194" s="74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</row>
    <row r="195">
      <c r="A195" s="25"/>
      <c r="B195" s="25"/>
      <c r="C195" s="25"/>
      <c r="D195" s="25"/>
      <c r="E195" s="25"/>
      <c r="F195" s="74"/>
      <c r="G195" s="76"/>
      <c r="H195" s="76"/>
      <c r="I195" s="76"/>
      <c r="J195" s="25"/>
      <c r="K195" s="25"/>
      <c r="L195" s="76"/>
      <c r="M195" s="25"/>
      <c r="N195" s="25"/>
      <c r="O195" s="74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</row>
    <row r="196">
      <c r="A196" s="25"/>
      <c r="B196" s="25"/>
      <c r="C196" s="25"/>
      <c r="D196" s="25"/>
      <c r="E196" s="25"/>
      <c r="F196" s="74"/>
      <c r="G196" s="76"/>
      <c r="H196" s="76"/>
      <c r="I196" s="76"/>
      <c r="J196" s="25"/>
      <c r="K196" s="25"/>
      <c r="L196" s="76"/>
      <c r="M196" s="25"/>
      <c r="N196" s="25"/>
      <c r="O196" s="74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</row>
    <row r="197">
      <c r="A197" s="25"/>
      <c r="B197" s="25"/>
      <c r="C197" s="25"/>
      <c r="D197" s="25"/>
      <c r="E197" s="25"/>
      <c r="F197" s="74"/>
      <c r="G197" s="76"/>
      <c r="H197" s="76"/>
      <c r="I197" s="76"/>
      <c r="J197" s="25"/>
      <c r="K197" s="25"/>
      <c r="L197" s="76"/>
      <c r="M197" s="25"/>
      <c r="N197" s="25"/>
      <c r="O197" s="74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</row>
    <row r="198">
      <c r="A198" s="25"/>
      <c r="B198" s="25"/>
      <c r="C198" s="25"/>
      <c r="D198" s="25"/>
      <c r="E198" s="25"/>
      <c r="F198" s="74"/>
      <c r="G198" s="76"/>
      <c r="H198" s="76"/>
      <c r="I198" s="76"/>
      <c r="J198" s="25"/>
      <c r="K198" s="25"/>
      <c r="L198" s="76"/>
      <c r="M198" s="25"/>
      <c r="N198" s="25"/>
      <c r="O198" s="74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</row>
    <row r="199">
      <c r="A199" s="25"/>
      <c r="B199" s="25"/>
      <c r="C199" s="25"/>
      <c r="D199" s="25"/>
      <c r="E199" s="25"/>
      <c r="F199" s="74"/>
      <c r="G199" s="76"/>
      <c r="H199" s="76"/>
      <c r="I199" s="76"/>
      <c r="J199" s="25"/>
      <c r="K199" s="25"/>
      <c r="L199" s="76"/>
      <c r="M199" s="25"/>
      <c r="N199" s="25"/>
      <c r="O199" s="74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</row>
    <row r="200">
      <c r="A200" s="25"/>
      <c r="B200" s="25"/>
      <c r="C200" s="25"/>
      <c r="D200" s="25"/>
      <c r="E200" s="25"/>
      <c r="F200" s="74"/>
      <c r="G200" s="76"/>
      <c r="H200" s="76"/>
      <c r="I200" s="76"/>
      <c r="J200" s="25"/>
      <c r="K200" s="25"/>
      <c r="L200" s="76"/>
      <c r="M200" s="25"/>
      <c r="N200" s="25"/>
      <c r="O200" s="74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</row>
    <row r="201">
      <c r="A201" s="25"/>
      <c r="B201" s="25"/>
      <c r="C201" s="25"/>
      <c r="D201" s="25"/>
      <c r="E201" s="25"/>
      <c r="F201" s="74"/>
      <c r="G201" s="76"/>
      <c r="H201" s="76"/>
      <c r="I201" s="76"/>
      <c r="J201" s="25"/>
      <c r="K201" s="25"/>
      <c r="L201" s="76"/>
      <c r="M201" s="25"/>
      <c r="N201" s="25"/>
      <c r="O201" s="74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</row>
    <row r="202">
      <c r="A202" s="25"/>
      <c r="B202" s="25"/>
      <c r="C202" s="25"/>
      <c r="D202" s="25"/>
      <c r="E202" s="25"/>
      <c r="F202" s="74"/>
      <c r="G202" s="76"/>
      <c r="H202" s="76"/>
      <c r="I202" s="76"/>
      <c r="J202" s="25"/>
      <c r="K202" s="25"/>
      <c r="L202" s="76"/>
      <c r="M202" s="25"/>
      <c r="N202" s="25"/>
      <c r="O202" s="74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</row>
    <row r="203">
      <c r="A203" s="25"/>
      <c r="B203" s="25"/>
      <c r="C203" s="25"/>
      <c r="D203" s="25"/>
      <c r="E203" s="25"/>
      <c r="F203" s="74"/>
      <c r="G203" s="76"/>
      <c r="H203" s="76"/>
      <c r="I203" s="76"/>
      <c r="J203" s="25"/>
      <c r="K203" s="25"/>
      <c r="L203" s="76"/>
      <c r="M203" s="25"/>
      <c r="N203" s="25"/>
      <c r="O203" s="74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</row>
    <row r="204">
      <c r="A204" s="25"/>
      <c r="B204" s="25"/>
      <c r="C204" s="25"/>
      <c r="D204" s="25"/>
      <c r="E204" s="25"/>
      <c r="F204" s="74"/>
      <c r="G204" s="76"/>
      <c r="H204" s="76"/>
      <c r="I204" s="76"/>
      <c r="J204" s="25"/>
      <c r="K204" s="25"/>
      <c r="L204" s="76"/>
      <c r="M204" s="25"/>
      <c r="N204" s="25"/>
      <c r="O204" s="74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</row>
    <row r="205">
      <c r="A205" s="25"/>
      <c r="B205" s="25"/>
      <c r="C205" s="25"/>
      <c r="D205" s="25"/>
      <c r="E205" s="25"/>
      <c r="F205" s="74"/>
      <c r="G205" s="76"/>
      <c r="H205" s="76"/>
      <c r="I205" s="76"/>
      <c r="J205" s="25"/>
      <c r="K205" s="25"/>
      <c r="L205" s="76"/>
      <c r="M205" s="25"/>
      <c r="N205" s="25"/>
      <c r="O205" s="74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</row>
    <row r="206">
      <c r="A206" s="25"/>
      <c r="B206" s="25"/>
      <c r="C206" s="25"/>
      <c r="D206" s="25"/>
      <c r="E206" s="25"/>
      <c r="F206" s="74"/>
      <c r="G206" s="76"/>
      <c r="H206" s="76"/>
      <c r="I206" s="76"/>
      <c r="J206" s="25"/>
      <c r="K206" s="25"/>
      <c r="L206" s="76"/>
      <c r="M206" s="25"/>
      <c r="N206" s="25"/>
      <c r="O206" s="74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</row>
    <row r="207">
      <c r="A207" s="25"/>
      <c r="B207" s="25"/>
      <c r="C207" s="25"/>
      <c r="D207" s="25"/>
      <c r="E207" s="25"/>
      <c r="F207" s="74"/>
      <c r="G207" s="76"/>
      <c r="H207" s="76"/>
      <c r="I207" s="76"/>
      <c r="J207" s="25"/>
      <c r="K207" s="25"/>
      <c r="L207" s="76"/>
      <c r="M207" s="25"/>
      <c r="N207" s="25"/>
      <c r="O207" s="74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</row>
    <row r="208">
      <c r="A208" s="25"/>
      <c r="B208" s="25"/>
      <c r="C208" s="25"/>
      <c r="D208" s="25"/>
      <c r="E208" s="25"/>
      <c r="F208" s="74"/>
      <c r="G208" s="76"/>
      <c r="H208" s="76"/>
      <c r="I208" s="76"/>
      <c r="J208" s="25"/>
      <c r="K208" s="25"/>
      <c r="L208" s="76"/>
      <c r="M208" s="25"/>
      <c r="N208" s="25"/>
      <c r="O208" s="74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</row>
    <row r="209">
      <c r="A209" s="25"/>
      <c r="B209" s="25"/>
      <c r="C209" s="25"/>
      <c r="D209" s="25"/>
      <c r="E209" s="25"/>
      <c r="F209" s="74"/>
      <c r="G209" s="76"/>
      <c r="H209" s="76"/>
      <c r="I209" s="76"/>
      <c r="J209" s="25"/>
      <c r="K209" s="25"/>
      <c r="L209" s="76"/>
      <c r="M209" s="25"/>
      <c r="N209" s="25"/>
      <c r="O209" s="74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</row>
    <row r="210">
      <c r="A210" s="25"/>
      <c r="B210" s="25"/>
      <c r="C210" s="25"/>
      <c r="D210" s="25"/>
      <c r="E210" s="25"/>
      <c r="F210" s="74"/>
      <c r="G210" s="76"/>
      <c r="H210" s="76"/>
      <c r="I210" s="76"/>
      <c r="J210" s="25"/>
      <c r="K210" s="25"/>
      <c r="L210" s="76"/>
      <c r="M210" s="25"/>
      <c r="N210" s="25"/>
      <c r="O210" s="74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</row>
    <row r="211">
      <c r="A211" s="25"/>
      <c r="B211" s="25"/>
      <c r="C211" s="25"/>
      <c r="D211" s="25"/>
      <c r="E211" s="25"/>
      <c r="F211" s="74"/>
      <c r="G211" s="76"/>
      <c r="H211" s="76"/>
      <c r="I211" s="76"/>
      <c r="J211" s="25"/>
      <c r="K211" s="25"/>
      <c r="L211" s="76"/>
      <c r="M211" s="25"/>
      <c r="N211" s="25"/>
      <c r="O211" s="74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</row>
    <row r="212">
      <c r="A212" s="25"/>
      <c r="B212" s="25"/>
      <c r="C212" s="25"/>
      <c r="D212" s="25"/>
      <c r="E212" s="25"/>
      <c r="F212" s="74"/>
      <c r="G212" s="76"/>
      <c r="H212" s="76"/>
      <c r="I212" s="76"/>
      <c r="J212" s="25"/>
      <c r="K212" s="25"/>
      <c r="L212" s="76"/>
      <c r="M212" s="25"/>
      <c r="N212" s="25"/>
      <c r="O212" s="74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</row>
    <row r="213">
      <c r="A213" s="25"/>
      <c r="B213" s="25"/>
      <c r="C213" s="25"/>
      <c r="D213" s="25"/>
      <c r="E213" s="25"/>
      <c r="F213" s="74"/>
      <c r="G213" s="76"/>
      <c r="H213" s="76"/>
      <c r="I213" s="76"/>
      <c r="J213" s="25"/>
      <c r="K213" s="25"/>
      <c r="L213" s="76"/>
      <c r="M213" s="25"/>
      <c r="N213" s="25"/>
      <c r="O213" s="74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</row>
    <row r="214">
      <c r="A214" s="25"/>
      <c r="B214" s="25"/>
      <c r="C214" s="25"/>
      <c r="D214" s="25"/>
      <c r="E214" s="25"/>
      <c r="F214" s="74"/>
      <c r="G214" s="76"/>
      <c r="H214" s="76"/>
      <c r="I214" s="76"/>
      <c r="J214" s="25"/>
      <c r="K214" s="25"/>
      <c r="L214" s="76"/>
      <c r="M214" s="25"/>
      <c r="N214" s="25"/>
      <c r="O214" s="74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</row>
    <row r="215">
      <c r="A215" s="25"/>
      <c r="B215" s="25"/>
      <c r="C215" s="25"/>
      <c r="D215" s="25"/>
      <c r="E215" s="25"/>
      <c r="F215" s="74"/>
      <c r="G215" s="76"/>
      <c r="H215" s="76"/>
      <c r="I215" s="76"/>
      <c r="J215" s="25"/>
      <c r="K215" s="25"/>
      <c r="L215" s="76"/>
      <c r="M215" s="25"/>
      <c r="N215" s="25"/>
      <c r="O215" s="74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</row>
    <row r="216">
      <c r="A216" s="25"/>
      <c r="B216" s="25"/>
      <c r="C216" s="25"/>
      <c r="D216" s="25"/>
      <c r="E216" s="25"/>
      <c r="F216" s="74"/>
      <c r="G216" s="76"/>
      <c r="H216" s="76"/>
      <c r="I216" s="76"/>
      <c r="J216" s="25"/>
      <c r="K216" s="25"/>
      <c r="L216" s="76"/>
      <c r="M216" s="25"/>
      <c r="N216" s="25"/>
      <c r="O216" s="74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</row>
    <row r="217">
      <c r="A217" s="25"/>
      <c r="B217" s="25"/>
      <c r="C217" s="25"/>
      <c r="D217" s="25"/>
      <c r="E217" s="25"/>
      <c r="F217" s="74"/>
      <c r="G217" s="76"/>
      <c r="H217" s="76"/>
      <c r="I217" s="76"/>
      <c r="J217" s="25"/>
      <c r="K217" s="25"/>
      <c r="L217" s="76"/>
      <c r="M217" s="25"/>
      <c r="N217" s="25"/>
      <c r="O217" s="74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</row>
    <row r="218">
      <c r="A218" s="25"/>
      <c r="B218" s="25"/>
      <c r="C218" s="25"/>
      <c r="D218" s="25"/>
      <c r="E218" s="25"/>
      <c r="F218" s="74"/>
      <c r="G218" s="76"/>
      <c r="H218" s="76"/>
      <c r="I218" s="76"/>
      <c r="J218" s="25"/>
      <c r="K218" s="25"/>
      <c r="L218" s="76"/>
      <c r="M218" s="25"/>
      <c r="N218" s="25"/>
      <c r="O218" s="74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</row>
    <row r="219">
      <c r="A219" s="25"/>
      <c r="B219" s="25"/>
      <c r="C219" s="25"/>
      <c r="D219" s="25"/>
      <c r="E219" s="25"/>
      <c r="F219" s="74"/>
      <c r="G219" s="76"/>
      <c r="H219" s="76"/>
      <c r="I219" s="76"/>
      <c r="J219" s="25"/>
      <c r="K219" s="25"/>
      <c r="L219" s="76"/>
      <c r="M219" s="25"/>
      <c r="N219" s="25"/>
      <c r="O219" s="74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</row>
    <row r="220">
      <c r="A220" s="25"/>
      <c r="B220" s="25"/>
      <c r="C220" s="25"/>
      <c r="D220" s="25"/>
      <c r="E220" s="25"/>
      <c r="F220" s="74"/>
      <c r="G220" s="76"/>
      <c r="H220" s="76"/>
      <c r="I220" s="76"/>
      <c r="J220" s="25"/>
      <c r="K220" s="25"/>
      <c r="L220" s="76"/>
      <c r="M220" s="25"/>
      <c r="N220" s="25"/>
      <c r="O220" s="74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</row>
    <row r="221">
      <c r="A221" s="25"/>
      <c r="B221" s="25"/>
      <c r="C221" s="25"/>
      <c r="D221" s="25"/>
      <c r="E221" s="25"/>
      <c r="F221" s="74"/>
      <c r="G221" s="76"/>
      <c r="H221" s="76"/>
      <c r="I221" s="76"/>
      <c r="J221" s="25"/>
      <c r="K221" s="25"/>
      <c r="L221" s="76"/>
      <c r="M221" s="25"/>
      <c r="N221" s="25"/>
      <c r="O221" s="74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</row>
    <row r="222">
      <c r="A222" s="25"/>
      <c r="B222" s="25"/>
      <c r="C222" s="25"/>
      <c r="D222" s="25"/>
      <c r="E222" s="25"/>
      <c r="F222" s="74"/>
      <c r="G222" s="76"/>
      <c r="H222" s="76"/>
      <c r="I222" s="76"/>
      <c r="J222" s="25"/>
      <c r="K222" s="25"/>
      <c r="L222" s="76"/>
      <c r="M222" s="25"/>
      <c r="N222" s="25"/>
      <c r="O222" s="74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</row>
    <row r="223">
      <c r="A223" s="25"/>
      <c r="B223" s="25"/>
      <c r="C223" s="25"/>
      <c r="D223" s="25"/>
      <c r="E223" s="25"/>
      <c r="F223" s="74"/>
      <c r="G223" s="76"/>
      <c r="H223" s="76"/>
      <c r="I223" s="76"/>
      <c r="J223" s="25"/>
      <c r="K223" s="25"/>
      <c r="L223" s="76"/>
      <c r="M223" s="25"/>
      <c r="N223" s="25"/>
      <c r="O223" s="74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</row>
    <row r="224">
      <c r="A224" s="25"/>
      <c r="B224" s="25"/>
      <c r="C224" s="25"/>
      <c r="D224" s="25"/>
      <c r="E224" s="25"/>
      <c r="F224" s="74"/>
      <c r="G224" s="76"/>
      <c r="H224" s="76"/>
      <c r="I224" s="76"/>
      <c r="J224" s="25"/>
      <c r="K224" s="25"/>
      <c r="L224" s="76"/>
      <c r="M224" s="25"/>
      <c r="N224" s="25"/>
      <c r="O224" s="74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</row>
    <row r="225">
      <c r="A225" s="25"/>
      <c r="B225" s="25"/>
      <c r="C225" s="25"/>
      <c r="D225" s="25"/>
      <c r="E225" s="25"/>
      <c r="F225" s="74"/>
      <c r="G225" s="76"/>
      <c r="H225" s="76"/>
      <c r="I225" s="76"/>
      <c r="J225" s="25"/>
      <c r="K225" s="25"/>
      <c r="L225" s="76"/>
      <c r="M225" s="25"/>
      <c r="N225" s="25"/>
      <c r="O225" s="74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</row>
    <row r="226">
      <c r="A226" s="25"/>
      <c r="B226" s="25"/>
      <c r="C226" s="25"/>
      <c r="D226" s="25"/>
      <c r="E226" s="25"/>
      <c r="F226" s="74"/>
      <c r="G226" s="76"/>
      <c r="H226" s="76"/>
      <c r="I226" s="76"/>
      <c r="J226" s="25"/>
      <c r="K226" s="25"/>
      <c r="L226" s="76"/>
      <c r="M226" s="25"/>
      <c r="N226" s="25"/>
      <c r="O226" s="74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</row>
    <row r="227">
      <c r="A227" s="25"/>
      <c r="B227" s="25"/>
      <c r="C227" s="25"/>
      <c r="D227" s="25"/>
      <c r="E227" s="25"/>
      <c r="F227" s="74"/>
      <c r="G227" s="76"/>
      <c r="H227" s="76"/>
      <c r="I227" s="76"/>
      <c r="J227" s="25"/>
      <c r="K227" s="25"/>
      <c r="L227" s="76"/>
      <c r="M227" s="25"/>
      <c r="N227" s="25"/>
      <c r="O227" s="74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</row>
    <row r="228">
      <c r="A228" s="25"/>
      <c r="B228" s="25"/>
      <c r="C228" s="25"/>
      <c r="D228" s="25"/>
      <c r="E228" s="25"/>
      <c r="F228" s="74"/>
      <c r="G228" s="76"/>
      <c r="H228" s="76"/>
      <c r="I228" s="76"/>
      <c r="J228" s="25"/>
      <c r="K228" s="25"/>
      <c r="L228" s="76"/>
      <c r="M228" s="25"/>
      <c r="N228" s="25"/>
      <c r="O228" s="74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</row>
    <row r="229">
      <c r="A229" s="25"/>
      <c r="B229" s="25"/>
      <c r="C229" s="25"/>
      <c r="D229" s="25"/>
      <c r="E229" s="25"/>
      <c r="F229" s="74"/>
      <c r="G229" s="76"/>
      <c r="H229" s="76"/>
      <c r="I229" s="76"/>
      <c r="J229" s="25"/>
      <c r="K229" s="25"/>
      <c r="L229" s="76"/>
      <c r="M229" s="25"/>
      <c r="N229" s="25"/>
      <c r="O229" s="74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</row>
    <row r="230">
      <c r="A230" s="25"/>
      <c r="B230" s="25"/>
      <c r="C230" s="25"/>
      <c r="D230" s="25"/>
      <c r="E230" s="25"/>
      <c r="F230" s="74"/>
      <c r="G230" s="76"/>
      <c r="H230" s="76"/>
      <c r="I230" s="76"/>
      <c r="J230" s="25"/>
      <c r="K230" s="25"/>
      <c r="L230" s="76"/>
      <c r="M230" s="25"/>
      <c r="N230" s="25"/>
      <c r="O230" s="74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</row>
    <row r="231">
      <c r="A231" s="25"/>
      <c r="B231" s="25"/>
      <c r="C231" s="25"/>
      <c r="D231" s="25"/>
      <c r="E231" s="25"/>
      <c r="F231" s="74"/>
      <c r="G231" s="76"/>
      <c r="H231" s="76"/>
      <c r="I231" s="76"/>
      <c r="J231" s="25"/>
      <c r="K231" s="25"/>
      <c r="L231" s="76"/>
      <c r="M231" s="25"/>
      <c r="N231" s="25"/>
      <c r="O231" s="74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</row>
    <row r="232">
      <c r="A232" s="25"/>
      <c r="B232" s="25"/>
      <c r="C232" s="25"/>
      <c r="D232" s="25"/>
      <c r="E232" s="25"/>
      <c r="F232" s="74"/>
      <c r="G232" s="76"/>
      <c r="H232" s="76"/>
      <c r="I232" s="76"/>
      <c r="J232" s="25"/>
      <c r="K232" s="25"/>
      <c r="L232" s="76"/>
      <c r="M232" s="25"/>
      <c r="N232" s="25"/>
      <c r="O232" s="74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</row>
    <row r="233">
      <c r="A233" s="25"/>
      <c r="B233" s="25"/>
      <c r="C233" s="25"/>
      <c r="D233" s="25"/>
      <c r="E233" s="25"/>
      <c r="F233" s="74"/>
      <c r="G233" s="76"/>
      <c r="H233" s="76"/>
      <c r="I233" s="76"/>
      <c r="J233" s="25"/>
      <c r="K233" s="25"/>
      <c r="L233" s="76"/>
      <c r="M233" s="25"/>
      <c r="N233" s="25"/>
      <c r="O233" s="74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</row>
    <row r="234">
      <c r="A234" s="25"/>
      <c r="B234" s="25"/>
      <c r="C234" s="25"/>
      <c r="D234" s="25"/>
      <c r="E234" s="25"/>
      <c r="F234" s="74"/>
      <c r="G234" s="76"/>
      <c r="H234" s="76"/>
      <c r="I234" s="76"/>
      <c r="J234" s="25"/>
      <c r="K234" s="25"/>
      <c r="L234" s="76"/>
      <c r="M234" s="25"/>
      <c r="N234" s="25"/>
      <c r="O234" s="74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</row>
    <row r="235">
      <c r="A235" s="25"/>
      <c r="B235" s="25"/>
      <c r="C235" s="25"/>
      <c r="D235" s="25"/>
      <c r="E235" s="25"/>
      <c r="F235" s="74"/>
      <c r="G235" s="76"/>
      <c r="H235" s="76"/>
      <c r="I235" s="76"/>
      <c r="J235" s="25"/>
      <c r="K235" s="25"/>
      <c r="L235" s="76"/>
      <c r="M235" s="25"/>
      <c r="N235" s="25"/>
      <c r="O235" s="74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</row>
    <row r="236">
      <c r="A236" s="25"/>
      <c r="B236" s="25"/>
      <c r="C236" s="25"/>
      <c r="D236" s="25"/>
      <c r="E236" s="25"/>
      <c r="F236" s="74"/>
      <c r="G236" s="76"/>
      <c r="H236" s="76"/>
      <c r="I236" s="76"/>
      <c r="J236" s="25"/>
      <c r="K236" s="25"/>
      <c r="L236" s="76"/>
      <c r="M236" s="25"/>
      <c r="N236" s="25"/>
      <c r="O236" s="74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</row>
    <row r="237">
      <c r="A237" s="25"/>
      <c r="B237" s="25"/>
      <c r="C237" s="25"/>
      <c r="D237" s="25"/>
      <c r="E237" s="25"/>
      <c r="F237" s="74"/>
      <c r="G237" s="76"/>
      <c r="H237" s="76"/>
      <c r="I237" s="76"/>
      <c r="J237" s="25"/>
      <c r="K237" s="25"/>
      <c r="L237" s="76"/>
      <c r="M237" s="25"/>
      <c r="N237" s="25"/>
      <c r="O237" s="74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</row>
    <row r="238">
      <c r="A238" s="25"/>
      <c r="B238" s="25"/>
      <c r="C238" s="25"/>
      <c r="D238" s="25"/>
      <c r="E238" s="25"/>
      <c r="F238" s="74"/>
      <c r="G238" s="76"/>
      <c r="H238" s="76"/>
      <c r="I238" s="76"/>
      <c r="J238" s="25"/>
      <c r="K238" s="25"/>
      <c r="L238" s="76"/>
      <c r="M238" s="25"/>
      <c r="N238" s="25"/>
      <c r="O238" s="74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</row>
    <row r="239">
      <c r="A239" s="25"/>
      <c r="B239" s="25"/>
      <c r="C239" s="25"/>
      <c r="D239" s="25"/>
      <c r="E239" s="25"/>
      <c r="F239" s="74"/>
      <c r="G239" s="76"/>
      <c r="H239" s="76"/>
      <c r="I239" s="76"/>
      <c r="J239" s="25"/>
      <c r="K239" s="25"/>
      <c r="L239" s="76"/>
      <c r="M239" s="25"/>
      <c r="N239" s="25"/>
      <c r="O239" s="74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</row>
    <row r="240">
      <c r="A240" s="25"/>
      <c r="B240" s="25"/>
      <c r="C240" s="25"/>
      <c r="D240" s="25"/>
      <c r="E240" s="25"/>
      <c r="F240" s="74"/>
      <c r="G240" s="76"/>
      <c r="H240" s="76"/>
      <c r="I240" s="76"/>
      <c r="J240" s="25"/>
      <c r="K240" s="25"/>
      <c r="L240" s="76"/>
      <c r="M240" s="25"/>
      <c r="N240" s="25"/>
      <c r="O240" s="74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</row>
    <row r="241">
      <c r="A241" s="25"/>
      <c r="B241" s="25"/>
      <c r="C241" s="25"/>
      <c r="D241" s="25"/>
      <c r="E241" s="25"/>
      <c r="F241" s="74"/>
      <c r="G241" s="76"/>
      <c r="H241" s="76"/>
      <c r="I241" s="76"/>
      <c r="J241" s="25"/>
      <c r="K241" s="25"/>
      <c r="L241" s="76"/>
      <c r="M241" s="25"/>
      <c r="N241" s="25"/>
      <c r="O241" s="74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</row>
    <row r="242">
      <c r="A242" s="25"/>
      <c r="B242" s="25"/>
      <c r="C242" s="25"/>
      <c r="D242" s="25"/>
      <c r="E242" s="25"/>
      <c r="F242" s="74"/>
      <c r="G242" s="76"/>
      <c r="H242" s="76"/>
      <c r="I242" s="76"/>
      <c r="J242" s="25"/>
      <c r="K242" s="25"/>
      <c r="L242" s="76"/>
      <c r="M242" s="25"/>
      <c r="N242" s="25"/>
      <c r="O242" s="74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</row>
    <row r="243">
      <c r="A243" s="25"/>
      <c r="B243" s="25"/>
      <c r="C243" s="25"/>
      <c r="D243" s="25"/>
      <c r="E243" s="25"/>
      <c r="F243" s="74"/>
      <c r="G243" s="76"/>
      <c r="H243" s="76"/>
      <c r="I243" s="76"/>
      <c r="J243" s="25"/>
      <c r="K243" s="25"/>
      <c r="L243" s="76"/>
      <c r="M243" s="25"/>
      <c r="N243" s="25"/>
      <c r="O243" s="74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</row>
    <row r="244">
      <c r="A244" s="25"/>
      <c r="B244" s="25"/>
      <c r="C244" s="25"/>
      <c r="D244" s="25"/>
      <c r="E244" s="25"/>
      <c r="F244" s="74"/>
      <c r="G244" s="76"/>
      <c r="H244" s="76"/>
      <c r="I244" s="76"/>
      <c r="J244" s="25"/>
      <c r="K244" s="25"/>
      <c r="L244" s="76"/>
      <c r="M244" s="25"/>
      <c r="N244" s="25"/>
      <c r="O244" s="74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</row>
    <row r="245">
      <c r="A245" s="25"/>
      <c r="B245" s="25"/>
      <c r="C245" s="25"/>
      <c r="D245" s="25"/>
      <c r="E245" s="25"/>
      <c r="F245" s="74"/>
      <c r="G245" s="76"/>
      <c r="H245" s="76"/>
      <c r="I245" s="76"/>
      <c r="J245" s="25"/>
      <c r="K245" s="25"/>
      <c r="L245" s="76"/>
      <c r="M245" s="25"/>
      <c r="N245" s="25"/>
      <c r="O245" s="74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</row>
    <row r="246">
      <c r="A246" s="25"/>
      <c r="B246" s="25"/>
      <c r="C246" s="25"/>
      <c r="D246" s="25"/>
      <c r="E246" s="25"/>
      <c r="F246" s="74"/>
      <c r="G246" s="76"/>
      <c r="H246" s="76"/>
      <c r="I246" s="76"/>
      <c r="J246" s="25"/>
      <c r="K246" s="25"/>
      <c r="L246" s="76"/>
      <c r="M246" s="25"/>
      <c r="N246" s="25"/>
      <c r="O246" s="74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</row>
    <row r="247">
      <c r="A247" s="25"/>
      <c r="B247" s="25"/>
      <c r="C247" s="25"/>
      <c r="D247" s="25"/>
      <c r="E247" s="25"/>
      <c r="F247" s="74"/>
      <c r="G247" s="76"/>
      <c r="H247" s="76"/>
      <c r="I247" s="76"/>
      <c r="J247" s="25"/>
      <c r="K247" s="25"/>
      <c r="L247" s="76"/>
      <c r="M247" s="25"/>
      <c r="N247" s="25"/>
      <c r="O247" s="74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</row>
    <row r="248">
      <c r="A248" s="25"/>
      <c r="B248" s="25"/>
      <c r="C248" s="25"/>
      <c r="D248" s="25"/>
      <c r="E248" s="25"/>
      <c r="F248" s="74"/>
      <c r="G248" s="76"/>
      <c r="H248" s="76"/>
      <c r="I248" s="76"/>
      <c r="J248" s="25"/>
      <c r="K248" s="25"/>
      <c r="L248" s="76"/>
      <c r="M248" s="25"/>
      <c r="N248" s="25"/>
      <c r="O248" s="74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</row>
    <row r="249">
      <c r="A249" s="25"/>
      <c r="B249" s="25"/>
      <c r="C249" s="25"/>
      <c r="D249" s="25"/>
      <c r="E249" s="25"/>
      <c r="F249" s="74"/>
      <c r="G249" s="76"/>
      <c r="H249" s="76"/>
      <c r="I249" s="76"/>
      <c r="J249" s="25"/>
      <c r="K249" s="25"/>
      <c r="L249" s="76"/>
      <c r="M249" s="25"/>
      <c r="N249" s="25"/>
      <c r="O249" s="74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</row>
    <row r="250">
      <c r="A250" s="25"/>
      <c r="B250" s="25"/>
      <c r="C250" s="25"/>
      <c r="D250" s="25"/>
      <c r="E250" s="25"/>
      <c r="F250" s="74"/>
      <c r="G250" s="76"/>
      <c r="H250" s="76"/>
      <c r="I250" s="76"/>
      <c r="J250" s="25"/>
      <c r="K250" s="25"/>
      <c r="L250" s="76"/>
      <c r="M250" s="25"/>
      <c r="N250" s="25"/>
      <c r="O250" s="74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</row>
    <row r="251">
      <c r="A251" s="25"/>
      <c r="B251" s="25"/>
      <c r="C251" s="25"/>
      <c r="D251" s="25"/>
      <c r="E251" s="25"/>
      <c r="F251" s="74"/>
      <c r="G251" s="76"/>
      <c r="H251" s="76"/>
      <c r="I251" s="76"/>
      <c r="J251" s="25"/>
      <c r="K251" s="25"/>
      <c r="L251" s="76"/>
      <c r="M251" s="25"/>
      <c r="N251" s="25"/>
      <c r="O251" s="74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</row>
    <row r="252">
      <c r="A252" s="25"/>
      <c r="B252" s="25"/>
      <c r="C252" s="25"/>
      <c r="D252" s="25"/>
      <c r="E252" s="25"/>
      <c r="F252" s="74"/>
      <c r="G252" s="76"/>
      <c r="H252" s="76"/>
      <c r="I252" s="76"/>
      <c r="J252" s="25"/>
      <c r="K252" s="25"/>
      <c r="L252" s="76"/>
      <c r="M252" s="25"/>
      <c r="N252" s="25"/>
      <c r="O252" s="74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</row>
    <row r="253">
      <c r="A253" s="25"/>
      <c r="B253" s="25"/>
      <c r="C253" s="25"/>
      <c r="D253" s="25"/>
      <c r="E253" s="25"/>
      <c r="F253" s="74"/>
      <c r="G253" s="76"/>
      <c r="H253" s="76"/>
      <c r="I253" s="76"/>
      <c r="J253" s="25"/>
      <c r="K253" s="25"/>
      <c r="L253" s="76"/>
      <c r="M253" s="25"/>
      <c r="N253" s="25"/>
      <c r="O253" s="74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</row>
    <row r="254">
      <c r="A254" s="25"/>
      <c r="B254" s="25"/>
      <c r="C254" s="25"/>
      <c r="D254" s="25"/>
      <c r="E254" s="25"/>
      <c r="F254" s="74"/>
      <c r="G254" s="76"/>
      <c r="H254" s="76"/>
      <c r="I254" s="76"/>
      <c r="J254" s="25"/>
      <c r="K254" s="25"/>
      <c r="L254" s="76"/>
      <c r="M254" s="25"/>
      <c r="N254" s="25"/>
      <c r="O254" s="74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</row>
    <row r="255">
      <c r="A255" s="25"/>
      <c r="B255" s="25"/>
      <c r="C255" s="25"/>
      <c r="D255" s="25"/>
      <c r="E255" s="25"/>
      <c r="F255" s="74"/>
      <c r="G255" s="76"/>
      <c r="H255" s="76"/>
      <c r="I255" s="76"/>
      <c r="J255" s="25"/>
      <c r="K255" s="25"/>
      <c r="L255" s="76"/>
      <c r="M255" s="25"/>
      <c r="N255" s="25"/>
      <c r="O255" s="74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</row>
    <row r="256">
      <c r="A256" s="25"/>
      <c r="B256" s="25"/>
      <c r="C256" s="25"/>
      <c r="D256" s="25"/>
      <c r="E256" s="25"/>
      <c r="F256" s="74"/>
      <c r="G256" s="76"/>
      <c r="H256" s="76"/>
      <c r="I256" s="76"/>
      <c r="J256" s="25"/>
      <c r="K256" s="25"/>
      <c r="L256" s="76"/>
      <c r="M256" s="25"/>
      <c r="N256" s="25"/>
      <c r="O256" s="74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</row>
    <row r="257">
      <c r="A257" s="25"/>
      <c r="B257" s="25"/>
      <c r="C257" s="25"/>
      <c r="D257" s="25"/>
      <c r="E257" s="25"/>
      <c r="F257" s="74"/>
      <c r="G257" s="76"/>
      <c r="H257" s="76"/>
      <c r="I257" s="76"/>
      <c r="J257" s="25"/>
      <c r="K257" s="25"/>
      <c r="L257" s="76"/>
      <c r="M257" s="25"/>
      <c r="N257" s="25"/>
      <c r="O257" s="74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</row>
    <row r="258">
      <c r="A258" s="25"/>
      <c r="B258" s="25"/>
      <c r="C258" s="25"/>
      <c r="D258" s="25"/>
      <c r="E258" s="25"/>
      <c r="F258" s="74"/>
      <c r="G258" s="76"/>
      <c r="H258" s="76"/>
      <c r="I258" s="76"/>
      <c r="J258" s="25"/>
      <c r="K258" s="25"/>
      <c r="L258" s="76"/>
      <c r="M258" s="25"/>
      <c r="N258" s="25"/>
      <c r="O258" s="74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</row>
    <row r="259">
      <c r="A259" s="25"/>
      <c r="B259" s="25"/>
      <c r="C259" s="25"/>
      <c r="D259" s="25"/>
      <c r="E259" s="25"/>
      <c r="F259" s="74"/>
      <c r="G259" s="76"/>
      <c r="H259" s="76"/>
      <c r="I259" s="76"/>
      <c r="J259" s="25"/>
      <c r="K259" s="25"/>
      <c r="L259" s="76"/>
      <c r="M259" s="25"/>
      <c r="N259" s="25"/>
      <c r="O259" s="74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</row>
    <row r="260">
      <c r="A260" s="25"/>
      <c r="B260" s="25"/>
      <c r="C260" s="25"/>
      <c r="D260" s="25"/>
      <c r="E260" s="25"/>
      <c r="F260" s="74"/>
      <c r="G260" s="76"/>
      <c r="H260" s="76"/>
      <c r="I260" s="76"/>
      <c r="J260" s="25"/>
      <c r="K260" s="25"/>
      <c r="L260" s="76"/>
      <c r="M260" s="25"/>
      <c r="N260" s="25"/>
      <c r="O260" s="74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</row>
    <row r="261">
      <c r="A261" s="25"/>
      <c r="B261" s="25"/>
      <c r="C261" s="25"/>
      <c r="D261" s="25"/>
      <c r="E261" s="25"/>
      <c r="F261" s="74"/>
      <c r="G261" s="76"/>
      <c r="H261" s="76"/>
      <c r="I261" s="76"/>
      <c r="J261" s="25"/>
      <c r="K261" s="25"/>
      <c r="L261" s="76"/>
      <c r="M261" s="25"/>
      <c r="N261" s="25"/>
      <c r="O261" s="74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</row>
    <row r="262">
      <c r="A262" s="25"/>
      <c r="B262" s="25"/>
      <c r="C262" s="25"/>
      <c r="D262" s="25"/>
      <c r="E262" s="25"/>
      <c r="F262" s="74"/>
      <c r="G262" s="76"/>
      <c r="H262" s="76"/>
      <c r="I262" s="76"/>
      <c r="J262" s="25"/>
      <c r="K262" s="25"/>
      <c r="L262" s="76"/>
      <c r="M262" s="25"/>
      <c r="N262" s="25"/>
      <c r="O262" s="74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</row>
    <row r="263">
      <c r="A263" s="25"/>
      <c r="B263" s="25"/>
      <c r="C263" s="25"/>
      <c r="D263" s="25"/>
      <c r="E263" s="25"/>
      <c r="F263" s="74"/>
      <c r="G263" s="76"/>
      <c r="H263" s="76"/>
      <c r="I263" s="76"/>
      <c r="J263" s="25"/>
      <c r="K263" s="25"/>
      <c r="L263" s="76"/>
      <c r="M263" s="25"/>
      <c r="N263" s="25"/>
      <c r="O263" s="74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</row>
    <row r="264">
      <c r="A264" s="25"/>
      <c r="B264" s="25"/>
      <c r="C264" s="25"/>
      <c r="D264" s="25"/>
      <c r="E264" s="25"/>
      <c r="F264" s="74"/>
      <c r="G264" s="76"/>
      <c r="H264" s="76"/>
      <c r="I264" s="76"/>
      <c r="J264" s="25"/>
      <c r="K264" s="25"/>
      <c r="L264" s="76"/>
      <c r="M264" s="25"/>
      <c r="N264" s="25"/>
      <c r="O264" s="74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</row>
    <row r="265">
      <c r="A265" s="25"/>
      <c r="B265" s="25"/>
      <c r="C265" s="25"/>
      <c r="D265" s="25"/>
      <c r="E265" s="25"/>
      <c r="F265" s="74"/>
      <c r="G265" s="76"/>
      <c r="H265" s="76"/>
      <c r="I265" s="76"/>
      <c r="J265" s="25"/>
      <c r="K265" s="25"/>
      <c r="L265" s="76"/>
      <c r="M265" s="25"/>
      <c r="N265" s="25"/>
      <c r="O265" s="74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</row>
    <row r="266">
      <c r="A266" s="25"/>
      <c r="B266" s="25"/>
      <c r="C266" s="25"/>
      <c r="D266" s="25"/>
      <c r="E266" s="25"/>
      <c r="F266" s="74"/>
      <c r="G266" s="76"/>
      <c r="H266" s="76"/>
      <c r="I266" s="76"/>
      <c r="J266" s="25"/>
      <c r="K266" s="25"/>
      <c r="L266" s="76"/>
      <c r="M266" s="25"/>
      <c r="N266" s="25"/>
      <c r="O266" s="74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</row>
    <row r="267">
      <c r="A267" s="25"/>
      <c r="B267" s="25"/>
      <c r="C267" s="25"/>
      <c r="D267" s="25"/>
      <c r="E267" s="25"/>
      <c r="F267" s="74"/>
      <c r="G267" s="76"/>
      <c r="H267" s="76"/>
      <c r="I267" s="76"/>
      <c r="J267" s="25"/>
      <c r="K267" s="25"/>
      <c r="L267" s="76"/>
      <c r="M267" s="25"/>
      <c r="N267" s="25"/>
      <c r="O267" s="74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</row>
    <row r="268">
      <c r="A268" s="25"/>
      <c r="B268" s="25"/>
      <c r="C268" s="25"/>
      <c r="D268" s="25"/>
      <c r="E268" s="25"/>
      <c r="F268" s="74"/>
      <c r="G268" s="76"/>
      <c r="H268" s="76"/>
      <c r="I268" s="76"/>
      <c r="J268" s="25"/>
      <c r="K268" s="25"/>
      <c r="L268" s="76"/>
      <c r="M268" s="25"/>
      <c r="N268" s="25"/>
      <c r="O268" s="74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</row>
    <row r="269">
      <c r="A269" s="25"/>
      <c r="B269" s="25"/>
      <c r="C269" s="25"/>
      <c r="D269" s="25"/>
      <c r="E269" s="25"/>
      <c r="F269" s="74"/>
      <c r="G269" s="76"/>
      <c r="H269" s="76"/>
      <c r="I269" s="76"/>
      <c r="J269" s="25"/>
      <c r="K269" s="25"/>
      <c r="L269" s="76"/>
      <c r="M269" s="25"/>
      <c r="N269" s="25"/>
      <c r="O269" s="74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</row>
    <row r="270">
      <c r="A270" s="25"/>
      <c r="B270" s="25"/>
      <c r="C270" s="25"/>
      <c r="D270" s="25"/>
      <c r="E270" s="25"/>
      <c r="F270" s="74"/>
      <c r="G270" s="76"/>
      <c r="H270" s="76"/>
      <c r="I270" s="76"/>
      <c r="J270" s="25"/>
      <c r="K270" s="25"/>
      <c r="L270" s="76"/>
      <c r="M270" s="25"/>
      <c r="N270" s="25"/>
      <c r="O270" s="74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</row>
    <row r="271">
      <c r="A271" s="25"/>
      <c r="B271" s="25"/>
      <c r="C271" s="25"/>
      <c r="D271" s="25"/>
      <c r="E271" s="25"/>
      <c r="F271" s="74"/>
      <c r="G271" s="76"/>
      <c r="H271" s="76"/>
      <c r="I271" s="76"/>
      <c r="J271" s="25"/>
      <c r="K271" s="25"/>
      <c r="L271" s="76"/>
      <c r="M271" s="25"/>
      <c r="N271" s="25"/>
      <c r="O271" s="74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</row>
    <row r="272">
      <c r="A272" s="25"/>
      <c r="B272" s="25"/>
      <c r="C272" s="25"/>
      <c r="D272" s="25"/>
      <c r="E272" s="25"/>
      <c r="F272" s="74"/>
      <c r="G272" s="76"/>
      <c r="H272" s="76"/>
      <c r="I272" s="76"/>
      <c r="J272" s="25"/>
      <c r="K272" s="25"/>
      <c r="L272" s="76"/>
      <c r="M272" s="25"/>
      <c r="N272" s="25"/>
      <c r="O272" s="74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</row>
    <row r="273">
      <c r="A273" s="25"/>
      <c r="B273" s="25"/>
      <c r="C273" s="25"/>
      <c r="D273" s="25"/>
      <c r="E273" s="25"/>
      <c r="F273" s="74"/>
      <c r="G273" s="76"/>
      <c r="H273" s="76"/>
      <c r="I273" s="76"/>
      <c r="J273" s="25"/>
      <c r="K273" s="25"/>
      <c r="L273" s="76"/>
      <c r="M273" s="25"/>
      <c r="N273" s="25"/>
      <c r="O273" s="74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</row>
    <row r="274">
      <c r="A274" s="25"/>
      <c r="B274" s="25"/>
      <c r="C274" s="25"/>
      <c r="D274" s="25"/>
      <c r="E274" s="25"/>
      <c r="F274" s="74"/>
      <c r="G274" s="76"/>
      <c r="H274" s="76"/>
      <c r="I274" s="76"/>
      <c r="J274" s="25"/>
      <c r="K274" s="25"/>
      <c r="L274" s="76"/>
      <c r="M274" s="25"/>
      <c r="N274" s="25"/>
      <c r="O274" s="74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</row>
    <row r="275">
      <c r="A275" s="25"/>
      <c r="B275" s="25"/>
      <c r="C275" s="25"/>
      <c r="D275" s="25"/>
      <c r="E275" s="25"/>
      <c r="F275" s="74"/>
      <c r="G275" s="76"/>
      <c r="H275" s="76"/>
      <c r="I275" s="76"/>
      <c r="J275" s="25"/>
      <c r="K275" s="25"/>
      <c r="L275" s="76"/>
      <c r="M275" s="25"/>
      <c r="N275" s="25"/>
      <c r="O275" s="74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</row>
    <row r="276">
      <c r="A276" s="25"/>
      <c r="B276" s="25"/>
      <c r="C276" s="25"/>
      <c r="D276" s="25"/>
      <c r="E276" s="25"/>
      <c r="F276" s="74"/>
      <c r="G276" s="76"/>
      <c r="H276" s="76"/>
      <c r="I276" s="76"/>
      <c r="J276" s="25"/>
      <c r="K276" s="25"/>
      <c r="L276" s="76"/>
      <c r="M276" s="25"/>
      <c r="N276" s="25"/>
      <c r="O276" s="74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</row>
    <row r="277">
      <c r="A277" s="25"/>
      <c r="B277" s="25"/>
      <c r="C277" s="25"/>
      <c r="D277" s="25"/>
      <c r="E277" s="25"/>
      <c r="F277" s="74"/>
      <c r="G277" s="76"/>
      <c r="H277" s="76"/>
      <c r="I277" s="76"/>
      <c r="J277" s="25"/>
      <c r="K277" s="25"/>
      <c r="L277" s="76"/>
      <c r="M277" s="25"/>
      <c r="N277" s="25"/>
      <c r="O277" s="74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</row>
    <row r="278">
      <c r="A278" s="25"/>
      <c r="B278" s="25"/>
      <c r="C278" s="25"/>
      <c r="D278" s="25"/>
      <c r="E278" s="25"/>
      <c r="F278" s="74"/>
      <c r="G278" s="76"/>
      <c r="H278" s="76"/>
      <c r="I278" s="76"/>
      <c r="J278" s="25"/>
      <c r="K278" s="25"/>
      <c r="L278" s="76"/>
      <c r="M278" s="25"/>
      <c r="N278" s="25"/>
      <c r="O278" s="74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</row>
    <row r="279">
      <c r="A279" s="25"/>
      <c r="B279" s="25"/>
      <c r="C279" s="25"/>
      <c r="D279" s="25"/>
      <c r="E279" s="25"/>
      <c r="F279" s="74"/>
      <c r="G279" s="76"/>
      <c r="H279" s="76"/>
      <c r="I279" s="76"/>
      <c r="J279" s="25"/>
      <c r="K279" s="25"/>
      <c r="L279" s="76"/>
      <c r="M279" s="25"/>
      <c r="N279" s="25"/>
      <c r="O279" s="74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</row>
    <row r="280">
      <c r="A280" s="25"/>
      <c r="B280" s="25"/>
      <c r="C280" s="25"/>
      <c r="D280" s="25"/>
      <c r="E280" s="25"/>
      <c r="F280" s="74"/>
      <c r="G280" s="76"/>
      <c r="H280" s="76"/>
      <c r="I280" s="76"/>
      <c r="J280" s="25"/>
      <c r="K280" s="25"/>
      <c r="L280" s="76"/>
      <c r="M280" s="25"/>
      <c r="N280" s="25"/>
      <c r="O280" s="74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</row>
    <row r="281">
      <c r="A281" s="25"/>
      <c r="B281" s="25"/>
      <c r="C281" s="25"/>
      <c r="D281" s="25"/>
      <c r="E281" s="25"/>
      <c r="F281" s="74"/>
      <c r="G281" s="76"/>
      <c r="H281" s="76"/>
      <c r="I281" s="76"/>
      <c r="J281" s="25"/>
      <c r="K281" s="25"/>
      <c r="L281" s="76"/>
      <c r="M281" s="25"/>
      <c r="N281" s="25"/>
      <c r="O281" s="74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</row>
    <row r="282">
      <c r="A282" s="25"/>
      <c r="B282" s="25"/>
      <c r="C282" s="25"/>
      <c r="D282" s="25"/>
      <c r="E282" s="25"/>
      <c r="F282" s="74"/>
      <c r="G282" s="76"/>
      <c r="H282" s="76"/>
      <c r="I282" s="76"/>
      <c r="J282" s="25"/>
      <c r="K282" s="25"/>
      <c r="L282" s="76"/>
      <c r="M282" s="25"/>
      <c r="N282" s="25"/>
      <c r="O282" s="74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</row>
    <row r="283">
      <c r="A283" s="25"/>
      <c r="B283" s="25"/>
      <c r="C283" s="25"/>
      <c r="D283" s="25"/>
      <c r="E283" s="25"/>
      <c r="F283" s="74"/>
      <c r="G283" s="76"/>
      <c r="H283" s="76"/>
      <c r="I283" s="76"/>
      <c r="J283" s="25"/>
      <c r="K283" s="25"/>
      <c r="L283" s="76"/>
      <c r="M283" s="25"/>
      <c r="N283" s="25"/>
      <c r="O283" s="74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</row>
    <row r="284">
      <c r="A284" s="25"/>
      <c r="B284" s="25"/>
      <c r="C284" s="25"/>
      <c r="D284" s="25"/>
      <c r="E284" s="25"/>
      <c r="F284" s="74"/>
      <c r="G284" s="76"/>
      <c r="H284" s="76"/>
      <c r="I284" s="76"/>
      <c r="J284" s="25"/>
      <c r="K284" s="25"/>
      <c r="L284" s="76"/>
      <c r="M284" s="25"/>
      <c r="N284" s="25"/>
      <c r="O284" s="74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</row>
    <row r="285">
      <c r="A285" s="25"/>
      <c r="B285" s="25"/>
      <c r="C285" s="25"/>
      <c r="D285" s="25"/>
      <c r="E285" s="25"/>
      <c r="F285" s="74"/>
      <c r="G285" s="76"/>
      <c r="H285" s="76"/>
      <c r="I285" s="76"/>
      <c r="J285" s="25"/>
      <c r="K285" s="25"/>
      <c r="L285" s="76"/>
      <c r="M285" s="25"/>
      <c r="N285" s="25"/>
      <c r="O285" s="74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</row>
    <row r="286">
      <c r="A286" s="25"/>
      <c r="B286" s="25"/>
      <c r="C286" s="25"/>
      <c r="D286" s="25"/>
      <c r="E286" s="25"/>
      <c r="F286" s="74"/>
      <c r="G286" s="76"/>
      <c r="H286" s="76"/>
      <c r="I286" s="76"/>
      <c r="J286" s="25"/>
      <c r="K286" s="25"/>
      <c r="L286" s="76"/>
      <c r="M286" s="25"/>
      <c r="N286" s="25"/>
      <c r="O286" s="74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</row>
    <row r="287">
      <c r="A287" s="25"/>
      <c r="B287" s="25"/>
      <c r="C287" s="25"/>
      <c r="D287" s="25"/>
      <c r="E287" s="25"/>
      <c r="F287" s="74"/>
      <c r="G287" s="76"/>
      <c r="H287" s="76"/>
      <c r="I287" s="76"/>
      <c r="J287" s="25"/>
      <c r="K287" s="25"/>
      <c r="L287" s="76"/>
      <c r="M287" s="25"/>
      <c r="N287" s="25"/>
      <c r="O287" s="74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</row>
    <row r="288">
      <c r="A288" s="25"/>
      <c r="B288" s="25"/>
      <c r="C288" s="25"/>
      <c r="D288" s="25"/>
      <c r="E288" s="25"/>
      <c r="F288" s="74"/>
      <c r="G288" s="76"/>
      <c r="H288" s="76"/>
      <c r="I288" s="76"/>
      <c r="J288" s="25"/>
      <c r="K288" s="25"/>
      <c r="L288" s="76"/>
      <c r="M288" s="25"/>
      <c r="N288" s="25"/>
      <c r="O288" s="74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</row>
    <row r="289">
      <c r="A289" s="25"/>
      <c r="B289" s="25"/>
      <c r="C289" s="25"/>
      <c r="D289" s="25"/>
      <c r="E289" s="25"/>
      <c r="F289" s="74"/>
      <c r="G289" s="76"/>
      <c r="H289" s="76"/>
      <c r="I289" s="76"/>
      <c r="J289" s="25"/>
      <c r="K289" s="25"/>
      <c r="L289" s="76"/>
      <c r="M289" s="25"/>
      <c r="N289" s="25"/>
      <c r="O289" s="74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</row>
    <row r="290">
      <c r="A290" s="25"/>
      <c r="B290" s="25"/>
      <c r="C290" s="25"/>
      <c r="D290" s="25"/>
      <c r="E290" s="25"/>
      <c r="F290" s="74"/>
      <c r="G290" s="76"/>
      <c r="H290" s="76"/>
      <c r="I290" s="76"/>
      <c r="J290" s="25"/>
      <c r="K290" s="25"/>
      <c r="L290" s="76"/>
      <c r="M290" s="25"/>
      <c r="N290" s="25"/>
      <c r="O290" s="74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</row>
    <row r="291">
      <c r="A291" s="25"/>
      <c r="B291" s="25"/>
      <c r="C291" s="25"/>
      <c r="D291" s="25"/>
      <c r="E291" s="25"/>
      <c r="F291" s="74"/>
      <c r="G291" s="76"/>
      <c r="H291" s="76"/>
      <c r="I291" s="76"/>
      <c r="J291" s="25"/>
      <c r="K291" s="25"/>
      <c r="L291" s="76"/>
      <c r="M291" s="25"/>
      <c r="N291" s="25"/>
      <c r="O291" s="74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</row>
    <row r="292">
      <c r="A292" s="25"/>
      <c r="B292" s="25"/>
      <c r="C292" s="25"/>
      <c r="D292" s="25"/>
      <c r="E292" s="25"/>
      <c r="F292" s="74"/>
      <c r="G292" s="76"/>
      <c r="H292" s="76"/>
      <c r="I292" s="76"/>
      <c r="J292" s="25"/>
      <c r="K292" s="25"/>
      <c r="L292" s="76"/>
      <c r="M292" s="25"/>
      <c r="N292" s="25"/>
      <c r="O292" s="74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</row>
    <row r="293">
      <c r="A293" s="25"/>
      <c r="B293" s="25"/>
      <c r="C293" s="25"/>
      <c r="D293" s="25"/>
      <c r="E293" s="25"/>
      <c r="F293" s="74"/>
      <c r="G293" s="76"/>
      <c r="H293" s="76"/>
      <c r="I293" s="76"/>
      <c r="J293" s="25"/>
      <c r="K293" s="25"/>
      <c r="L293" s="76"/>
      <c r="M293" s="25"/>
      <c r="N293" s="25"/>
      <c r="O293" s="74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</row>
    <row r="294">
      <c r="A294" s="25"/>
      <c r="B294" s="25"/>
      <c r="C294" s="25"/>
      <c r="D294" s="25"/>
      <c r="E294" s="25"/>
      <c r="F294" s="74"/>
      <c r="G294" s="76"/>
      <c r="H294" s="76"/>
      <c r="I294" s="76"/>
      <c r="J294" s="25"/>
      <c r="K294" s="25"/>
      <c r="L294" s="76"/>
      <c r="M294" s="25"/>
      <c r="N294" s="25"/>
      <c r="O294" s="74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</row>
    <row r="295">
      <c r="A295" s="25"/>
      <c r="B295" s="25"/>
      <c r="C295" s="25"/>
      <c r="D295" s="25"/>
      <c r="E295" s="25"/>
      <c r="F295" s="74"/>
      <c r="G295" s="76"/>
      <c r="H295" s="76"/>
      <c r="I295" s="76"/>
      <c r="J295" s="25"/>
      <c r="K295" s="25"/>
      <c r="L295" s="76"/>
      <c r="M295" s="25"/>
      <c r="N295" s="25"/>
      <c r="O295" s="74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</row>
    <row r="296">
      <c r="A296" s="25"/>
      <c r="B296" s="25"/>
      <c r="C296" s="25"/>
      <c r="D296" s="25"/>
      <c r="E296" s="25"/>
      <c r="F296" s="74"/>
      <c r="G296" s="76"/>
      <c r="H296" s="76"/>
      <c r="I296" s="76"/>
      <c r="J296" s="25"/>
      <c r="K296" s="25"/>
      <c r="L296" s="76"/>
      <c r="M296" s="25"/>
      <c r="N296" s="25"/>
      <c r="O296" s="74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</row>
    <row r="297">
      <c r="A297" s="25"/>
      <c r="B297" s="25"/>
      <c r="C297" s="25"/>
      <c r="D297" s="25"/>
      <c r="E297" s="25"/>
      <c r="F297" s="74"/>
      <c r="G297" s="76"/>
      <c r="H297" s="76"/>
      <c r="I297" s="76"/>
      <c r="J297" s="25"/>
      <c r="K297" s="25"/>
      <c r="L297" s="76"/>
      <c r="M297" s="25"/>
      <c r="N297" s="25"/>
      <c r="O297" s="74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</row>
    <row r="298">
      <c r="A298" s="25"/>
      <c r="B298" s="25"/>
      <c r="C298" s="25"/>
      <c r="D298" s="25"/>
      <c r="E298" s="25"/>
      <c r="F298" s="74"/>
      <c r="G298" s="76"/>
      <c r="H298" s="76"/>
      <c r="I298" s="76"/>
      <c r="J298" s="25"/>
      <c r="K298" s="25"/>
      <c r="L298" s="76"/>
      <c r="M298" s="25"/>
      <c r="N298" s="25"/>
      <c r="O298" s="74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</row>
    <row r="299">
      <c r="A299" s="25"/>
      <c r="B299" s="25"/>
      <c r="C299" s="25"/>
      <c r="D299" s="25"/>
      <c r="E299" s="25"/>
      <c r="F299" s="74"/>
      <c r="G299" s="76"/>
      <c r="H299" s="76"/>
      <c r="I299" s="76"/>
      <c r="J299" s="25"/>
      <c r="K299" s="25"/>
      <c r="L299" s="76"/>
      <c r="M299" s="25"/>
      <c r="N299" s="25"/>
      <c r="O299" s="74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</row>
    <row r="300">
      <c r="A300" s="25"/>
      <c r="B300" s="25"/>
      <c r="C300" s="25"/>
      <c r="D300" s="25"/>
      <c r="E300" s="25"/>
      <c r="F300" s="74"/>
      <c r="G300" s="76"/>
      <c r="H300" s="76"/>
      <c r="I300" s="76"/>
      <c r="J300" s="25"/>
      <c r="K300" s="25"/>
      <c r="L300" s="76"/>
      <c r="M300" s="25"/>
      <c r="N300" s="25"/>
      <c r="O300" s="74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</row>
    <row r="301">
      <c r="A301" s="25"/>
      <c r="B301" s="25"/>
      <c r="C301" s="25"/>
      <c r="D301" s="25"/>
      <c r="E301" s="25"/>
      <c r="F301" s="74"/>
      <c r="G301" s="76"/>
      <c r="H301" s="76"/>
      <c r="I301" s="76"/>
      <c r="J301" s="25"/>
      <c r="K301" s="25"/>
      <c r="L301" s="76"/>
      <c r="M301" s="25"/>
      <c r="N301" s="25"/>
      <c r="O301" s="74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</row>
    <row r="302">
      <c r="A302" s="25"/>
      <c r="B302" s="25"/>
      <c r="C302" s="25"/>
      <c r="D302" s="25"/>
      <c r="E302" s="25"/>
      <c r="F302" s="74"/>
      <c r="G302" s="76"/>
      <c r="H302" s="76"/>
      <c r="I302" s="76"/>
      <c r="J302" s="25"/>
      <c r="K302" s="25"/>
      <c r="L302" s="76"/>
      <c r="M302" s="25"/>
      <c r="N302" s="25"/>
      <c r="O302" s="74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</row>
    <row r="303">
      <c r="A303" s="25"/>
      <c r="B303" s="25"/>
      <c r="C303" s="25"/>
      <c r="D303" s="25"/>
      <c r="E303" s="25"/>
      <c r="F303" s="74"/>
      <c r="G303" s="76"/>
      <c r="H303" s="76"/>
      <c r="I303" s="76"/>
      <c r="J303" s="25"/>
      <c r="K303" s="25"/>
      <c r="L303" s="76"/>
      <c r="M303" s="25"/>
      <c r="N303" s="25"/>
      <c r="O303" s="74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</row>
    <row r="304">
      <c r="A304" s="25"/>
      <c r="B304" s="25"/>
      <c r="C304" s="25"/>
      <c r="D304" s="25"/>
      <c r="E304" s="25"/>
      <c r="F304" s="74"/>
      <c r="G304" s="76"/>
      <c r="H304" s="76"/>
      <c r="I304" s="76"/>
      <c r="J304" s="25"/>
      <c r="K304" s="25"/>
      <c r="L304" s="76"/>
      <c r="M304" s="25"/>
      <c r="N304" s="25"/>
      <c r="O304" s="74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</row>
    <row r="305">
      <c r="A305" s="25"/>
      <c r="B305" s="25"/>
      <c r="C305" s="25"/>
      <c r="D305" s="25"/>
      <c r="E305" s="25"/>
      <c r="F305" s="74"/>
      <c r="G305" s="76"/>
      <c r="H305" s="76"/>
      <c r="I305" s="76"/>
      <c r="J305" s="25"/>
      <c r="K305" s="25"/>
      <c r="L305" s="76"/>
      <c r="M305" s="25"/>
      <c r="N305" s="25"/>
      <c r="O305" s="74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</row>
    <row r="306">
      <c r="A306" s="25"/>
      <c r="B306" s="25"/>
      <c r="C306" s="25"/>
      <c r="D306" s="25"/>
      <c r="E306" s="25"/>
      <c r="F306" s="74"/>
      <c r="G306" s="76"/>
      <c r="H306" s="76"/>
      <c r="I306" s="76"/>
      <c r="J306" s="25"/>
      <c r="K306" s="25"/>
      <c r="L306" s="76"/>
      <c r="M306" s="25"/>
      <c r="N306" s="25"/>
      <c r="O306" s="74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</row>
    <row r="307">
      <c r="A307" s="25"/>
      <c r="B307" s="25"/>
      <c r="C307" s="25"/>
      <c r="D307" s="25"/>
      <c r="E307" s="25"/>
      <c r="F307" s="74"/>
      <c r="G307" s="76"/>
      <c r="H307" s="76"/>
      <c r="I307" s="76"/>
      <c r="J307" s="25"/>
      <c r="K307" s="25"/>
      <c r="L307" s="76"/>
      <c r="M307" s="25"/>
      <c r="N307" s="25"/>
      <c r="O307" s="74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</row>
    <row r="308">
      <c r="A308" s="25"/>
      <c r="B308" s="25"/>
      <c r="C308" s="25"/>
      <c r="D308" s="25"/>
      <c r="E308" s="25"/>
      <c r="F308" s="74"/>
      <c r="G308" s="76"/>
      <c r="H308" s="76"/>
      <c r="I308" s="76"/>
      <c r="J308" s="25"/>
      <c r="K308" s="25"/>
      <c r="L308" s="76"/>
      <c r="M308" s="25"/>
      <c r="N308" s="25"/>
      <c r="O308" s="74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</row>
    <row r="309">
      <c r="A309" s="25"/>
      <c r="B309" s="25"/>
      <c r="C309" s="25"/>
      <c r="D309" s="25"/>
      <c r="E309" s="25"/>
      <c r="F309" s="74"/>
      <c r="G309" s="76"/>
      <c r="H309" s="76"/>
      <c r="I309" s="76"/>
      <c r="J309" s="25"/>
      <c r="K309" s="25"/>
      <c r="L309" s="76"/>
      <c r="M309" s="25"/>
      <c r="N309" s="25"/>
      <c r="O309" s="74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</row>
    <row r="310">
      <c r="A310" s="25"/>
      <c r="B310" s="25"/>
      <c r="C310" s="25"/>
      <c r="D310" s="25"/>
      <c r="E310" s="25"/>
      <c r="F310" s="74"/>
      <c r="G310" s="76"/>
      <c r="H310" s="76"/>
      <c r="I310" s="76"/>
      <c r="J310" s="25"/>
      <c r="K310" s="25"/>
      <c r="L310" s="76"/>
      <c r="M310" s="25"/>
      <c r="N310" s="25"/>
      <c r="O310" s="74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</row>
    <row r="311">
      <c r="A311" s="25"/>
      <c r="B311" s="25"/>
      <c r="C311" s="25"/>
      <c r="D311" s="25"/>
      <c r="E311" s="25"/>
      <c r="F311" s="74"/>
      <c r="G311" s="76"/>
      <c r="H311" s="76"/>
      <c r="I311" s="76"/>
      <c r="J311" s="25"/>
      <c r="K311" s="25"/>
      <c r="L311" s="76"/>
      <c r="M311" s="25"/>
      <c r="N311" s="25"/>
      <c r="O311" s="74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</row>
    <row r="312">
      <c r="A312" s="25"/>
      <c r="B312" s="25"/>
      <c r="C312" s="25"/>
      <c r="D312" s="25"/>
      <c r="E312" s="25"/>
      <c r="F312" s="74"/>
      <c r="G312" s="76"/>
      <c r="H312" s="76"/>
      <c r="I312" s="76"/>
      <c r="J312" s="25"/>
      <c r="K312" s="25"/>
      <c r="L312" s="76"/>
      <c r="M312" s="25"/>
      <c r="N312" s="25"/>
      <c r="O312" s="74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</row>
    <row r="313">
      <c r="A313" s="25"/>
      <c r="B313" s="25"/>
      <c r="C313" s="25"/>
      <c r="D313" s="25"/>
      <c r="E313" s="25"/>
      <c r="F313" s="74"/>
      <c r="G313" s="76"/>
      <c r="H313" s="76"/>
      <c r="I313" s="76"/>
      <c r="J313" s="25"/>
      <c r="K313" s="25"/>
      <c r="L313" s="76"/>
      <c r="M313" s="25"/>
      <c r="N313" s="25"/>
      <c r="O313" s="74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</row>
    <row r="314">
      <c r="A314" s="25"/>
      <c r="B314" s="25"/>
      <c r="C314" s="25"/>
      <c r="D314" s="25"/>
      <c r="E314" s="25"/>
      <c r="F314" s="74"/>
      <c r="G314" s="76"/>
      <c r="H314" s="76"/>
      <c r="I314" s="76"/>
      <c r="J314" s="25"/>
      <c r="K314" s="25"/>
      <c r="L314" s="76"/>
      <c r="M314" s="25"/>
      <c r="N314" s="25"/>
      <c r="O314" s="74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</row>
    <row r="315">
      <c r="A315" s="25"/>
      <c r="B315" s="25"/>
      <c r="C315" s="25"/>
      <c r="D315" s="25"/>
      <c r="E315" s="25"/>
      <c r="F315" s="74"/>
      <c r="G315" s="76"/>
      <c r="H315" s="76"/>
      <c r="I315" s="76"/>
      <c r="J315" s="25"/>
      <c r="K315" s="25"/>
      <c r="L315" s="76"/>
      <c r="M315" s="25"/>
      <c r="N315" s="25"/>
      <c r="O315" s="74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</row>
    <row r="316">
      <c r="A316" s="25"/>
      <c r="B316" s="25"/>
      <c r="C316" s="25"/>
      <c r="D316" s="25"/>
      <c r="E316" s="25"/>
      <c r="F316" s="74"/>
      <c r="G316" s="76"/>
      <c r="H316" s="76"/>
      <c r="I316" s="76"/>
      <c r="J316" s="25"/>
      <c r="K316" s="25"/>
      <c r="L316" s="76"/>
      <c r="M316" s="25"/>
      <c r="N316" s="25"/>
      <c r="O316" s="74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</row>
    <row r="317">
      <c r="A317" s="25"/>
      <c r="B317" s="25"/>
      <c r="C317" s="25"/>
      <c r="D317" s="25"/>
      <c r="E317" s="25"/>
      <c r="F317" s="74"/>
      <c r="G317" s="76"/>
      <c r="H317" s="76"/>
      <c r="I317" s="76"/>
      <c r="J317" s="25"/>
      <c r="K317" s="25"/>
      <c r="L317" s="76"/>
      <c r="M317" s="25"/>
      <c r="N317" s="25"/>
      <c r="O317" s="74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</row>
    <row r="318">
      <c r="A318" s="25"/>
      <c r="B318" s="25"/>
      <c r="C318" s="25"/>
      <c r="D318" s="25"/>
      <c r="E318" s="25"/>
      <c r="F318" s="74"/>
      <c r="G318" s="76"/>
      <c r="H318" s="76"/>
      <c r="I318" s="76"/>
      <c r="J318" s="25"/>
      <c r="K318" s="25"/>
      <c r="L318" s="76"/>
      <c r="M318" s="25"/>
      <c r="N318" s="25"/>
      <c r="O318" s="74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</row>
    <row r="319">
      <c r="A319" s="25"/>
      <c r="B319" s="25"/>
      <c r="C319" s="25"/>
      <c r="D319" s="25"/>
      <c r="E319" s="25"/>
      <c r="F319" s="74"/>
      <c r="G319" s="76"/>
      <c r="H319" s="76"/>
      <c r="I319" s="76"/>
      <c r="J319" s="25"/>
      <c r="K319" s="25"/>
      <c r="L319" s="76"/>
      <c r="M319" s="25"/>
      <c r="N319" s="25"/>
      <c r="O319" s="74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</row>
    <row r="320">
      <c r="A320" s="25"/>
      <c r="B320" s="25"/>
      <c r="C320" s="25"/>
      <c r="D320" s="25"/>
      <c r="E320" s="25"/>
      <c r="F320" s="74"/>
      <c r="G320" s="76"/>
      <c r="H320" s="76"/>
      <c r="I320" s="76"/>
      <c r="J320" s="25"/>
      <c r="K320" s="25"/>
      <c r="L320" s="76"/>
      <c r="M320" s="25"/>
      <c r="N320" s="25"/>
      <c r="O320" s="74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</row>
    <row r="321">
      <c r="A321" s="25"/>
      <c r="B321" s="25"/>
      <c r="C321" s="25"/>
      <c r="D321" s="25"/>
      <c r="E321" s="25"/>
      <c r="F321" s="74"/>
      <c r="G321" s="76"/>
      <c r="H321" s="76"/>
      <c r="I321" s="76"/>
      <c r="J321" s="25"/>
      <c r="K321" s="25"/>
      <c r="L321" s="76"/>
      <c r="M321" s="25"/>
      <c r="N321" s="25"/>
      <c r="O321" s="74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</row>
    <row r="322">
      <c r="A322" s="25"/>
      <c r="B322" s="25"/>
      <c r="C322" s="25"/>
      <c r="D322" s="25"/>
      <c r="E322" s="25"/>
      <c r="F322" s="74"/>
      <c r="G322" s="76"/>
      <c r="H322" s="76"/>
      <c r="I322" s="76"/>
      <c r="J322" s="25"/>
      <c r="K322" s="25"/>
      <c r="L322" s="76"/>
      <c r="M322" s="25"/>
      <c r="N322" s="25"/>
      <c r="O322" s="74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</row>
    <row r="323">
      <c r="A323" s="25"/>
      <c r="B323" s="25"/>
      <c r="C323" s="25"/>
      <c r="D323" s="25"/>
      <c r="E323" s="25"/>
      <c r="F323" s="74"/>
      <c r="G323" s="76"/>
      <c r="H323" s="76"/>
      <c r="I323" s="76"/>
      <c r="J323" s="25"/>
      <c r="K323" s="25"/>
      <c r="L323" s="76"/>
      <c r="M323" s="25"/>
      <c r="N323" s="25"/>
      <c r="O323" s="74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</row>
    <row r="324">
      <c r="A324" s="25"/>
      <c r="B324" s="25"/>
      <c r="C324" s="25"/>
      <c r="D324" s="25"/>
      <c r="E324" s="25"/>
      <c r="F324" s="74"/>
      <c r="G324" s="76"/>
      <c r="H324" s="76"/>
      <c r="I324" s="76"/>
      <c r="J324" s="25"/>
      <c r="K324" s="25"/>
      <c r="L324" s="76"/>
      <c r="M324" s="25"/>
      <c r="N324" s="25"/>
      <c r="O324" s="74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</row>
    <row r="325">
      <c r="A325" s="25"/>
      <c r="B325" s="25"/>
      <c r="C325" s="25"/>
      <c r="D325" s="25"/>
      <c r="E325" s="25"/>
      <c r="F325" s="74"/>
      <c r="G325" s="76"/>
      <c r="H325" s="76"/>
      <c r="I325" s="76"/>
      <c r="J325" s="25"/>
      <c r="K325" s="25"/>
      <c r="L325" s="76"/>
      <c r="M325" s="25"/>
      <c r="N325" s="25"/>
      <c r="O325" s="74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</row>
    <row r="326">
      <c r="A326" s="25"/>
      <c r="B326" s="25"/>
      <c r="C326" s="25"/>
      <c r="D326" s="25"/>
      <c r="E326" s="25"/>
      <c r="F326" s="74"/>
      <c r="G326" s="76"/>
      <c r="H326" s="76"/>
      <c r="I326" s="76"/>
      <c r="J326" s="25"/>
      <c r="K326" s="25"/>
      <c r="L326" s="76"/>
      <c r="M326" s="25"/>
      <c r="N326" s="25"/>
      <c r="O326" s="74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</row>
    <row r="327">
      <c r="A327" s="25"/>
      <c r="B327" s="25"/>
      <c r="C327" s="25"/>
      <c r="D327" s="25"/>
      <c r="E327" s="25"/>
      <c r="F327" s="74"/>
      <c r="G327" s="76"/>
      <c r="H327" s="76"/>
      <c r="I327" s="76"/>
      <c r="J327" s="25"/>
      <c r="K327" s="25"/>
      <c r="L327" s="76"/>
      <c r="M327" s="25"/>
      <c r="N327" s="25"/>
      <c r="O327" s="74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</row>
    <row r="328">
      <c r="A328" s="25"/>
      <c r="B328" s="25"/>
      <c r="C328" s="25"/>
      <c r="D328" s="25"/>
      <c r="E328" s="25"/>
      <c r="F328" s="74"/>
      <c r="G328" s="76"/>
      <c r="H328" s="76"/>
      <c r="I328" s="76"/>
      <c r="J328" s="25"/>
      <c r="K328" s="25"/>
      <c r="L328" s="76"/>
      <c r="M328" s="25"/>
      <c r="N328" s="25"/>
      <c r="O328" s="74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</row>
    <row r="329">
      <c r="A329" s="25"/>
      <c r="B329" s="25"/>
      <c r="C329" s="25"/>
      <c r="D329" s="25"/>
      <c r="E329" s="25"/>
      <c r="F329" s="74"/>
      <c r="G329" s="76"/>
      <c r="H329" s="76"/>
      <c r="I329" s="76"/>
      <c r="J329" s="25"/>
      <c r="K329" s="25"/>
      <c r="L329" s="76"/>
      <c r="M329" s="25"/>
      <c r="N329" s="25"/>
      <c r="O329" s="74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</row>
    <row r="330">
      <c r="A330" s="25"/>
      <c r="B330" s="25"/>
      <c r="C330" s="25"/>
      <c r="D330" s="25"/>
      <c r="E330" s="25"/>
      <c r="F330" s="74"/>
      <c r="G330" s="76"/>
      <c r="H330" s="76"/>
      <c r="I330" s="76"/>
      <c r="J330" s="25"/>
      <c r="K330" s="25"/>
      <c r="L330" s="76"/>
      <c r="M330" s="25"/>
      <c r="N330" s="25"/>
      <c r="O330" s="74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</row>
    <row r="331">
      <c r="A331" s="25"/>
      <c r="B331" s="25"/>
      <c r="C331" s="25"/>
      <c r="D331" s="25"/>
      <c r="E331" s="25"/>
      <c r="F331" s="74"/>
      <c r="G331" s="76"/>
      <c r="H331" s="76"/>
      <c r="I331" s="76"/>
      <c r="J331" s="25"/>
      <c r="K331" s="25"/>
      <c r="L331" s="76"/>
      <c r="M331" s="25"/>
      <c r="N331" s="25"/>
      <c r="O331" s="74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</row>
    <row r="332">
      <c r="A332" s="25"/>
      <c r="B332" s="25"/>
      <c r="C332" s="25"/>
      <c r="D332" s="25"/>
      <c r="E332" s="25"/>
      <c r="F332" s="74"/>
      <c r="G332" s="76"/>
      <c r="H332" s="76"/>
      <c r="I332" s="76"/>
      <c r="J332" s="25"/>
      <c r="K332" s="25"/>
      <c r="L332" s="76"/>
      <c r="M332" s="25"/>
      <c r="N332" s="25"/>
      <c r="O332" s="74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</row>
    <row r="333">
      <c r="A333" s="25"/>
      <c r="B333" s="25"/>
      <c r="C333" s="25"/>
      <c r="D333" s="25"/>
      <c r="E333" s="25"/>
      <c r="F333" s="74"/>
      <c r="G333" s="76"/>
      <c r="H333" s="76"/>
      <c r="I333" s="76"/>
      <c r="J333" s="25"/>
      <c r="K333" s="25"/>
      <c r="L333" s="76"/>
      <c r="M333" s="25"/>
      <c r="N333" s="25"/>
      <c r="O333" s="74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</row>
    <row r="334">
      <c r="A334" s="25"/>
      <c r="B334" s="25"/>
      <c r="C334" s="25"/>
      <c r="D334" s="25"/>
      <c r="E334" s="25"/>
      <c r="F334" s="74"/>
      <c r="G334" s="76"/>
      <c r="H334" s="76"/>
      <c r="I334" s="76"/>
      <c r="J334" s="25"/>
      <c r="K334" s="25"/>
      <c r="L334" s="76"/>
      <c r="M334" s="25"/>
      <c r="N334" s="25"/>
      <c r="O334" s="74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</row>
    <row r="335">
      <c r="A335" s="25"/>
      <c r="B335" s="25"/>
      <c r="C335" s="25"/>
      <c r="D335" s="25"/>
      <c r="E335" s="25"/>
      <c r="F335" s="74"/>
      <c r="G335" s="76"/>
      <c r="H335" s="76"/>
      <c r="I335" s="76"/>
      <c r="J335" s="25"/>
      <c r="K335" s="25"/>
      <c r="L335" s="76"/>
      <c r="M335" s="25"/>
      <c r="N335" s="25"/>
      <c r="O335" s="74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</row>
    <row r="336">
      <c r="A336" s="25"/>
      <c r="B336" s="25"/>
      <c r="C336" s="25"/>
      <c r="D336" s="25"/>
      <c r="E336" s="25"/>
      <c r="F336" s="74"/>
      <c r="G336" s="76"/>
      <c r="H336" s="76"/>
      <c r="I336" s="76"/>
      <c r="J336" s="25"/>
      <c r="K336" s="25"/>
      <c r="L336" s="76"/>
      <c r="M336" s="25"/>
      <c r="N336" s="25"/>
      <c r="O336" s="74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</row>
    <row r="337">
      <c r="A337" s="25"/>
      <c r="B337" s="25"/>
      <c r="C337" s="25"/>
      <c r="D337" s="25"/>
      <c r="E337" s="25"/>
      <c r="F337" s="74"/>
      <c r="G337" s="76"/>
      <c r="H337" s="76"/>
      <c r="I337" s="76"/>
      <c r="J337" s="25"/>
      <c r="K337" s="25"/>
      <c r="L337" s="76"/>
      <c r="M337" s="25"/>
      <c r="N337" s="25"/>
      <c r="O337" s="74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</row>
    <row r="338">
      <c r="A338" s="25"/>
      <c r="B338" s="25"/>
      <c r="C338" s="25"/>
      <c r="D338" s="25"/>
      <c r="E338" s="25"/>
      <c r="F338" s="74"/>
      <c r="G338" s="76"/>
      <c r="H338" s="76"/>
      <c r="I338" s="76"/>
      <c r="J338" s="25"/>
      <c r="K338" s="25"/>
      <c r="L338" s="76"/>
      <c r="M338" s="25"/>
      <c r="N338" s="25"/>
      <c r="O338" s="74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</row>
    <row r="339">
      <c r="A339" s="25"/>
      <c r="B339" s="25"/>
      <c r="C339" s="25"/>
      <c r="D339" s="25"/>
      <c r="E339" s="25"/>
      <c r="F339" s="74"/>
      <c r="G339" s="76"/>
      <c r="H339" s="76"/>
      <c r="I339" s="76"/>
      <c r="J339" s="25"/>
      <c r="K339" s="25"/>
      <c r="L339" s="76"/>
      <c r="M339" s="25"/>
      <c r="N339" s="25"/>
      <c r="O339" s="74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</row>
    <row r="340">
      <c r="A340" s="25"/>
      <c r="B340" s="25"/>
      <c r="C340" s="25"/>
      <c r="D340" s="25"/>
      <c r="E340" s="25"/>
      <c r="F340" s="74"/>
      <c r="G340" s="76"/>
      <c r="H340" s="76"/>
      <c r="I340" s="76"/>
      <c r="J340" s="25"/>
      <c r="K340" s="25"/>
      <c r="L340" s="76"/>
      <c r="M340" s="25"/>
      <c r="N340" s="25"/>
      <c r="O340" s="74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</row>
    <row r="341">
      <c r="A341" s="25"/>
      <c r="B341" s="25"/>
      <c r="C341" s="25"/>
      <c r="D341" s="25"/>
      <c r="E341" s="25"/>
      <c r="F341" s="74"/>
      <c r="G341" s="76"/>
      <c r="H341" s="76"/>
      <c r="I341" s="76"/>
      <c r="J341" s="25"/>
      <c r="K341" s="25"/>
      <c r="L341" s="76"/>
      <c r="M341" s="25"/>
      <c r="N341" s="25"/>
      <c r="O341" s="74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</row>
    <row r="342">
      <c r="A342" s="25"/>
      <c r="B342" s="25"/>
      <c r="C342" s="25"/>
      <c r="D342" s="25"/>
      <c r="E342" s="25"/>
      <c r="F342" s="74"/>
      <c r="G342" s="76"/>
      <c r="H342" s="76"/>
      <c r="I342" s="76"/>
      <c r="J342" s="25"/>
      <c r="K342" s="25"/>
      <c r="L342" s="76"/>
      <c r="M342" s="25"/>
      <c r="N342" s="25"/>
      <c r="O342" s="74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</row>
    <row r="343">
      <c r="A343" s="25"/>
      <c r="B343" s="25"/>
      <c r="C343" s="25"/>
      <c r="D343" s="25"/>
      <c r="E343" s="25"/>
      <c r="F343" s="74"/>
      <c r="G343" s="76"/>
      <c r="H343" s="76"/>
      <c r="I343" s="76"/>
      <c r="J343" s="25"/>
      <c r="K343" s="25"/>
      <c r="L343" s="76"/>
      <c r="M343" s="25"/>
      <c r="N343" s="25"/>
      <c r="O343" s="74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</row>
    <row r="344">
      <c r="A344" s="25"/>
      <c r="B344" s="25"/>
      <c r="C344" s="25"/>
      <c r="D344" s="25"/>
      <c r="E344" s="25"/>
      <c r="F344" s="74"/>
      <c r="G344" s="76"/>
      <c r="H344" s="76"/>
      <c r="I344" s="76"/>
      <c r="J344" s="25"/>
      <c r="K344" s="25"/>
      <c r="L344" s="76"/>
      <c r="M344" s="25"/>
      <c r="N344" s="25"/>
      <c r="O344" s="74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</row>
    <row r="345">
      <c r="A345" s="25"/>
      <c r="B345" s="25"/>
      <c r="C345" s="25"/>
      <c r="D345" s="25"/>
      <c r="E345" s="25"/>
      <c r="F345" s="74"/>
      <c r="G345" s="76"/>
      <c r="H345" s="76"/>
      <c r="I345" s="76"/>
      <c r="J345" s="25"/>
      <c r="K345" s="25"/>
      <c r="L345" s="76"/>
      <c r="M345" s="25"/>
      <c r="N345" s="25"/>
      <c r="O345" s="74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</row>
    <row r="346">
      <c r="A346" s="25"/>
      <c r="B346" s="25"/>
      <c r="C346" s="25"/>
      <c r="D346" s="25"/>
      <c r="E346" s="25"/>
      <c r="F346" s="74"/>
      <c r="G346" s="76"/>
      <c r="H346" s="76"/>
      <c r="I346" s="76"/>
      <c r="J346" s="25"/>
      <c r="K346" s="25"/>
      <c r="L346" s="76"/>
      <c r="M346" s="25"/>
      <c r="N346" s="25"/>
      <c r="O346" s="74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</row>
    <row r="347">
      <c r="A347" s="25"/>
      <c r="B347" s="25"/>
      <c r="C347" s="25"/>
      <c r="D347" s="25"/>
      <c r="E347" s="25"/>
      <c r="F347" s="74"/>
      <c r="G347" s="76"/>
      <c r="H347" s="76"/>
      <c r="I347" s="76"/>
      <c r="J347" s="25"/>
      <c r="K347" s="25"/>
      <c r="L347" s="76"/>
      <c r="M347" s="25"/>
      <c r="N347" s="25"/>
      <c r="O347" s="74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</row>
    <row r="348">
      <c r="A348" s="25"/>
      <c r="B348" s="25"/>
      <c r="C348" s="25"/>
      <c r="D348" s="25"/>
      <c r="E348" s="25"/>
      <c r="F348" s="74"/>
      <c r="G348" s="76"/>
      <c r="H348" s="76"/>
      <c r="I348" s="76"/>
      <c r="J348" s="25"/>
      <c r="K348" s="25"/>
      <c r="L348" s="76"/>
      <c r="M348" s="25"/>
      <c r="N348" s="25"/>
      <c r="O348" s="74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</row>
    <row r="349">
      <c r="A349" s="25"/>
      <c r="B349" s="25"/>
      <c r="C349" s="25"/>
      <c r="D349" s="25"/>
      <c r="E349" s="25"/>
      <c r="F349" s="74"/>
      <c r="G349" s="76"/>
      <c r="H349" s="76"/>
      <c r="I349" s="76"/>
      <c r="J349" s="25"/>
      <c r="K349" s="25"/>
      <c r="L349" s="76"/>
      <c r="M349" s="25"/>
      <c r="N349" s="25"/>
      <c r="O349" s="74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</row>
    <row r="350">
      <c r="A350" s="25"/>
      <c r="B350" s="25"/>
      <c r="C350" s="25"/>
      <c r="D350" s="25"/>
      <c r="E350" s="25"/>
      <c r="F350" s="74"/>
      <c r="G350" s="76"/>
      <c r="H350" s="76"/>
      <c r="I350" s="76"/>
      <c r="J350" s="25"/>
      <c r="K350" s="25"/>
      <c r="L350" s="76"/>
      <c r="M350" s="25"/>
      <c r="N350" s="25"/>
      <c r="O350" s="74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</row>
    <row r="351">
      <c r="A351" s="25"/>
      <c r="B351" s="25"/>
      <c r="C351" s="25"/>
      <c r="D351" s="25"/>
      <c r="E351" s="25"/>
      <c r="F351" s="74"/>
      <c r="G351" s="76"/>
      <c r="H351" s="76"/>
      <c r="I351" s="76"/>
      <c r="J351" s="25"/>
      <c r="K351" s="25"/>
      <c r="L351" s="76"/>
      <c r="M351" s="25"/>
      <c r="N351" s="25"/>
      <c r="O351" s="74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</row>
    <row r="352">
      <c r="A352" s="25"/>
      <c r="B352" s="25"/>
      <c r="C352" s="25"/>
      <c r="D352" s="25"/>
      <c r="E352" s="25"/>
      <c r="F352" s="74"/>
      <c r="G352" s="76"/>
      <c r="H352" s="76"/>
      <c r="I352" s="76"/>
      <c r="J352" s="25"/>
      <c r="K352" s="25"/>
      <c r="L352" s="76"/>
      <c r="M352" s="25"/>
      <c r="N352" s="25"/>
      <c r="O352" s="74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</row>
    <row r="353">
      <c r="A353" s="25"/>
      <c r="B353" s="25"/>
      <c r="C353" s="25"/>
      <c r="D353" s="25"/>
      <c r="E353" s="25"/>
      <c r="F353" s="74"/>
      <c r="G353" s="76"/>
      <c r="H353" s="76"/>
      <c r="I353" s="76"/>
      <c r="J353" s="25"/>
      <c r="K353" s="25"/>
      <c r="L353" s="76"/>
      <c r="M353" s="25"/>
      <c r="N353" s="25"/>
      <c r="O353" s="74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</row>
    <row r="354">
      <c r="A354" s="25"/>
      <c r="B354" s="25"/>
      <c r="C354" s="25"/>
      <c r="D354" s="25"/>
      <c r="E354" s="25"/>
      <c r="F354" s="74"/>
      <c r="G354" s="76"/>
      <c r="H354" s="76"/>
      <c r="I354" s="76"/>
      <c r="J354" s="25"/>
      <c r="K354" s="25"/>
      <c r="L354" s="76"/>
      <c r="M354" s="25"/>
      <c r="N354" s="25"/>
      <c r="O354" s="74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</row>
    <row r="355">
      <c r="A355" s="25"/>
      <c r="B355" s="25"/>
      <c r="C355" s="25"/>
      <c r="D355" s="25"/>
      <c r="E355" s="25"/>
      <c r="F355" s="74"/>
      <c r="G355" s="76"/>
      <c r="H355" s="76"/>
      <c r="I355" s="76"/>
      <c r="J355" s="25"/>
      <c r="K355" s="25"/>
      <c r="L355" s="76"/>
      <c r="M355" s="25"/>
      <c r="N355" s="25"/>
      <c r="O355" s="74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</row>
    <row r="356">
      <c r="A356" s="25"/>
      <c r="B356" s="25"/>
      <c r="C356" s="25"/>
      <c r="D356" s="25"/>
      <c r="E356" s="25"/>
      <c r="F356" s="74"/>
      <c r="G356" s="76"/>
      <c r="H356" s="76"/>
      <c r="I356" s="76"/>
      <c r="J356" s="25"/>
      <c r="K356" s="25"/>
      <c r="L356" s="76"/>
      <c r="M356" s="25"/>
      <c r="N356" s="25"/>
      <c r="O356" s="74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</row>
    <row r="357">
      <c r="A357" s="25"/>
      <c r="B357" s="25"/>
      <c r="C357" s="25"/>
      <c r="D357" s="25"/>
      <c r="E357" s="25"/>
      <c r="F357" s="74"/>
      <c r="G357" s="76"/>
      <c r="H357" s="76"/>
      <c r="I357" s="76"/>
      <c r="J357" s="25"/>
      <c r="K357" s="25"/>
      <c r="L357" s="76"/>
      <c r="M357" s="25"/>
      <c r="N357" s="25"/>
      <c r="O357" s="74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</row>
    <row r="358">
      <c r="A358" s="25"/>
      <c r="B358" s="25"/>
      <c r="C358" s="25"/>
      <c r="D358" s="25"/>
      <c r="E358" s="25"/>
      <c r="F358" s="74"/>
      <c r="G358" s="76"/>
      <c r="H358" s="76"/>
      <c r="I358" s="76"/>
      <c r="J358" s="25"/>
      <c r="K358" s="25"/>
      <c r="L358" s="76"/>
      <c r="M358" s="25"/>
      <c r="N358" s="25"/>
      <c r="O358" s="74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</row>
    <row r="359">
      <c r="A359" s="25"/>
      <c r="B359" s="25"/>
      <c r="C359" s="25"/>
      <c r="D359" s="25"/>
      <c r="E359" s="25"/>
      <c r="F359" s="74"/>
      <c r="G359" s="76"/>
      <c r="H359" s="76"/>
      <c r="I359" s="76"/>
      <c r="J359" s="25"/>
      <c r="K359" s="25"/>
      <c r="L359" s="76"/>
      <c r="M359" s="25"/>
      <c r="N359" s="25"/>
      <c r="O359" s="74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</row>
    <row r="360">
      <c r="A360" s="25"/>
      <c r="B360" s="25"/>
      <c r="C360" s="25"/>
      <c r="D360" s="25"/>
      <c r="E360" s="25"/>
      <c r="F360" s="74"/>
      <c r="G360" s="76"/>
      <c r="H360" s="76"/>
      <c r="I360" s="76"/>
      <c r="J360" s="25"/>
      <c r="K360" s="25"/>
      <c r="L360" s="76"/>
      <c r="M360" s="25"/>
      <c r="N360" s="25"/>
      <c r="O360" s="74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</row>
    <row r="361">
      <c r="A361" s="25"/>
      <c r="B361" s="25"/>
      <c r="C361" s="25"/>
      <c r="D361" s="25"/>
      <c r="E361" s="25"/>
      <c r="F361" s="74"/>
      <c r="G361" s="76"/>
      <c r="H361" s="76"/>
      <c r="I361" s="76"/>
      <c r="J361" s="25"/>
      <c r="K361" s="25"/>
      <c r="L361" s="76"/>
      <c r="M361" s="25"/>
      <c r="N361" s="25"/>
      <c r="O361" s="74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</row>
    <row r="362">
      <c r="A362" s="25"/>
      <c r="B362" s="25"/>
      <c r="C362" s="25"/>
      <c r="D362" s="25"/>
      <c r="E362" s="25"/>
      <c r="F362" s="74"/>
      <c r="G362" s="76"/>
      <c r="H362" s="76"/>
      <c r="I362" s="76"/>
      <c r="J362" s="25"/>
      <c r="K362" s="25"/>
      <c r="L362" s="76"/>
      <c r="M362" s="25"/>
      <c r="N362" s="25"/>
      <c r="O362" s="74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</row>
    <row r="363">
      <c r="A363" s="25"/>
      <c r="B363" s="25"/>
      <c r="C363" s="25"/>
      <c r="D363" s="25"/>
      <c r="E363" s="25"/>
      <c r="F363" s="74"/>
      <c r="G363" s="76"/>
      <c r="H363" s="76"/>
      <c r="I363" s="76"/>
      <c r="J363" s="25"/>
      <c r="K363" s="25"/>
      <c r="L363" s="76"/>
      <c r="M363" s="25"/>
      <c r="N363" s="25"/>
      <c r="O363" s="74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</row>
    <row r="364">
      <c r="A364" s="25"/>
      <c r="B364" s="25"/>
      <c r="C364" s="25"/>
      <c r="D364" s="25"/>
      <c r="E364" s="25"/>
      <c r="F364" s="74"/>
      <c r="G364" s="76"/>
      <c r="H364" s="76"/>
      <c r="I364" s="76"/>
      <c r="J364" s="25"/>
      <c r="K364" s="25"/>
      <c r="L364" s="76"/>
      <c r="M364" s="25"/>
      <c r="N364" s="25"/>
      <c r="O364" s="74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</row>
    <row r="365">
      <c r="A365" s="25"/>
      <c r="B365" s="25"/>
      <c r="C365" s="25"/>
      <c r="D365" s="25"/>
      <c r="E365" s="25"/>
      <c r="F365" s="74"/>
      <c r="G365" s="76"/>
      <c r="H365" s="76"/>
      <c r="I365" s="76"/>
      <c r="J365" s="25"/>
      <c r="K365" s="25"/>
      <c r="L365" s="76"/>
      <c r="M365" s="25"/>
      <c r="N365" s="25"/>
      <c r="O365" s="74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</row>
    <row r="366">
      <c r="A366" s="25"/>
      <c r="B366" s="25"/>
      <c r="C366" s="25"/>
      <c r="D366" s="25"/>
      <c r="E366" s="25"/>
      <c r="F366" s="74"/>
      <c r="G366" s="76"/>
      <c r="H366" s="76"/>
      <c r="I366" s="76"/>
      <c r="J366" s="25"/>
      <c r="K366" s="25"/>
      <c r="L366" s="76"/>
      <c r="M366" s="25"/>
      <c r="N366" s="25"/>
      <c r="O366" s="74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</row>
    <row r="367">
      <c r="A367" s="25"/>
      <c r="B367" s="25"/>
      <c r="C367" s="25"/>
      <c r="D367" s="25"/>
      <c r="E367" s="25"/>
      <c r="F367" s="74"/>
      <c r="G367" s="76"/>
      <c r="H367" s="76"/>
      <c r="I367" s="76"/>
      <c r="J367" s="25"/>
      <c r="K367" s="25"/>
      <c r="L367" s="76"/>
      <c r="M367" s="25"/>
      <c r="N367" s="25"/>
      <c r="O367" s="74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</row>
    <row r="368">
      <c r="A368" s="25"/>
      <c r="B368" s="25"/>
      <c r="C368" s="25"/>
      <c r="D368" s="25"/>
      <c r="E368" s="25"/>
      <c r="F368" s="74"/>
      <c r="G368" s="76"/>
      <c r="H368" s="76"/>
      <c r="I368" s="76"/>
      <c r="J368" s="25"/>
      <c r="K368" s="25"/>
      <c r="L368" s="76"/>
      <c r="M368" s="25"/>
      <c r="N368" s="25"/>
      <c r="O368" s="74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</row>
    <row r="369">
      <c r="A369" s="25"/>
      <c r="B369" s="25"/>
      <c r="C369" s="25"/>
      <c r="D369" s="25"/>
      <c r="E369" s="25"/>
      <c r="F369" s="74"/>
      <c r="G369" s="76"/>
      <c r="H369" s="76"/>
      <c r="I369" s="76"/>
      <c r="J369" s="25"/>
      <c r="K369" s="25"/>
      <c r="L369" s="76"/>
      <c r="M369" s="25"/>
      <c r="N369" s="25"/>
      <c r="O369" s="74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</row>
    <row r="370">
      <c r="A370" s="25"/>
      <c r="B370" s="25"/>
      <c r="C370" s="25"/>
      <c r="D370" s="25"/>
      <c r="E370" s="25"/>
      <c r="F370" s="74"/>
      <c r="G370" s="76"/>
      <c r="H370" s="76"/>
      <c r="I370" s="76"/>
      <c r="J370" s="25"/>
      <c r="K370" s="25"/>
      <c r="L370" s="76"/>
      <c r="M370" s="25"/>
      <c r="N370" s="25"/>
      <c r="O370" s="74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</row>
    <row r="371">
      <c r="A371" s="25"/>
      <c r="B371" s="25"/>
      <c r="C371" s="25"/>
      <c r="D371" s="25"/>
      <c r="E371" s="25"/>
      <c r="F371" s="74"/>
      <c r="G371" s="76"/>
      <c r="H371" s="76"/>
      <c r="I371" s="76"/>
      <c r="J371" s="25"/>
      <c r="K371" s="25"/>
      <c r="L371" s="76"/>
      <c r="M371" s="25"/>
      <c r="N371" s="25"/>
      <c r="O371" s="74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</row>
    <row r="372">
      <c r="A372" s="25"/>
      <c r="B372" s="25"/>
      <c r="C372" s="25"/>
      <c r="D372" s="25"/>
      <c r="E372" s="25"/>
      <c r="F372" s="74"/>
      <c r="G372" s="76"/>
      <c r="H372" s="76"/>
      <c r="I372" s="76"/>
      <c r="J372" s="25"/>
      <c r="K372" s="25"/>
      <c r="L372" s="76"/>
      <c r="M372" s="25"/>
      <c r="N372" s="25"/>
      <c r="O372" s="74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</row>
    <row r="373">
      <c r="A373" s="25"/>
      <c r="B373" s="25"/>
      <c r="C373" s="25"/>
      <c r="D373" s="25"/>
      <c r="E373" s="25"/>
      <c r="F373" s="74"/>
      <c r="G373" s="76"/>
      <c r="H373" s="76"/>
      <c r="I373" s="76"/>
      <c r="J373" s="25"/>
      <c r="K373" s="25"/>
      <c r="L373" s="76"/>
      <c r="M373" s="25"/>
      <c r="N373" s="25"/>
      <c r="O373" s="74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</row>
    <row r="374">
      <c r="A374" s="25"/>
      <c r="B374" s="25"/>
      <c r="C374" s="25"/>
      <c r="D374" s="25"/>
      <c r="E374" s="25"/>
      <c r="F374" s="74"/>
      <c r="G374" s="76"/>
      <c r="H374" s="76"/>
      <c r="I374" s="76"/>
      <c r="J374" s="25"/>
      <c r="K374" s="25"/>
      <c r="L374" s="76"/>
      <c r="M374" s="25"/>
      <c r="N374" s="25"/>
      <c r="O374" s="74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</row>
    <row r="375">
      <c r="A375" s="25"/>
      <c r="B375" s="25"/>
      <c r="C375" s="25"/>
      <c r="D375" s="25"/>
      <c r="E375" s="25"/>
      <c r="F375" s="74"/>
      <c r="G375" s="76"/>
      <c r="H375" s="76"/>
      <c r="I375" s="76"/>
      <c r="J375" s="25"/>
      <c r="K375" s="25"/>
      <c r="L375" s="76"/>
      <c r="M375" s="25"/>
      <c r="N375" s="25"/>
      <c r="O375" s="74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</row>
    <row r="376">
      <c r="A376" s="25"/>
      <c r="B376" s="25"/>
      <c r="C376" s="25"/>
      <c r="D376" s="25"/>
      <c r="E376" s="25"/>
      <c r="F376" s="74"/>
      <c r="G376" s="76"/>
      <c r="H376" s="76"/>
      <c r="I376" s="76"/>
      <c r="J376" s="25"/>
      <c r="K376" s="25"/>
      <c r="L376" s="76"/>
      <c r="M376" s="25"/>
      <c r="N376" s="25"/>
      <c r="O376" s="74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</row>
    <row r="377">
      <c r="A377" s="25"/>
      <c r="B377" s="25"/>
      <c r="C377" s="25"/>
      <c r="D377" s="25"/>
      <c r="E377" s="25"/>
      <c r="F377" s="74"/>
      <c r="G377" s="76"/>
      <c r="H377" s="76"/>
      <c r="I377" s="76"/>
      <c r="J377" s="25"/>
      <c r="K377" s="25"/>
      <c r="L377" s="76"/>
      <c r="M377" s="25"/>
      <c r="N377" s="25"/>
      <c r="O377" s="74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</row>
    <row r="378">
      <c r="A378" s="25"/>
      <c r="B378" s="25"/>
      <c r="C378" s="25"/>
      <c r="D378" s="25"/>
      <c r="E378" s="25"/>
      <c r="F378" s="74"/>
      <c r="G378" s="76"/>
      <c r="H378" s="76"/>
      <c r="I378" s="76"/>
      <c r="J378" s="25"/>
      <c r="K378" s="25"/>
      <c r="L378" s="76"/>
      <c r="M378" s="25"/>
      <c r="N378" s="25"/>
      <c r="O378" s="74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</row>
    <row r="379">
      <c r="A379" s="25"/>
      <c r="B379" s="25"/>
      <c r="C379" s="25"/>
      <c r="D379" s="25"/>
      <c r="E379" s="25"/>
      <c r="F379" s="74"/>
      <c r="G379" s="76"/>
      <c r="H379" s="76"/>
      <c r="I379" s="76"/>
      <c r="J379" s="25"/>
      <c r="K379" s="25"/>
      <c r="L379" s="76"/>
      <c r="M379" s="25"/>
      <c r="N379" s="25"/>
      <c r="O379" s="74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</row>
    <row r="380">
      <c r="A380" s="25"/>
      <c r="B380" s="25"/>
      <c r="C380" s="25"/>
      <c r="D380" s="25"/>
      <c r="E380" s="25"/>
      <c r="F380" s="74"/>
      <c r="G380" s="76"/>
      <c r="H380" s="76"/>
      <c r="I380" s="76"/>
      <c r="J380" s="25"/>
      <c r="K380" s="25"/>
      <c r="L380" s="76"/>
      <c r="M380" s="25"/>
      <c r="N380" s="25"/>
      <c r="O380" s="74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</row>
    <row r="381">
      <c r="A381" s="25"/>
      <c r="B381" s="25"/>
      <c r="C381" s="25"/>
      <c r="D381" s="25"/>
      <c r="E381" s="25"/>
      <c r="F381" s="74"/>
      <c r="G381" s="76"/>
      <c r="H381" s="76"/>
      <c r="I381" s="76"/>
      <c r="J381" s="25"/>
      <c r="K381" s="25"/>
      <c r="L381" s="76"/>
      <c r="M381" s="25"/>
      <c r="N381" s="25"/>
      <c r="O381" s="74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</row>
    <row r="382">
      <c r="A382" s="25"/>
      <c r="B382" s="25"/>
      <c r="C382" s="25"/>
      <c r="D382" s="25"/>
      <c r="E382" s="25"/>
      <c r="F382" s="74"/>
      <c r="G382" s="76"/>
      <c r="H382" s="76"/>
      <c r="I382" s="76"/>
      <c r="J382" s="25"/>
      <c r="K382" s="25"/>
      <c r="L382" s="76"/>
      <c r="M382" s="25"/>
      <c r="N382" s="25"/>
      <c r="O382" s="74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</row>
    <row r="383">
      <c r="A383" s="25"/>
      <c r="B383" s="25"/>
      <c r="C383" s="25"/>
      <c r="D383" s="25"/>
      <c r="E383" s="25"/>
      <c r="F383" s="74"/>
      <c r="G383" s="76"/>
      <c r="H383" s="76"/>
      <c r="I383" s="76"/>
      <c r="J383" s="25"/>
      <c r="K383" s="25"/>
      <c r="L383" s="76"/>
      <c r="M383" s="25"/>
      <c r="N383" s="25"/>
      <c r="O383" s="74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</row>
    <row r="384">
      <c r="A384" s="25"/>
      <c r="B384" s="25"/>
      <c r="C384" s="25"/>
      <c r="D384" s="25"/>
      <c r="E384" s="25"/>
      <c r="F384" s="74"/>
      <c r="G384" s="76"/>
      <c r="H384" s="76"/>
      <c r="I384" s="76"/>
      <c r="J384" s="25"/>
      <c r="K384" s="25"/>
      <c r="L384" s="76"/>
      <c r="M384" s="25"/>
      <c r="N384" s="25"/>
      <c r="O384" s="74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</row>
    <row r="385">
      <c r="A385" s="25"/>
      <c r="B385" s="25"/>
      <c r="C385" s="25"/>
      <c r="D385" s="25"/>
      <c r="E385" s="25"/>
      <c r="F385" s="74"/>
      <c r="G385" s="76"/>
      <c r="H385" s="76"/>
      <c r="I385" s="76"/>
      <c r="J385" s="25"/>
      <c r="K385" s="25"/>
      <c r="L385" s="76"/>
      <c r="M385" s="25"/>
      <c r="N385" s="25"/>
      <c r="O385" s="74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</row>
    <row r="386">
      <c r="A386" s="25"/>
      <c r="B386" s="25"/>
      <c r="C386" s="25"/>
      <c r="D386" s="25"/>
      <c r="E386" s="25"/>
      <c r="F386" s="74"/>
      <c r="G386" s="76"/>
      <c r="H386" s="76"/>
      <c r="I386" s="76"/>
      <c r="J386" s="25"/>
      <c r="K386" s="25"/>
      <c r="L386" s="76"/>
      <c r="M386" s="25"/>
      <c r="N386" s="25"/>
      <c r="O386" s="74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</row>
    <row r="387">
      <c r="A387" s="25"/>
      <c r="B387" s="25"/>
      <c r="C387" s="25"/>
      <c r="D387" s="25"/>
      <c r="E387" s="25"/>
      <c r="F387" s="74"/>
      <c r="G387" s="76"/>
      <c r="H387" s="76"/>
      <c r="I387" s="76"/>
      <c r="J387" s="25"/>
      <c r="K387" s="25"/>
      <c r="L387" s="76"/>
      <c r="M387" s="25"/>
      <c r="N387" s="25"/>
      <c r="O387" s="74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</row>
    <row r="388">
      <c r="A388" s="25"/>
      <c r="B388" s="25"/>
      <c r="C388" s="25"/>
      <c r="D388" s="25"/>
      <c r="E388" s="25"/>
      <c r="F388" s="74"/>
      <c r="G388" s="76"/>
      <c r="H388" s="76"/>
      <c r="I388" s="76"/>
      <c r="J388" s="25"/>
      <c r="K388" s="25"/>
      <c r="L388" s="76"/>
      <c r="M388" s="25"/>
      <c r="N388" s="25"/>
      <c r="O388" s="74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</row>
    <row r="389">
      <c r="A389" s="25"/>
      <c r="B389" s="25"/>
      <c r="C389" s="25"/>
      <c r="D389" s="25"/>
      <c r="E389" s="25"/>
      <c r="F389" s="74"/>
      <c r="G389" s="76"/>
      <c r="H389" s="76"/>
      <c r="I389" s="76"/>
      <c r="J389" s="25"/>
      <c r="K389" s="25"/>
      <c r="L389" s="76"/>
      <c r="M389" s="25"/>
      <c r="N389" s="25"/>
      <c r="O389" s="74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</row>
    <row r="390">
      <c r="A390" s="25"/>
      <c r="B390" s="25"/>
      <c r="C390" s="25"/>
      <c r="D390" s="25"/>
      <c r="E390" s="25"/>
      <c r="F390" s="74"/>
      <c r="G390" s="76"/>
      <c r="H390" s="76"/>
      <c r="I390" s="76"/>
      <c r="J390" s="25"/>
      <c r="K390" s="25"/>
      <c r="L390" s="76"/>
      <c r="M390" s="25"/>
      <c r="N390" s="25"/>
      <c r="O390" s="74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</row>
    <row r="391">
      <c r="A391" s="25"/>
      <c r="B391" s="25"/>
      <c r="C391" s="25"/>
      <c r="D391" s="25"/>
      <c r="E391" s="25"/>
      <c r="F391" s="74"/>
      <c r="G391" s="76"/>
      <c r="H391" s="76"/>
      <c r="I391" s="76"/>
      <c r="J391" s="25"/>
      <c r="K391" s="25"/>
      <c r="L391" s="76"/>
      <c r="M391" s="25"/>
      <c r="N391" s="25"/>
      <c r="O391" s="74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</row>
    <row r="392">
      <c r="A392" s="25"/>
      <c r="B392" s="25"/>
      <c r="C392" s="25"/>
      <c r="D392" s="25"/>
      <c r="E392" s="25"/>
      <c r="F392" s="74"/>
      <c r="G392" s="76"/>
      <c r="H392" s="76"/>
      <c r="I392" s="76"/>
      <c r="J392" s="25"/>
      <c r="K392" s="25"/>
      <c r="L392" s="76"/>
      <c r="M392" s="25"/>
      <c r="N392" s="25"/>
      <c r="O392" s="74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</row>
    <row r="393">
      <c r="A393" s="25"/>
      <c r="B393" s="25"/>
      <c r="C393" s="25"/>
      <c r="D393" s="25"/>
      <c r="E393" s="25"/>
      <c r="F393" s="74"/>
      <c r="G393" s="76"/>
      <c r="H393" s="76"/>
      <c r="I393" s="76"/>
      <c r="J393" s="25"/>
      <c r="K393" s="25"/>
      <c r="L393" s="76"/>
      <c r="M393" s="25"/>
      <c r="N393" s="25"/>
      <c r="O393" s="74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</row>
    <row r="394">
      <c r="A394" s="25"/>
      <c r="B394" s="25"/>
      <c r="C394" s="25"/>
      <c r="D394" s="25"/>
      <c r="E394" s="25"/>
      <c r="F394" s="74"/>
      <c r="G394" s="76"/>
      <c r="H394" s="76"/>
      <c r="I394" s="76"/>
      <c r="J394" s="25"/>
      <c r="K394" s="25"/>
      <c r="L394" s="76"/>
      <c r="M394" s="25"/>
      <c r="N394" s="25"/>
      <c r="O394" s="74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</row>
    <row r="395">
      <c r="A395" s="25"/>
      <c r="B395" s="25"/>
      <c r="C395" s="25"/>
      <c r="D395" s="25"/>
      <c r="E395" s="25"/>
      <c r="F395" s="74"/>
      <c r="G395" s="76"/>
      <c r="H395" s="76"/>
      <c r="I395" s="76"/>
      <c r="J395" s="25"/>
      <c r="K395" s="25"/>
      <c r="L395" s="76"/>
      <c r="M395" s="25"/>
      <c r="N395" s="25"/>
      <c r="O395" s="74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</row>
    <row r="396">
      <c r="A396" s="25"/>
      <c r="B396" s="25"/>
      <c r="C396" s="25"/>
      <c r="D396" s="25"/>
      <c r="E396" s="25"/>
      <c r="F396" s="74"/>
      <c r="G396" s="76"/>
      <c r="H396" s="76"/>
      <c r="I396" s="76"/>
      <c r="J396" s="25"/>
      <c r="K396" s="25"/>
      <c r="L396" s="76"/>
      <c r="M396" s="25"/>
      <c r="N396" s="25"/>
      <c r="O396" s="74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</row>
    <row r="397">
      <c r="A397" s="25"/>
      <c r="B397" s="25"/>
      <c r="C397" s="25"/>
      <c r="D397" s="25"/>
      <c r="E397" s="25"/>
      <c r="F397" s="74"/>
      <c r="G397" s="76"/>
      <c r="H397" s="76"/>
      <c r="I397" s="76"/>
      <c r="J397" s="25"/>
      <c r="K397" s="25"/>
      <c r="L397" s="76"/>
      <c r="M397" s="25"/>
      <c r="N397" s="25"/>
      <c r="O397" s="74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</row>
    <row r="398">
      <c r="A398" s="25"/>
      <c r="B398" s="25"/>
      <c r="C398" s="25"/>
      <c r="D398" s="25"/>
      <c r="E398" s="25"/>
      <c r="F398" s="74"/>
      <c r="G398" s="76"/>
      <c r="H398" s="76"/>
      <c r="I398" s="76"/>
      <c r="J398" s="25"/>
      <c r="K398" s="25"/>
      <c r="L398" s="76"/>
      <c r="M398" s="25"/>
      <c r="N398" s="25"/>
      <c r="O398" s="74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</row>
    <row r="399">
      <c r="A399" s="25"/>
      <c r="B399" s="25"/>
      <c r="C399" s="25"/>
      <c r="D399" s="25"/>
      <c r="E399" s="25"/>
      <c r="F399" s="74"/>
      <c r="G399" s="76"/>
      <c r="H399" s="76"/>
      <c r="I399" s="76"/>
      <c r="J399" s="25"/>
      <c r="K399" s="25"/>
      <c r="L399" s="76"/>
      <c r="M399" s="25"/>
      <c r="N399" s="25"/>
      <c r="O399" s="74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</row>
    <row r="400">
      <c r="A400" s="25"/>
      <c r="B400" s="25"/>
      <c r="C400" s="25"/>
      <c r="D400" s="25"/>
      <c r="E400" s="25"/>
      <c r="F400" s="74"/>
      <c r="G400" s="76"/>
      <c r="H400" s="76"/>
      <c r="I400" s="76"/>
      <c r="J400" s="25"/>
      <c r="K400" s="25"/>
      <c r="L400" s="76"/>
      <c r="M400" s="25"/>
      <c r="N400" s="25"/>
      <c r="O400" s="74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</row>
    <row r="401">
      <c r="A401" s="25"/>
      <c r="B401" s="25"/>
      <c r="C401" s="25"/>
      <c r="D401" s="25"/>
      <c r="E401" s="25"/>
      <c r="F401" s="74"/>
      <c r="G401" s="76"/>
      <c r="H401" s="76"/>
      <c r="I401" s="76"/>
      <c r="J401" s="25"/>
      <c r="K401" s="25"/>
      <c r="L401" s="76"/>
      <c r="M401" s="25"/>
      <c r="N401" s="25"/>
      <c r="O401" s="74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</row>
    <row r="402">
      <c r="A402" s="25"/>
      <c r="B402" s="25"/>
      <c r="C402" s="25"/>
      <c r="D402" s="25"/>
      <c r="E402" s="25"/>
      <c r="F402" s="74"/>
      <c r="G402" s="76"/>
      <c r="H402" s="76"/>
      <c r="I402" s="76"/>
      <c r="J402" s="25"/>
      <c r="K402" s="25"/>
      <c r="L402" s="76"/>
      <c r="M402" s="25"/>
      <c r="N402" s="25"/>
      <c r="O402" s="74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</row>
    <row r="403">
      <c r="A403" s="25"/>
      <c r="B403" s="25"/>
      <c r="C403" s="25"/>
      <c r="D403" s="25"/>
      <c r="E403" s="25"/>
      <c r="F403" s="74"/>
      <c r="G403" s="76"/>
      <c r="H403" s="76"/>
      <c r="I403" s="76"/>
      <c r="J403" s="25"/>
      <c r="K403" s="25"/>
      <c r="L403" s="76"/>
      <c r="M403" s="25"/>
      <c r="N403" s="25"/>
      <c r="O403" s="74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</row>
    <row r="404">
      <c r="A404" s="25"/>
      <c r="B404" s="25"/>
      <c r="C404" s="25"/>
      <c r="D404" s="25"/>
      <c r="E404" s="25"/>
      <c r="F404" s="74"/>
      <c r="G404" s="76"/>
      <c r="H404" s="76"/>
      <c r="I404" s="76"/>
      <c r="J404" s="25"/>
      <c r="K404" s="25"/>
      <c r="L404" s="76"/>
      <c r="M404" s="25"/>
      <c r="N404" s="25"/>
      <c r="O404" s="74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</row>
    <row r="405">
      <c r="A405" s="25"/>
      <c r="B405" s="25"/>
      <c r="C405" s="25"/>
      <c r="D405" s="25"/>
      <c r="E405" s="25"/>
      <c r="F405" s="74"/>
      <c r="G405" s="76"/>
      <c r="H405" s="76"/>
      <c r="I405" s="76"/>
      <c r="J405" s="25"/>
      <c r="K405" s="25"/>
      <c r="L405" s="76"/>
      <c r="M405" s="25"/>
      <c r="N405" s="25"/>
      <c r="O405" s="74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</row>
    <row r="406">
      <c r="A406" s="25"/>
      <c r="B406" s="25"/>
      <c r="C406" s="25"/>
      <c r="D406" s="25"/>
      <c r="E406" s="25"/>
      <c r="F406" s="74"/>
      <c r="G406" s="76"/>
      <c r="H406" s="76"/>
      <c r="I406" s="76"/>
      <c r="J406" s="25"/>
      <c r="K406" s="25"/>
      <c r="L406" s="76"/>
      <c r="M406" s="25"/>
      <c r="N406" s="25"/>
      <c r="O406" s="74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</row>
    <row r="407">
      <c r="A407" s="25"/>
      <c r="B407" s="25"/>
      <c r="C407" s="25"/>
      <c r="D407" s="25"/>
      <c r="E407" s="25"/>
      <c r="F407" s="74"/>
      <c r="G407" s="76"/>
      <c r="H407" s="76"/>
      <c r="I407" s="76"/>
      <c r="J407" s="25"/>
      <c r="K407" s="25"/>
      <c r="L407" s="76"/>
      <c r="M407" s="25"/>
      <c r="N407" s="25"/>
      <c r="O407" s="74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</row>
    <row r="408">
      <c r="A408" s="25"/>
      <c r="B408" s="25"/>
      <c r="C408" s="25"/>
      <c r="D408" s="25"/>
      <c r="E408" s="25"/>
      <c r="F408" s="74"/>
      <c r="G408" s="76"/>
      <c r="H408" s="76"/>
      <c r="I408" s="76"/>
      <c r="J408" s="25"/>
      <c r="K408" s="25"/>
      <c r="L408" s="76"/>
      <c r="M408" s="25"/>
      <c r="N408" s="25"/>
      <c r="O408" s="74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</row>
    <row r="409">
      <c r="A409" s="25"/>
      <c r="B409" s="25"/>
      <c r="C409" s="25"/>
      <c r="D409" s="25"/>
      <c r="E409" s="25"/>
      <c r="F409" s="74"/>
      <c r="G409" s="76"/>
      <c r="H409" s="76"/>
      <c r="I409" s="76"/>
      <c r="J409" s="25"/>
      <c r="K409" s="25"/>
      <c r="L409" s="76"/>
      <c r="M409" s="25"/>
      <c r="N409" s="25"/>
      <c r="O409" s="74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</row>
    <row r="410">
      <c r="A410" s="25"/>
      <c r="B410" s="25"/>
      <c r="C410" s="25"/>
      <c r="D410" s="25"/>
      <c r="E410" s="25"/>
      <c r="F410" s="74"/>
      <c r="G410" s="76"/>
      <c r="H410" s="76"/>
      <c r="I410" s="76"/>
      <c r="J410" s="25"/>
      <c r="K410" s="25"/>
      <c r="L410" s="76"/>
      <c r="M410" s="25"/>
      <c r="N410" s="25"/>
      <c r="O410" s="74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</row>
    <row r="411">
      <c r="A411" s="25"/>
      <c r="B411" s="25"/>
      <c r="C411" s="25"/>
      <c r="D411" s="25"/>
      <c r="E411" s="25"/>
      <c r="F411" s="74"/>
      <c r="G411" s="76"/>
      <c r="H411" s="76"/>
      <c r="I411" s="76"/>
      <c r="J411" s="25"/>
      <c r="K411" s="25"/>
      <c r="L411" s="76"/>
      <c r="M411" s="25"/>
      <c r="N411" s="25"/>
      <c r="O411" s="74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</row>
    <row r="412">
      <c r="A412" s="25"/>
      <c r="B412" s="25"/>
      <c r="C412" s="25"/>
      <c r="D412" s="25"/>
      <c r="E412" s="25"/>
      <c r="F412" s="74"/>
      <c r="G412" s="76"/>
      <c r="H412" s="76"/>
      <c r="I412" s="76"/>
      <c r="J412" s="25"/>
      <c r="K412" s="25"/>
      <c r="L412" s="76"/>
      <c r="M412" s="25"/>
      <c r="N412" s="25"/>
      <c r="O412" s="74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</row>
    <row r="413">
      <c r="A413" s="25"/>
      <c r="B413" s="25"/>
      <c r="C413" s="25"/>
      <c r="D413" s="25"/>
      <c r="E413" s="25"/>
      <c r="F413" s="74"/>
      <c r="G413" s="76"/>
      <c r="H413" s="76"/>
      <c r="I413" s="76"/>
      <c r="J413" s="25"/>
      <c r="K413" s="25"/>
      <c r="L413" s="76"/>
      <c r="M413" s="25"/>
      <c r="N413" s="25"/>
      <c r="O413" s="74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</row>
    <row r="414">
      <c r="A414" s="25"/>
      <c r="B414" s="25"/>
      <c r="C414" s="25"/>
      <c r="D414" s="25"/>
      <c r="E414" s="25"/>
      <c r="F414" s="74"/>
      <c r="G414" s="76"/>
      <c r="H414" s="76"/>
      <c r="I414" s="76"/>
      <c r="J414" s="25"/>
      <c r="K414" s="25"/>
      <c r="L414" s="76"/>
      <c r="M414" s="25"/>
      <c r="N414" s="25"/>
      <c r="O414" s="74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</row>
    <row r="415">
      <c r="A415" s="25"/>
      <c r="B415" s="25"/>
      <c r="C415" s="25"/>
      <c r="D415" s="25"/>
      <c r="E415" s="25"/>
      <c r="F415" s="74"/>
      <c r="G415" s="76"/>
      <c r="H415" s="76"/>
      <c r="I415" s="76"/>
      <c r="J415" s="25"/>
      <c r="K415" s="25"/>
      <c r="L415" s="76"/>
      <c r="M415" s="25"/>
      <c r="N415" s="25"/>
      <c r="O415" s="74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</row>
    <row r="416">
      <c r="A416" s="25"/>
      <c r="B416" s="25"/>
      <c r="C416" s="25"/>
      <c r="D416" s="25"/>
      <c r="E416" s="25"/>
      <c r="F416" s="74"/>
      <c r="G416" s="76"/>
      <c r="H416" s="76"/>
      <c r="I416" s="76"/>
      <c r="J416" s="25"/>
      <c r="K416" s="25"/>
      <c r="L416" s="76"/>
      <c r="M416" s="25"/>
      <c r="N416" s="25"/>
      <c r="O416" s="74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</row>
    <row r="417">
      <c r="A417" s="25"/>
      <c r="B417" s="25"/>
      <c r="C417" s="25"/>
      <c r="D417" s="25"/>
      <c r="E417" s="25"/>
      <c r="F417" s="74"/>
      <c r="G417" s="76"/>
      <c r="H417" s="76"/>
      <c r="I417" s="76"/>
      <c r="J417" s="25"/>
      <c r="K417" s="25"/>
      <c r="L417" s="76"/>
      <c r="M417" s="25"/>
      <c r="N417" s="25"/>
      <c r="O417" s="74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</row>
    <row r="418">
      <c r="A418" s="25"/>
      <c r="B418" s="25"/>
      <c r="C418" s="25"/>
      <c r="D418" s="25"/>
      <c r="E418" s="25"/>
      <c r="F418" s="74"/>
      <c r="G418" s="76"/>
      <c r="H418" s="76"/>
      <c r="I418" s="76"/>
      <c r="J418" s="25"/>
      <c r="K418" s="25"/>
      <c r="L418" s="76"/>
      <c r="M418" s="25"/>
      <c r="N418" s="25"/>
      <c r="O418" s="74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</row>
    <row r="419">
      <c r="A419" s="25"/>
      <c r="B419" s="25"/>
      <c r="C419" s="25"/>
      <c r="D419" s="25"/>
      <c r="E419" s="25"/>
      <c r="F419" s="74"/>
      <c r="G419" s="76"/>
      <c r="H419" s="76"/>
      <c r="I419" s="76"/>
      <c r="J419" s="25"/>
      <c r="K419" s="25"/>
      <c r="L419" s="76"/>
      <c r="M419" s="25"/>
      <c r="N419" s="25"/>
      <c r="O419" s="74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</row>
    <row r="420">
      <c r="A420" s="25"/>
      <c r="B420" s="25"/>
      <c r="C420" s="25"/>
      <c r="D420" s="25"/>
      <c r="E420" s="25"/>
      <c r="F420" s="74"/>
      <c r="G420" s="76"/>
      <c r="H420" s="76"/>
      <c r="I420" s="76"/>
      <c r="J420" s="25"/>
      <c r="K420" s="25"/>
      <c r="L420" s="76"/>
      <c r="M420" s="25"/>
      <c r="N420" s="25"/>
      <c r="O420" s="74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</row>
    <row r="421">
      <c r="A421" s="25"/>
      <c r="B421" s="25"/>
      <c r="C421" s="25"/>
      <c r="D421" s="25"/>
      <c r="E421" s="25"/>
      <c r="F421" s="74"/>
      <c r="G421" s="76"/>
      <c r="H421" s="76"/>
      <c r="I421" s="76"/>
      <c r="J421" s="25"/>
      <c r="K421" s="25"/>
      <c r="L421" s="76"/>
      <c r="M421" s="25"/>
      <c r="N421" s="25"/>
      <c r="O421" s="74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</row>
    <row r="422">
      <c r="A422" s="25"/>
      <c r="B422" s="25"/>
      <c r="C422" s="25"/>
      <c r="D422" s="25"/>
      <c r="E422" s="25"/>
      <c r="F422" s="74"/>
      <c r="G422" s="76"/>
      <c r="H422" s="76"/>
      <c r="I422" s="76"/>
      <c r="J422" s="25"/>
      <c r="K422" s="25"/>
      <c r="L422" s="76"/>
      <c r="M422" s="25"/>
      <c r="N422" s="25"/>
      <c r="O422" s="74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</row>
    <row r="423">
      <c r="A423" s="25"/>
      <c r="B423" s="25"/>
      <c r="C423" s="25"/>
      <c r="D423" s="25"/>
      <c r="E423" s="25"/>
      <c r="F423" s="74"/>
      <c r="G423" s="76"/>
      <c r="H423" s="76"/>
      <c r="I423" s="76"/>
      <c r="J423" s="25"/>
      <c r="K423" s="25"/>
      <c r="L423" s="76"/>
      <c r="M423" s="25"/>
      <c r="N423" s="25"/>
      <c r="O423" s="74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</row>
    <row r="424">
      <c r="A424" s="25"/>
      <c r="B424" s="25"/>
      <c r="C424" s="25"/>
      <c r="D424" s="25"/>
      <c r="E424" s="25"/>
      <c r="F424" s="74"/>
      <c r="G424" s="76"/>
      <c r="H424" s="76"/>
      <c r="I424" s="76"/>
      <c r="J424" s="25"/>
      <c r="K424" s="25"/>
      <c r="L424" s="76"/>
      <c r="M424" s="25"/>
      <c r="N424" s="25"/>
      <c r="O424" s="74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</row>
    <row r="425">
      <c r="A425" s="25"/>
      <c r="B425" s="25"/>
      <c r="C425" s="25"/>
      <c r="D425" s="25"/>
      <c r="E425" s="25"/>
      <c r="F425" s="74"/>
      <c r="G425" s="76"/>
      <c r="H425" s="76"/>
      <c r="I425" s="76"/>
      <c r="J425" s="25"/>
      <c r="K425" s="25"/>
      <c r="L425" s="76"/>
      <c r="M425" s="25"/>
      <c r="N425" s="25"/>
      <c r="O425" s="74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</row>
    <row r="426">
      <c r="A426" s="25"/>
      <c r="B426" s="25"/>
      <c r="C426" s="25"/>
      <c r="D426" s="25"/>
      <c r="E426" s="25"/>
      <c r="F426" s="74"/>
      <c r="G426" s="76"/>
      <c r="H426" s="76"/>
      <c r="I426" s="76"/>
      <c r="J426" s="25"/>
      <c r="K426" s="25"/>
      <c r="L426" s="76"/>
      <c r="M426" s="25"/>
      <c r="N426" s="25"/>
      <c r="O426" s="74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</row>
    <row r="427">
      <c r="A427" s="25"/>
      <c r="B427" s="25"/>
      <c r="C427" s="25"/>
      <c r="D427" s="25"/>
      <c r="E427" s="25"/>
      <c r="F427" s="74"/>
      <c r="G427" s="76"/>
      <c r="H427" s="76"/>
      <c r="I427" s="76"/>
      <c r="J427" s="25"/>
      <c r="K427" s="25"/>
      <c r="L427" s="76"/>
      <c r="M427" s="25"/>
      <c r="N427" s="25"/>
      <c r="O427" s="74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</row>
    <row r="428">
      <c r="A428" s="25"/>
      <c r="B428" s="25"/>
      <c r="C428" s="25"/>
      <c r="D428" s="25"/>
      <c r="E428" s="25"/>
      <c r="F428" s="74"/>
      <c r="G428" s="76"/>
      <c r="H428" s="76"/>
      <c r="I428" s="76"/>
      <c r="J428" s="25"/>
      <c r="K428" s="25"/>
      <c r="L428" s="76"/>
      <c r="M428" s="25"/>
      <c r="N428" s="25"/>
      <c r="O428" s="74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</row>
    <row r="429">
      <c r="A429" s="25"/>
      <c r="B429" s="25"/>
      <c r="C429" s="25"/>
      <c r="D429" s="25"/>
      <c r="E429" s="25"/>
      <c r="F429" s="74"/>
      <c r="G429" s="76"/>
      <c r="H429" s="76"/>
      <c r="I429" s="76"/>
      <c r="J429" s="25"/>
      <c r="K429" s="25"/>
      <c r="L429" s="76"/>
      <c r="M429" s="25"/>
      <c r="N429" s="25"/>
      <c r="O429" s="74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</row>
    <row r="430">
      <c r="A430" s="25"/>
      <c r="B430" s="25"/>
      <c r="C430" s="25"/>
      <c r="D430" s="25"/>
      <c r="E430" s="25"/>
      <c r="F430" s="74"/>
      <c r="G430" s="76"/>
      <c r="H430" s="76"/>
      <c r="I430" s="76"/>
      <c r="J430" s="25"/>
      <c r="K430" s="25"/>
      <c r="L430" s="76"/>
      <c r="M430" s="25"/>
      <c r="N430" s="25"/>
      <c r="O430" s="74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</row>
    <row r="431">
      <c r="A431" s="25"/>
      <c r="B431" s="25"/>
      <c r="C431" s="25"/>
      <c r="D431" s="25"/>
      <c r="E431" s="25"/>
      <c r="F431" s="74"/>
      <c r="G431" s="76"/>
      <c r="H431" s="76"/>
      <c r="I431" s="76"/>
      <c r="J431" s="25"/>
      <c r="K431" s="25"/>
      <c r="L431" s="76"/>
      <c r="M431" s="25"/>
      <c r="N431" s="25"/>
      <c r="O431" s="74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</row>
    <row r="432">
      <c r="A432" s="25"/>
      <c r="B432" s="25"/>
      <c r="C432" s="25"/>
      <c r="D432" s="25"/>
      <c r="E432" s="25"/>
      <c r="F432" s="74"/>
      <c r="G432" s="76"/>
      <c r="H432" s="76"/>
      <c r="I432" s="76"/>
      <c r="J432" s="25"/>
      <c r="K432" s="25"/>
      <c r="L432" s="76"/>
      <c r="M432" s="25"/>
      <c r="N432" s="25"/>
      <c r="O432" s="74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</row>
    <row r="433">
      <c r="A433" s="25"/>
      <c r="B433" s="25"/>
      <c r="C433" s="25"/>
      <c r="D433" s="25"/>
      <c r="E433" s="25"/>
      <c r="F433" s="74"/>
      <c r="G433" s="76"/>
      <c r="H433" s="76"/>
      <c r="I433" s="76"/>
      <c r="J433" s="25"/>
      <c r="K433" s="25"/>
      <c r="L433" s="76"/>
      <c r="M433" s="25"/>
      <c r="N433" s="25"/>
      <c r="O433" s="74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</row>
    <row r="434">
      <c r="A434" s="25"/>
      <c r="B434" s="25"/>
      <c r="C434" s="25"/>
      <c r="D434" s="25"/>
      <c r="E434" s="25"/>
      <c r="F434" s="74"/>
      <c r="G434" s="76"/>
      <c r="H434" s="76"/>
      <c r="I434" s="76"/>
      <c r="J434" s="25"/>
      <c r="K434" s="25"/>
      <c r="L434" s="76"/>
      <c r="M434" s="25"/>
      <c r="N434" s="25"/>
      <c r="O434" s="74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</row>
    <row r="435">
      <c r="A435" s="25"/>
      <c r="B435" s="25"/>
      <c r="C435" s="25"/>
      <c r="D435" s="25"/>
      <c r="E435" s="25"/>
      <c r="F435" s="74"/>
      <c r="G435" s="76"/>
      <c r="H435" s="76"/>
      <c r="I435" s="76"/>
      <c r="J435" s="25"/>
      <c r="K435" s="25"/>
      <c r="L435" s="76"/>
      <c r="M435" s="25"/>
      <c r="N435" s="25"/>
      <c r="O435" s="74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</row>
    <row r="436">
      <c r="A436" s="25"/>
      <c r="B436" s="25"/>
      <c r="C436" s="25"/>
      <c r="D436" s="25"/>
      <c r="E436" s="25"/>
      <c r="F436" s="74"/>
      <c r="G436" s="76"/>
      <c r="H436" s="76"/>
      <c r="I436" s="76"/>
      <c r="J436" s="25"/>
      <c r="K436" s="25"/>
      <c r="L436" s="76"/>
      <c r="M436" s="25"/>
      <c r="N436" s="25"/>
      <c r="O436" s="74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</row>
    <row r="437">
      <c r="A437" s="25"/>
      <c r="B437" s="25"/>
      <c r="C437" s="25"/>
      <c r="D437" s="25"/>
      <c r="E437" s="25"/>
      <c r="F437" s="74"/>
      <c r="G437" s="76"/>
      <c r="H437" s="76"/>
      <c r="I437" s="76"/>
      <c r="J437" s="25"/>
      <c r="K437" s="25"/>
      <c r="L437" s="76"/>
      <c r="M437" s="25"/>
      <c r="N437" s="25"/>
      <c r="O437" s="74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</row>
    <row r="438">
      <c r="A438" s="25"/>
      <c r="B438" s="25"/>
      <c r="C438" s="25"/>
      <c r="D438" s="25"/>
      <c r="E438" s="25"/>
      <c r="F438" s="74"/>
      <c r="G438" s="76"/>
      <c r="H438" s="76"/>
      <c r="I438" s="76"/>
      <c r="J438" s="25"/>
      <c r="K438" s="25"/>
      <c r="L438" s="76"/>
      <c r="M438" s="25"/>
      <c r="N438" s="25"/>
      <c r="O438" s="74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</row>
    <row r="439">
      <c r="A439" s="25"/>
      <c r="B439" s="25"/>
      <c r="C439" s="25"/>
      <c r="D439" s="25"/>
      <c r="E439" s="25"/>
      <c r="F439" s="74"/>
      <c r="G439" s="76"/>
      <c r="H439" s="76"/>
      <c r="I439" s="76"/>
      <c r="J439" s="25"/>
      <c r="K439" s="25"/>
      <c r="L439" s="76"/>
      <c r="M439" s="25"/>
      <c r="N439" s="25"/>
      <c r="O439" s="74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</row>
    <row r="440">
      <c r="A440" s="25"/>
      <c r="B440" s="25"/>
      <c r="C440" s="25"/>
      <c r="D440" s="25"/>
      <c r="E440" s="25"/>
      <c r="F440" s="74"/>
      <c r="G440" s="76"/>
      <c r="H440" s="76"/>
      <c r="I440" s="76"/>
      <c r="J440" s="25"/>
      <c r="K440" s="25"/>
      <c r="L440" s="76"/>
      <c r="M440" s="25"/>
      <c r="N440" s="25"/>
      <c r="O440" s="74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</row>
    <row r="441">
      <c r="A441" s="25"/>
      <c r="B441" s="25"/>
      <c r="C441" s="25"/>
      <c r="D441" s="25"/>
      <c r="E441" s="25"/>
      <c r="F441" s="74"/>
      <c r="G441" s="76"/>
      <c r="H441" s="76"/>
      <c r="I441" s="76"/>
      <c r="J441" s="25"/>
      <c r="K441" s="25"/>
      <c r="L441" s="76"/>
      <c r="M441" s="25"/>
      <c r="N441" s="25"/>
      <c r="O441" s="74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</row>
    <row r="442">
      <c r="A442" s="25"/>
      <c r="B442" s="25"/>
      <c r="C442" s="25"/>
      <c r="D442" s="25"/>
      <c r="E442" s="25"/>
      <c r="F442" s="74"/>
      <c r="G442" s="76"/>
      <c r="H442" s="76"/>
      <c r="I442" s="76"/>
      <c r="J442" s="25"/>
      <c r="K442" s="25"/>
      <c r="L442" s="76"/>
      <c r="M442" s="25"/>
      <c r="N442" s="25"/>
      <c r="O442" s="74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</row>
    <row r="443">
      <c r="A443" s="25"/>
      <c r="B443" s="25"/>
      <c r="C443" s="25"/>
      <c r="D443" s="25"/>
      <c r="E443" s="25"/>
      <c r="F443" s="74"/>
      <c r="G443" s="76"/>
      <c r="H443" s="76"/>
      <c r="I443" s="76"/>
      <c r="J443" s="25"/>
      <c r="K443" s="25"/>
      <c r="L443" s="76"/>
      <c r="M443" s="25"/>
      <c r="N443" s="25"/>
      <c r="O443" s="74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</row>
    <row r="444">
      <c r="A444" s="25"/>
      <c r="B444" s="25"/>
      <c r="C444" s="25"/>
      <c r="D444" s="25"/>
      <c r="E444" s="25"/>
      <c r="F444" s="74"/>
      <c r="G444" s="76"/>
      <c r="H444" s="76"/>
      <c r="I444" s="76"/>
      <c r="J444" s="25"/>
      <c r="K444" s="25"/>
      <c r="L444" s="76"/>
      <c r="M444" s="25"/>
      <c r="N444" s="25"/>
      <c r="O444" s="74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</row>
    <row r="445">
      <c r="A445" s="25"/>
      <c r="B445" s="25"/>
      <c r="C445" s="25"/>
      <c r="D445" s="25"/>
      <c r="E445" s="25"/>
      <c r="F445" s="74"/>
      <c r="G445" s="76"/>
      <c r="H445" s="76"/>
      <c r="I445" s="76"/>
      <c r="J445" s="25"/>
      <c r="K445" s="25"/>
      <c r="L445" s="76"/>
      <c r="M445" s="25"/>
      <c r="N445" s="25"/>
      <c r="O445" s="74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</row>
    <row r="446">
      <c r="A446" s="25"/>
      <c r="B446" s="25"/>
      <c r="C446" s="25"/>
      <c r="D446" s="25"/>
      <c r="E446" s="25"/>
      <c r="F446" s="74"/>
      <c r="G446" s="76"/>
      <c r="H446" s="76"/>
      <c r="I446" s="76"/>
      <c r="J446" s="25"/>
      <c r="K446" s="25"/>
      <c r="L446" s="76"/>
      <c r="M446" s="25"/>
      <c r="N446" s="25"/>
      <c r="O446" s="74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</row>
    <row r="447">
      <c r="A447" s="25"/>
      <c r="B447" s="25"/>
      <c r="C447" s="25"/>
      <c r="D447" s="25"/>
      <c r="E447" s="25"/>
      <c r="F447" s="74"/>
      <c r="G447" s="76"/>
      <c r="H447" s="76"/>
      <c r="I447" s="76"/>
      <c r="J447" s="25"/>
      <c r="K447" s="25"/>
      <c r="L447" s="76"/>
      <c r="M447" s="25"/>
      <c r="N447" s="25"/>
      <c r="O447" s="74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</row>
    <row r="448">
      <c r="A448" s="25"/>
      <c r="B448" s="25"/>
      <c r="C448" s="25"/>
      <c r="D448" s="25"/>
      <c r="E448" s="25"/>
      <c r="F448" s="74"/>
      <c r="G448" s="76"/>
      <c r="H448" s="76"/>
      <c r="I448" s="76"/>
      <c r="J448" s="25"/>
      <c r="K448" s="25"/>
      <c r="L448" s="76"/>
      <c r="M448" s="25"/>
      <c r="N448" s="25"/>
      <c r="O448" s="74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</row>
    <row r="449">
      <c r="A449" s="25"/>
      <c r="B449" s="25"/>
      <c r="C449" s="25"/>
      <c r="D449" s="25"/>
      <c r="E449" s="25"/>
      <c r="F449" s="74"/>
      <c r="G449" s="76"/>
      <c r="H449" s="76"/>
      <c r="I449" s="76"/>
      <c r="J449" s="25"/>
      <c r="K449" s="25"/>
      <c r="L449" s="76"/>
      <c r="M449" s="25"/>
      <c r="N449" s="25"/>
      <c r="O449" s="74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</row>
    <row r="450">
      <c r="A450" s="25"/>
      <c r="B450" s="25"/>
      <c r="C450" s="25"/>
      <c r="D450" s="25"/>
      <c r="E450" s="25"/>
      <c r="F450" s="74"/>
      <c r="G450" s="76"/>
      <c r="H450" s="76"/>
      <c r="I450" s="76"/>
      <c r="J450" s="25"/>
      <c r="K450" s="25"/>
      <c r="L450" s="76"/>
      <c r="M450" s="25"/>
      <c r="N450" s="25"/>
      <c r="O450" s="74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</row>
    <row r="451">
      <c r="A451" s="25"/>
      <c r="B451" s="25"/>
      <c r="C451" s="25"/>
      <c r="D451" s="25"/>
      <c r="E451" s="25"/>
      <c r="F451" s="74"/>
      <c r="G451" s="76"/>
      <c r="H451" s="76"/>
      <c r="I451" s="76"/>
      <c r="J451" s="25"/>
      <c r="K451" s="25"/>
      <c r="L451" s="76"/>
      <c r="M451" s="25"/>
      <c r="N451" s="25"/>
      <c r="O451" s="74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</row>
    <row r="452">
      <c r="A452" s="25"/>
      <c r="B452" s="25"/>
      <c r="C452" s="25"/>
      <c r="D452" s="25"/>
      <c r="E452" s="25"/>
      <c r="F452" s="74"/>
      <c r="G452" s="76"/>
      <c r="H452" s="76"/>
      <c r="I452" s="76"/>
      <c r="J452" s="25"/>
      <c r="K452" s="25"/>
      <c r="L452" s="76"/>
      <c r="M452" s="25"/>
      <c r="N452" s="25"/>
      <c r="O452" s="74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</row>
    <row r="453">
      <c r="A453" s="25"/>
      <c r="B453" s="25"/>
      <c r="C453" s="25"/>
      <c r="D453" s="25"/>
      <c r="E453" s="25"/>
      <c r="F453" s="74"/>
      <c r="G453" s="76"/>
      <c r="H453" s="76"/>
      <c r="I453" s="76"/>
      <c r="J453" s="25"/>
      <c r="K453" s="25"/>
      <c r="L453" s="76"/>
      <c r="M453" s="25"/>
      <c r="N453" s="25"/>
      <c r="O453" s="74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</row>
    <row r="454">
      <c r="A454" s="25"/>
      <c r="B454" s="25"/>
      <c r="C454" s="25"/>
      <c r="D454" s="25"/>
      <c r="E454" s="25"/>
      <c r="F454" s="74"/>
      <c r="G454" s="76"/>
      <c r="H454" s="76"/>
      <c r="I454" s="76"/>
      <c r="J454" s="25"/>
      <c r="K454" s="25"/>
      <c r="L454" s="76"/>
      <c r="M454" s="25"/>
      <c r="N454" s="25"/>
      <c r="O454" s="74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</row>
    <row r="455">
      <c r="A455" s="25"/>
      <c r="B455" s="25"/>
      <c r="C455" s="25"/>
      <c r="D455" s="25"/>
      <c r="E455" s="25"/>
      <c r="F455" s="74"/>
      <c r="G455" s="76"/>
      <c r="H455" s="76"/>
      <c r="I455" s="76"/>
      <c r="J455" s="25"/>
      <c r="K455" s="25"/>
      <c r="L455" s="76"/>
      <c r="M455" s="25"/>
      <c r="N455" s="25"/>
      <c r="O455" s="74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</row>
    <row r="456">
      <c r="A456" s="25"/>
      <c r="B456" s="25"/>
      <c r="C456" s="25"/>
      <c r="D456" s="25"/>
      <c r="E456" s="25"/>
      <c r="F456" s="74"/>
      <c r="G456" s="76"/>
      <c r="H456" s="76"/>
      <c r="I456" s="76"/>
      <c r="J456" s="25"/>
      <c r="K456" s="25"/>
      <c r="L456" s="76"/>
      <c r="M456" s="25"/>
      <c r="N456" s="25"/>
      <c r="O456" s="74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</row>
    <row r="457">
      <c r="A457" s="25"/>
      <c r="B457" s="25"/>
      <c r="C457" s="25"/>
      <c r="D457" s="25"/>
      <c r="E457" s="25"/>
      <c r="F457" s="74"/>
      <c r="G457" s="76"/>
      <c r="H457" s="76"/>
      <c r="I457" s="76"/>
      <c r="J457" s="25"/>
      <c r="K457" s="25"/>
      <c r="L457" s="76"/>
      <c r="M457" s="25"/>
      <c r="N457" s="25"/>
      <c r="O457" s="74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</row>
    <row r="458">
      <c r="A458" s="25"/>
      <c r="B458" s="25"/>
      <c r="C458" s="25"/>
      <c r="D458" s="25"/>
      <c r="E458" s="25"/>
      <c r="F458" s="74"/>
      <c r="G458" s="76"/>
      <c r="H458" s="76"/>
      <c r="I458" s="76"/>
      <c r="J458" s="25"/>
      <c r="K458" s="25"/>
      <c r="L458" s="76"/>
      <c r="M458" s="25"/>
      <c r="N458" s="25"/>
      <c r="O458" s="74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</row>
    <row r="459">
      <c r="A459" s="25"/>
      <c r="B459" s="25"/>
      <c r="C459" s="25"/>
      <c r="D459" s="25"/>
      <c r="E459" s="25"/>
      <c r="F459" s="74"/>
      <c r="G459" s="76"/>
      <c r="H459" s="76"/>
      <c r="I459" s="76"/>
      <c r="J459" s="25"/>
      <c r="K459" s="25"/>
      <c r="L459" s="76"/>
      <c r="M459" s="25"/>
      <c r="N459" s="25"/>
      <c r="O459" s="74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</row>
    <row r="460">
      <c r="A460" s="25"/>
      <c r="B460" s="25"/>
      <c r="C460" s="25"/>
      <c r="D460" s="25"/>
      <c r="E460" s="25"/>
      <c r="F460" s="74"/>
      <c r="G460" s="76"/>
      <c r="H460" s="76"/>
      <c r="I460" s="76"/>
      <c r="J460" s="25"/>
      <c r="K460" s="25"/>
      <c r="L460" s="76"/>
      <c r="M460" s="25"/>
      <c r="N460" s="25"/>
      <c r="O460" s="74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</row>
    <row r="461">
      <c r="A461" s="25"/>
      <c r="B461" s="25"/>
      <c r="C461" s="25"/>
      <c r="D461" s="25"/>
      <c r="E461" s="25"/>
      <c r="F461" s="74"/>
      <c r="G461" s="76"/>
      <c r="H461" s="76"/>
      <c r="I461" s="76"/>
      <c r="J461" s="25"/>
      <c r="K461" s="25"/>
      <c r="L461" s="76"/>
      <c r="M461" s="25"/>
      <c r="N461" s="25"/>
      <c r="O461" s="74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</row>
    <row r="462">
      <c r="A462" s="25"/>
      <c r="B462" s="25"/>
      <c r="C462" s="25"/>
      <c r="D462" s="25"/>
      <c r="E462" s="25"/>
      <c r="F462" s="74"/>
      <c r="G462" s="76"/>
      <c r="H462" s="76"/>
      <c r="I462" s="76"/>
      <c r="J462" s="25"/>
      <c r="K462" s="25"/>
      <c r="L462" s="76"/>
      <c r="M462" s="25"/>
      <c r="N462" s="25"/>
      <c r="O462" s="74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</row>
    <row r="463">
      <c r="A463" s="25"/>
      <c r="B463" s="25"/>
      <c r="C463" s="25"/>
      <c r="D463" s="25"/>
      <c r="E463" s="25"/>
      <c r="F463" s="74"/>
      <c r="G463" s="76"/>
      <c r="H463" s="76"/>
      <c r="I463" s="76"/>
      <c r="J463" s="25"/>
      <c r="K463" s="25"/>
      <c r="L463" s="76"/>
      <c r="M463" s="25"/>
      <c r="N463" s="25"/>
      <c r="O463" s="74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</row>
    <row r="464">
      <c r="A464" s="25"/>
      <c r="B464" s="25"/>
      <c r="C464" s="25"/>
      <c r="D464" s="25"/>
      <c r="E464" s="25"/>
      <c r="F464" s="74"/>
      <c r="G464" s="76"/>
      <c r="H464" s="76"/>
      <c r="I464" s="76"/>
      <c r="J464" s="25"/>
      <c r="K464" s="25"/>
      <c r="L464" s="76"/>
      <c r="M464" s="25"/>
      <c r="N464" s="25"/>
      <c r="O464" s="74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</row>
    <row r="465">
      <c r="A465" s="25"/>
      <c r="B465" s="25"/>
      <c r="C465" s="25"/>
      <c r="D465" s="25"/>
      <c r="E465" s="25"/>
      <c r="F465" s="74"/>
      <c r="G465" s="76"/>
      <c r="H465" s="76"/>
      <c r="I465" s="76"/>
      <c r="J465" s="25"/>
      <c r="K465" s="25"/>
      <c r="L465" s="76"/>
      <c r="M465" s="25"/>
      <c r="N465" s="25"/>
      <c r="O465" s="74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</row>
    <row r="466">
      <c r="A466" s="25"/>
      <c r="B466" s="25"/>
      <c r="C466" s="25"/>
      <c r="D466" s="25"/>
      <c r="E466" s="25"/>
      <c r="F466" s="74"/>
      <c r="G466" s="76"/>
      <c r="H466" s="76"/>
      <c r="I466" s="76"/>
      <c r="J466" s="25"/>
      <c r="K466" s="25"/>
      <c r="L466" s="76"/>
      <c r="M466" s="25"/>
      <c r="N466" s="25"/>
      <c r="O466" s="74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</row>
    <row r="467">
      <c r="A467" s="25"/>
      <c r="B467" s="25"/>
      <c r="C467" s="25"/>
      <c r="D467" s="25"/>
      <c r="E467" s="25"/>
      <c r="F467" s="74"/>
      <c r="G467" s="76"/>
      <c r="H467" s="76"/>
      <c r="I467" s="76"/>
      <c r="J467" s="25"/>
      <c r="K467" s="25"/>
      <c r="L467" s="76"/>
      <c r="M467" s="25"/>
      <c r="N467" s="25"/>
      <c r="O467" s="74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</row>
    <row r="468">
      <c r="A468" s="25"/>
      <c r="B468" s="25"/>
      <c r="C468" s="25"/>
      <c r="D468" s="25"/>
      <c r="E468" s="25"/>
      <c r="F468" s="74"/>
      <c r="G468" s="76"/>
      <c r="H468" s="76"/>
      <c r="I468" s="76"/>
      <c r="J468" s="25"/>
      <c r="K468" s="25"/>
      <c r="L468" s="76"/>
      <c r="M468" s="25"/>
      <c r="N468" s="25"/>
      <c r="O468" s="74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</row>
    <row r="469">
      <c r="A469" s="25"/>
      <c r="B469" s="25"/>
      <c r="C469" s="25"/>
      <c r="D469" s="25"/>
      <c r="E469" s="25"/>
      <c r="F469" s="74"/>
      <c r="G469" s="76"/>
      <c r="H469" s="76"/>
      <c r="I469" s="76"/>
      <c r="J469" s="25"/>
      <c r="K469" s="25"/>
      <c r="L469" s="76"/>
      <c r="M469" s="25"/>
      <c r="N469" s="25"/>
      <c r="O469" s="74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</row>
    <row r="470">
      <c r="A470" s="25"/>
      <c r="B470" s="25"/>
      <c r="C470" s="25"/>
      <c r="D470" s="25"/>
      <c r="E470" s="25"/>
      <c r="F470" s="74"/>
      <c r="G470" s="76"/>
      <c r="H470" s="76"/>
      <c r="I470" s="76"/>
      <c r="J470" s="25"/>
      <c r="K470" s="25"/>
      <c r="L470" s="76"/>
      <c r="M470" s="25"/>
      <c r="N470" s="25"/>
      <c r="O470" s="74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</row>
    <row r="471">
      <c r="A471" s="25"/>
      <c r="B471" s="25"/>
      <c r="C471" s="25"/>
      <c r="D471" s="25"/>
      <c r="E471" s="25"/>
      <c r="F471" s="74"/>
      <c r="G471" s="76"/>
      <c r="H471" s="76"/>
      <c r="I471" s="76"/>
      <c r="J471" s="25"/>
      <c r="K471" s="25"/>
      <c r="L471" s="76"/>
      <c r="M471" s="25"/>
      <c r="N471" s="25"/>
      <c r="O471" s="74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</row>
    <row r="472">
      <c r="A472" s="25"/>
      <c r="B472" s="25"/>
      <c r="C472" s="25"/>
      <c r="D472" s="25"/>
      <c r="E472" s="25"/>
      <c r="F472" s="74"/>
      <c r="G472" s="76"/>
      <c r="H472" s="76"/>
      <c r="I472" s="76"/>
      <c r="J472" s="25"/>
      <c r="K472" s="25"/>
      <c r="L472" s="76"/>
      <c r="M472" s="25"/>
      <c r="N472" s="25"/>
      <c r="O472" s="74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</row>
    <row r="473">
      <c r="A473" s="25"/>
      <c r="B473" s="25"/>
      <c r="C473" s="25"/>
      <c r="D473" s="25"/>
      <c r="E473" s="25"/>
      <c r="F473" s="74"/>
      <c r="G473" s="76"/>
      <c r="H473" s="76"/>
      <c r="I473" s="76"/>
      <c r="J473" s="25"/>
      <c r="K473" s="25"/>
      <c r="L473" s="76"/>
      <c r="M473" s="25"/>
      <c r="N473" s="25"/>
      <c r="O473" s="74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</row>
    <row r="474">
      <c r="A474" s="25"/>
      <c r="B474" s="25"/>
      <c r="C474" s="25"/>
      <c r="D474" s="25"/>
      <c r="E474" s="25"/>
      <c r="F474" s="74"/>
      <c r="G474" s="76"/>
      <c r="H474" s="76"/>
      <c r="I474" s="76"/>
      <c r="J474" s="25"/>
      <c r="K474" s="25"/>
      <c r="L474" s="76"/>
      <c r="M474" s="25"/>
      <c r="N474" s="25"/>
      <c r="O474" s="74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</row>
    <row r="475">
      <c r="A475" s="25"/>
      <c r="B475" s="25"/>
      <c r="C475" s="25"/>
      <c r="D475" s="25"/>
      <c r="E475" s="25"/>
      <c r="F475" s="74"/>
      <c r="G475" s="76"/>
      <c r="H475" s="76"/>
      <c r="I475" s="76"/>
      <c r="J475" s="25"/>
      <c r="K475" s="25"/>
      <c r="L475" s="76"/>
      <c r="M475" s="25"/>
      <c r="N475" s="25"/>
      <c r="O475" s="74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</row>
    <row r="476">
      <c r="A476" s="25"/>
      <c r="B476" s="25"/>
      <c r="C476" s="25"/>
      <c r="D476" s="25"/>
      <c r="E476" s="25"/>
      <c r="F476" s="74"/>
      <c r="G476" s="76"/>
      <c r="H476" s="76"/>
      <c r="I476" s="76"/>
      <c r="J476" s="25"/>
      <c r="K476" s="25"/>
      <c r="L476" s="76"/>
      <c r="M476" s="25"/>
      <c r="N476" s="25"/>
      <c r="O476" s="74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</row>
    <row r="477">
      <c r="A477" s="25"/>
      <c r="B477" s="25"/>
      <c r="C477" s="25"/>
      <c r="D477" s="25"/>
      <c r="E477" s="25"/>
      <c r="F477" s="74"/>
      <c r="G477" s="76"/>
      <c r="H477" s="76"/>
      <c r="I477" s="76"/>
      <c r="J477" s="25"/>
      <c r="K477" s="25"/>
      <c r="L477" s="76"/>
      <c r="M477" s="25"/>
      <c r="N477" s="25"/>
      <c r="O477" s="74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</row>
    <row r="478">
      <c r="A478" s="25"/>
      <c r="B478" s="25"/>
      <c r="C478" s="25"/>
      <c r="D478" s="25"/>
      <c r="E478" s="25"/>
      <c r="F478" s="74"/>
      <c r="G478" s="76"/>
      <c r="H478" s="76"/>
      <c r="I478" s="76"/>
      <c r="J478" s="25"/>
      <c r="K478" s="25"/>
      <c r="L478" s="76"/>
      <c r="M478" s="25"/>
      <c r="N478" s="25"/>
      <c r="O478" s="74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</row>
    <row r="479">
      <c r="A479" s="25"/>
      <c r="B479" s="25"/>
      <c r="C479" s="25"/>
      <c r="D479" s="25"/>
      <c r="E479" s="25"/>
      <c r="F479" s="74"/>
      <c r="G479" s="76"/>
      <c r="H479" s="76"/>
      <c r="I479" s="76"/>
      <c r="J479" s="25"/>
      <c r="K479" s="25"/>
      <c r="L479" s="76"/>
      <c r="M479" s="25"/>
      <c r="N479" s="25"/>
      <c r="O479" s="74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</row>
    <row r="480">
      <c r="A480" s="25"/>
      <c r="B480" s="25"/>
      <c r="C480" s="25"/>
      <c r="D480" s="25"/>
      <c r="E480" s="25"/>
      <c r="F480" s="74"/>
      <c r="G480" s="76"/>
      <c r="H480" s="76"/>
      <c r="I480" s="76"/>
      <c r="J480" s="25"/>
      <c r="K480" s="25"/>
      <c r="L480" s="76"/>
      <c r="M480" s="25"/>
      <c r="N480" s="25"/>
      <c r="O480" s="74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</row>
    <row r="481">
      <c r="A481" s="25"/>
      <c r="B481" s="25"/>
      <c r="C481" s="25"/>
      <c r="D481" s="25"/>
      <c r="E481" s="25"/>
      <c r="F481" s="74"/>
      <c r="G481" s="76"/>
      <c r="H481" s="76"/>
      <c r="I481" s="76"/>
      <c r="J481" s="25"/>
      <c r="K481" s="25"/>
      <c r="L481" s="76"/>
      <c r="M481" s="25"/>
      <c r="N481" s="25"/>
      <c r="O481" s="74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</row>
    <row r="482">
      <c r="A482" s="25"/>
      <c r="B482" s="25"/>
      <c r="C482" s="25"/>
      <c r="D482" s="25"/>
      <c r="E482" s="25"/>
      <c r="F482" s="74"/>
      <c r="G482" s="76"/>
      <c r="H482" s="76"/>
      <c r="I482" s="76"/>
      <c r="J482" s="25"/>
      <c r="K482" s="25"/>
      <c r="L482" s="76"/>
      <c r="M482" s="25"/>
      <c r="N482" s="25"/>
      <c r="O482" s="74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</row>
    <row r="483">
      <c r="A483" s="25"/>
      <c r="B483" s="25"/>
      <c r="C483" s="25"/>
      <c r="D483" s="25"/>
      <c r="E483" s="25"/>
      <c r="F483" s="74"/>
      <c r="G483" s="76"/>
      <c r="H483" s="76"/>
      <c r="I483" s="76"/>
      <c r="J483" s="25"/>
      <c r="K483" s="25"/>
      <c r="L483" s="76"/>
      <c r="M483" s="25"/>
      <c r="N483" s="25"/>
      <c r="O483" s="74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</row>
    <row r="484">
      <c r="A484" s="25"/>
      <c r="B484" s="25"/>
      <c r="C484" s="25"/>
      <c r="D484" s="25"/>
      <c r="E484" s="25"/>
      <c r="F484" s="74"/>
      <c r="G484" s="76"/>
      <c r="H484" s="76"/>
      <c r="I484" s="76"/>
      <c r="J484" s="25"/>
      <c r="K484" s="25"/>
      <c r="L484" s="76"/>
      <c r="M484" s="25"/>
      <c r="N484" s="25"/>
      <c r="O484" s="74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</row>
    <row r="485">
      <c r="A485" s="25"/>
      <c r="B485" s="25"/>
      <c r="C485" s="25"/>
      <c r="D485" s="25"/>
      <c r="E485" s="25"/>
      <c r="F485" s="74"/>
      <c r="G485" s="76"/>
      <c r="H485" s="76"/>
      <c r="I485" s="76"/>
      <c r="J485" s="25"/>
      <c r="K485" s="25"/>
      <c r="L485" s="76"/>
      <c r="M485" s="25"/>
      <c r="N485" s="25"/>
      <c r="O485" s="74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</row>
    <row r="486">
      <c r="A486" s="25"/>
      <c r="B486" s="25"/>
      <c r="C486" s="25"/>
      <c r="D486" s="25"/>
      <c r="E486" s="25"/>
      <c r="F486" s="74"/>
      <c r="G486" s="76"/>
      <c r="H486" s="76"/>
      <c r="I486" s="76"/>
      <c r="J486" s="25"/>
      <c r="K486" s="25"/>
      <c r="L486" s="76"/>
      <c r="M486" s="25"/>
      <c r="N486" s="25"/>
      <c r="O486" s="74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</row>
    <row r="487">
      <c r="A487" s="25"/>
      <c r="B487" s="25"/>
      <c r="C487" s="25"/>
      <c r="D487" s="25"/>
      <c r="E487" s="25"/>
      <c r="F487" s="74"/>
      <c r="G487" s="76"/>
      <c r="H487" s="76"/>
      <c r="I487" s="76"/>
      <c r="J487" s="25"/>
      <c r="K487" s="25"/>
      <c r="L487" s="76"/>
      <c r="M487" s="25"/>
      <c r="N487" s="25"/>
      <c r="O487" s="74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</row>
    <row r="488">
      <c r="A488" s="25"/>
      <c r="B488" s="25"/>
      <c r="C488" s="25"/>
      <c r="D488" s="25"/>
      <c r="E488" s="25"/>
      <c r="F488" s="74"/>
      <c r="G488" s="76"/>
      <c r="H488" s="76"/>
      <c r="I488" s="76"/>
      <c r="J488" s="25"/>
      <c r="K488" s="25"/>
      <c r="L488" s="76"/>
      <c r="M488" s="25"/>
      <c r="N488" s="25"/>
      <c r="O488" s="74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</row>
    <row r="489">
      <c r="A489" s="25"/>
      <c r="B489" s="25"/>
      <c r="C489" s="25"/>
      <c r="D489" s="25"/>
      <c r="E489" s="25"/>
      <c r="F489" s="74"/>
      <c r="G489" s="76"/>
      <c r="H489" s="76"/>
      <c r="I489" s="76"/>
      <c r="J489" s="25"/>
      <c r="K489" s="25"/>
      <c r="L489" s="76"/>
      <c r="M489" s="25"/>
      <c r="N489" s="25"/>
      <c r="O489" s="74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</row>
    <row r="490">
      <c r="A490" s="25"/>
      <c r="B490" s="25"/>
      <c r="C490" s="25"/>
      <c r="D490" s="25"/>
      <c r="E490" s="25"/>
      <c r="F490" s="74"/>
      <c r="G490" s="76"/>
      <c r="H490" s="76"/>
      <c r="I490" s="76"/>
      <c r="J490" s="25"/>
      <c r="K490" s="25"/>
      <c r="L490" s="76"/>
      <c r="M490" s="25"/>
      <c r="N490" s="25"/>
      <c r="O490" s="74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</row>
    <row r="491">
      <c r="A491" s="25"/>
      <c r="B491" s="25"/>
      <c r="C491" s="25"/>
      <c r="D491" s="25"/>
      <c r="E491" s="25"/>
      <c r="F491" s="74"/>
      <c r="G491" s="76"/>
      <c r="H491" s="76"/>
      <c r="I491" s="76"/>
      <c r="J491" s="25"/>
      <c r="K491" s="25"/>
      <c r="L491" s="76"/>
      <c r="M491" s="25"/>
      <c r="N491" s="25"/>
      <c r="O491" s="74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</row>
    <row r="492">
      <c r="A492" s="25"/>
      <c r="B492" s="25"/>
      <c r="C492" s="25"/>
      <c r="D492" s="25"/>
      <c r="E492" s="25"/>
      <c r="F492" s="74"/>
      <c r="G492" s="76"/>
      <c r="H492" s="76"/>
      <c r="I492" s="76"/>
      <c r="J492" s="25"/>
      <c r="K492" s="25"/>
      <c r="L492" s="76"/>
      <c r="M492" s="25"/>
      <c r="N492" s="25"/>
      <c r="O492" s="74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</row>
    <row r="493">
      <c r="A493" s="25"/>
      <c r="B493" s="25"/>
      <c r="C493" s="25"/>
      <c r="D493" s="25"/>
      <c r="E493" s="25"/>
      <c r="F493" s="74"/>
      <c r="G493" s="76"/>
      <c r="H493" s="76"/>
      <c r="I493" s="76"/>
      <c r="J493" s="25"/>
      <c r="K493" s="25"/>
      <c r="L493" s="76"/>
      <c r="M493" s="25"/>
      <c r="N493" s="25"/>
      <c r="O493" s="74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</row>
    <row r="494">
      <c r="A494" s="25"/>
      <c r="B494" s="25"/>
      <c r="C494" s="25"/>
      <c r="D494" s="25"/>
      <c r="E494" s="25"/>
      <c r="F494" s="74"/>
      <c r="G494" s="76"/>
      <c r="H494" s="76"/>
      <c r="I494" s="76"/>
      <c r="J494" s="25"/>
      <c r="K494" s="25"/>
      <c r="L494" s="76"/>
      <c r="M494" s="25"/>
      <c r="N494" s="25"/>
      <c r="O494" s="74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</row>
    <row r="495">
      <c r="A495" s="25"/>
      <c r="B495" s="25"/>
      <c r="C495" s="25"/>
      <c r="D495" s="25"/>
      <c r="E495" s="25"/>
      <c r="F495" s="74"/>
      <c r="G495" s="76"/>
      <c r="H495" s="76"/>
      <c r="I495" s="76"/>
      <c r="J495" s="25"/>
      <c r="K495" s="25"/>
      <c r="L495" s="76"/>
      <c r="M495" s="25"/>
      <c r="N495" s="25"/>
      <c r="O495" s="74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</row>
    <row r="496">
      <c r="A496" s="25"/>
      <c r="B496" s="25"/>
      <c r="C496" s="25"/>
      <c r="D496" s="25"/>
      <c r="E496" s="25"/>
      <c r="F496" s="74"/>
      <c r="G496" s="76"/>
      <c r="H496" s="76"/>
      <c r="I496" s="76"/>
      <c r="J496" s="25"/>
      <c r="K496" s="25"/>
      <c r="L496" s="76"/>
      <c r="M496" s="25"/>
      <c r="N496" s="25"/>
      <c r="O496" s="74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</row>
    <row r="497">
      <c r="A497" s="25"/>
      <c r="B497" s="25"/>
      <c r="C497" s="25"/>
      <c r="D497" s="25"/>
      <c r="E497" s="25"/>
      <c r="F497" s="74"/>
      <c r="G497" s="76"/>
      <c r="H497" s="76"/>
      <c r="I497" s="76"/>
      <c r="J497" s="25"/>
      <c r="K497" s="25"/>
      <c r="L497" s="76"/>
      <c r="M497" s="25"/>
      <c r="N497" s="25"/>
      <c r="O497" s="74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</row>
    <row r="498">
      <c r="A498" s="25"/>
      <c r="B498" s="25"/>
      <c r="C498" s="25"/>
      <c r="D498" s="25"/>
      <c r="E498" s="25"/>
      <c r="F498" s="74"/>
      <c r="G498" s="76"/>
      <c r="H498" s="76"/>
      <c r="I498" s="76"/>
      <c r="J498" s="25"/>
      <c r="K498" s="25"/>
      <c r="L498" s="76"/>
      <c r="M498" s="25"/>
      <c r="N498" s="25"/>
      <c r="O498" s="74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</row>
    <row r="499">
      <c r="A499" s="25"/>
      <c r="B499" s="25"/>
      <c r="C499" s="25"/>
      <c r="D499" s="25"/>
      <c r="E499" s="25"/>
      <c r="F499" s="74"/>
      <c r="G499" s="76"/>
      <c r="H499" s="76"/>
      <c r="I499" s="76"/>
      <c r="J499" s="25"/>
      <c r="K499" s="25"/>
      <c r="L499" s="76"/>
      <c r="M499" s="25"/>
      <c r="N499" s="25"/>
      <c r="O499" s="74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</row>
    <row r="500">
      <c r="A500" s="25"/>
      <c r="B500" s="25"/>
      <c r="C500" s="25"/>
      <c r="D500" s="25"/>
      <c r="E500" s="25"/>
      <c r="F500" s="74"/>
      <c r="G500" s="76"/>
      <c r="H500" s="76"/>
      <c r="I500" s="76"/>
      <c r="J500" s="25"/>
      <c r="K500" s="25"/>
      <c r="L500" s="76"/>
      <c r="M500" s="25"/>
      <c r="N500" s="25"/>
      <c r="O500" s="74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</row>
    <row r="501">
      <c r="A501" s="25"/>
      <c r="B501" s="25"/>
      <c r="C501" s="25"/>
      <c r="D501" s="25"/>
      <c r="E501" s="25"/>
      <c r="F501" s="74"/>
      <c r="G501" s="76"/>
      <c r="H501" s="76"/>
      <c r="I501" s="76"/>
      <c r="J501" s="25"/>
      <c r="K501" s="25"/>
      <c r="L501" s="76"/>
      <c r="M501" s="25"/>
      <c r="N501" s="25"/>
      <c r="O501" s="74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</row>
    <row r="502">
      <c r="A502" s="25"/>
      <c r="B502" s="25"/>
      <c r="C502" s="25"/>
      <c r="D502" s="25"/>
      <c r="E502" s="25"/>
      <c r="F502" s="74"/>
      <c r="G502" s="76"/>
      <c r="H502" s="76"/>
      <c r="I502" s="76"/>
      <c r="J502" s="25"/>
      <c r="K502" s="25"/>
      <c r="L502" s="76"/>
      <c r="M502" s="25"/>
      <c r="N502" s="25"/>
      <c r="O502" s="74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</row>
    <row r="503">
      <c r="A503" s="25"/>
      <c r="B503" s="25"/>
      <c r="C503" s="25"/>
      <c r="D503" s="25"/>
      <c r="E503" s="25"/>
      <c r="F503" s="74"/>
      <c r="G503" s="76"/>
      <c r="H503" s="76"/>
      <c r="I503" s="76"/>
      <c r="J503" s="25"/>
      <c r="K503" s="25"/>
      <c r="L503" s="76"/>
      <c r="M503" s="25"/>
      <c r="N503" s="25"/>
      <c r="O503" s="74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</row>
    <row r="504">
      <c r="A504" s="25"/>
      <c r="B504" s="25"/>
      <c r="C504" s="25"/>
      <c r="D504" s="25"/>
      <c r="E504" s="25"/>
      <c r="F504" s="74"/>
      <c r="G504" s="76"/>
      <c r="H504" s="76"/>
      <c r="I504" s="76"/>
      <c r="J504" s="25"/>
      <c r="K504" s="25"/>
      <c r="L504" s="76"/>
      <c r="M504" s="25"/>
      <c r="N504" s="25"/>
      <c r="O504" s="74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</row>
    <row r="505">
      <c r="A505" s="25"/>
      <c r="B505" s="25"/>
      <c r="C505" s="25"/>
      <c r="D505" s="25"/>
      <c r="E505" s="25"/>
      <c r="F505" s="74"/>
      <c r="G505" s="76"/>
      <c r="H505" s="76"/>
      <c r="I505" s="76"/>
      <c r="J505" s="25"/>
      <c r="K505" s="25"/>
      <c r="L505" s="76"/>
      <c r="M505" s="25"/>
      <c r="N505" s="25"/>
      <c r="O505" s="74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</row>
    <row r="506">
      <c r="A506" s="25"/>
      <c r="B506" s="25"/>
      <c r="C506" s="25"/>
      <c r="D506" s="25"/>
      <c r="E506" s="25"/>
      <c r="F506" s="74"/>
      <c r="G506" s="76"/>
      <c r="H506" s="76"/>
      <c r="I506" s="76"/>
      <c r="J506" s="25"/>
      <c r="K506" s="25"/>
      <c r="L506" s="76"/>
      <c r="M506" s="25"/>
      <c r="N506" s="25"/>
      <c r="O506" s="74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</row>
    <row r="507">
      <c r="A507" s="25"/>
      <c r="B507" s="25"/>
      <c r="C507" s="25"/>
      <c r="D507" s="25"/>
      <c r="E507" s="25"/>
      <c r="F507" s="74"/>
      <c r="G507" s="76"/>
      <c r="H507" s="76"/>
      <c r="I507" s="76"/>
      <c r="J507" s="25"/>
      <c r="K507" s="25"/>
      <c r="L507" s="76"/>
      <c r="M507" s="25"/>
      <c r="N507" s="25"/>
      <c r="O507" s="74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</row>
    <row r="508">
      <c r="A508" s="25"/>
      <c r="B508" s="25"/>
      <c r="C508" s="25"/>
      <c r="D508" s="25"/>
      <c r="E508" s="25"/>
      <c r="F508" s="74"/>
      <c r="G508" s="76"/>
      <c r="H508" s="76"/>
      <c r="I508" s="76"/>
      <c r="J508" s="25"/>
      <c r="K508" s="25"/>
      <c r="L508" s="76"/>
      <c r="M508" s="25"/>
      <c r="N508" s="25"/>
      <c r="O508" s="74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</row>
    <row r="509">
      <c r="A509" s="25"/>
      <c r="B509" s="25"/>
      <c r="C509" s="25"/>
      <c r="D509" s="25"/>
      <c r="E509" s="25"/>
      <c r="F509" s="74"/>
      <c r="G509" s="76"/>
      <c r="H509" s="76"/>
      <c r="I509" s="76"/>
      <c r="J509" s="25"/>
      <c r="K509" s="25"/>
      <c r="L509" s="76"/>
      <c r="M509" s="25"/>
      <c r="N509" s="25"/>
      <c r="O509" s="74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</row>
    <row r="510">
      <c r="A510" s="25"/>
      <c r="B510" s="25"/>
      <c r="C510" s="25"/>
      <c r="D510" s="25"/>
      <c r="E510" s="25"/>
      <c r="F510" s="74"/>
      <c r="G510" s="76"/>
      <c r="H510" s="76"/>
      <c r="I510" s="76"/>
      <c r="J510" s="25"/>
      <c r="K510" s="25"/>
      <c r="L510" s="76"/>
      <c r="M510" s="25"/>
      <c r="N510" s="25"/>
      <c r="O510" s="74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</row>
    <row r="511">
      <c r="A511" s="25"/>
      <c r="B511" s="25"/>
      <c r="C511" s="25"/>
      <c r="D511" s="25"/>
      <c r="E511" s="25"/>
      <c r="F511" s="74"/>
      <c r="G511" s="76"/>
      <c r="H511" s="76"/>
      <c r="I511" s="76"/>
      <c r="J511" s="25"/>
      <c r="K511" s="25"/>
      <c r="L511" s="76"/>
      <c r="M511" s="25"/>
      <c r="N511" s="25"/>
      <c r="O511" s="74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</row>
    <row r="512">
      <c r="A512" s="25"/>
      <c r="B512" s="25"/>
      <c r="C512" s="25"/>
      <c r="D512" s="25"/>
      <c r="E512" s="25"/>
      <c r="F512" s="74"/>
      <c r="G512" s="76"/>
      <c r="H512" s="76"/>
      <c r="I512" s="76"/>
      <c r="J512" s="25"/>
      <c r="K512" s="25"/>
      <c r="L512" s="76"/>
      <c r="M512" s="25"/>
      <c r="N512" s="25"/>
      <c r="O512" s="74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</row>
    <row r="513">
      <c r="A513" s="25"/>
      <c r="B513" s="25"/>
      <c r="C513" s="25"/>
      <c r="D513" s="25"/>
      <c r="E513" s="25"/>
      <c r="F513" s="74"/>
      <c r="G513" s="76"/>
      <c r="H513" s="76"/>
      <c r="I513" s="76"/>
      <c r="J513" s="25"/>
      <c r="K513" s="25"/>
      <c r="L513" s="76"/>
      <c r="M513" s="25"/>
      <c r="N513" s="25"/>
      <c r="O513" s="74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</row>
    <row r="514">
      <c r="A514" s="25"/>
      <c r="B514" s="25"/>
      <c r="C514" s="25"/>
      <c r="D514" s="25"/>
      <c r="E514" s="25"/>
      <c r="F514" s="74"/>
      <c r="G514" s="76"/>
      <c r="H514" s="76"/>
      <c r="I514" s="76"/>
      <c r="J514" s="25"/>
      <c r="K514" s="25"/>
      <c r="L514" s="76"/>
      <c r="M514" s="25"/>
      <c r="N514" s="25"/>
      <c r="O514" s="74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</row>
    <row r="515">
      <c r="A515" s="25"/>
      <c r="B515" s="25"/>
      <c r="C515" s="25"/>
      <c r="D515" s="25"/>
      <c r="E515" s="25"/>
      <c r="F515" s="74"/>
      <c r="G515" s="76"/>
      <c r="H515" s="76"/>
      <c r="I515" s="76"/>
      <c r="J515" s="25"/>
      <c r="K515" s="25"/>
      <c r="L515" s="76"/>
      <c r="M515" s="25"/>
      <c r="N515" s="25"/>
      <c r="O515" s="74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</row>
    <row r="516">
      <c r="A516" s="25"/>
      <c r="B516" s="25"/>
      <c r="C516" s="25"/>
      <c r="D516" s="25"/>
      <c r="E516" s="25"/>
      <c r="F516" s="74"/>
      <c r="G516" s="76"/>
      <c r="H516" s="76"/>
      <c r="I516" s="76"/>
      <c r="J516" s="25"/>
      <c r="K516" s="25"/>
      <c r="L516" s="76"/>
      <c r="M516" s="25"/>
      <c r="N516" s="25"/>
      <c r="O516" s="74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</row>
    <row r="517">
      <c r="A517" s="25"/>
      <c r="B517" s="25"/>
      <c r="C517" s="25"/>
      <c r="D517" s="25"/>
      <c r="E517" s="25"/>
      <c r="F517" s="74"/>
      <c r="G517" s="76"/>
      <c r="H517" s="76"/>
      <c r="I517" s="76"/>
      <c r="J517" s="25"/>
      <c r="K517" s="25"/>
      <c r="L517" s="76"/>
      <c r="M517" s="25"/>
      <c r="N517" s="25"/>
      <c r="O517" s="74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</row>
    <row r="518">
      <c r="A518" s="25"/>
      <c r="B518" s="25"/>
      <c r="C518" s="25"/>
      <c r="D518" s="25"/>
      <c r="E518" s="25"/>
      <c r="F518" s="74"/>
      <c r="G518" s="76"/>
      <c r="H518" s="76"/>
      <c r="I518" s="76"/>
      <c r="J518" s="25"/>
      <c r="K518" s="25"/>
      <c r="L518" s="76"/>
      <c r="M518" s="25"/>
      <c r="N518" s="25"/>
      <c r="O518" s="74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</row>
    <row r="519">
      <c r="A519" s="25"/>
      <c r="B519" s="25"/>
      <c r="C519" s="25"/>
      <c r="D519" s="25"/>
      <c r="E519" s="25"/>
      <c r="F519" s="74"/>
      <c r="G519" s="76"/>
      <c r="H519" s="76"/>
      <c r="I519" s="76"/>
      <c r="J519" s="25"/>
      <c r="K519" s="25"/>
      <c r="L519" s="76"/>
      <c r="M519" s="25"/>
      <c r="N519" s="25"/>
      <c r="O519" s="74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</row>
    <row r="520">
      <c r="A520" s="25"/>
      <c r="B520" s="25"/>
      <c r="C520" s="25"/>
      <c r="D520" s="25"/>
      <c r="E520" s="25"/>
      <c r="F520" s="74"/>
      <c r="G520" s="76"/>
      <c r="H520" s="76"/>
      <c r="I520" s="76"/>
      <c r="J520" s="25"/>
      <c r="K520" s="25"/>
      <c r="L520" s="76"/>
      <c r="M520" s="25"/>
      <c r="N520" s="25"/>
      <c r="O520" s="74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</row>
    <row r="521">
      <c r="A521" s="25"/>
      <c r="B521" s="25"/>
      <c r="C521" s="25"/>
      <c r="D521" s="25"/>
      <c r="E521" s="25"/>
      <c r="F521" s="74"/>
      <c r="G521" s="76"/>
      <c r="H521" s="76"/>
      <c r="I521" s="76"/>
      <c r="J521" s="25"/>
      <c r="K521" s="25"/>
      <c r="L521" s="76"/>
      <c r="M521" s="25"/>
      <c r="N521" s="25"/>
      <c r="O521" s="74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</row>
    <row r="522">
      <c r="A522" s="25"/>
      <c r="B522" s="25"/>
      <c r="C522" s="25"/>
      <c r="D522" s="25"/>
      <c r="E522" s="25"/>
      <c r="F522" s="74"/>
      <c r="G522" s="76"/>
      <c r="H522" s="76"/>
      <c r="I522" s="76"/>
      <c r="J522" s="25"/>
      <c r="K522" s="25"/>
      <c r="L522" s="76"/>
      <c r="M522" s="25"/>
      <c r="N522" s="25"/>
      <c r="O522" s="74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</row>
    <row r="523">
      <c r="A523" s="25"/>
      <c r="B523" s="25"/>
      <c r="C523" s="25"/>
      <c r="D523" s="25"/>
      <c r="E523" s="25"/>
      <c r="F523" s="74"/>
      <c r="G523" s="76"/>
      <c r="H523" s="76"/>
      <c r="I523" s="76"/>
      <c r="J523" s="25"/>
      <c r="K523" s="25"/>
      <c r="L523" s="76"/>
      <c r="M523" s="25"/>
      <c r="N523" s="25"/>
      <c r="O523" s="74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</row>
    <row r="524">
      <c r="A524" s="25"/>
      <c r="B524" s="25"/>
      <c r="C524" s="25"/>
      <c r="D524" s="25"/>
      <c r="E524" s="25"/>
      <c r="F524" s="74"/>
      <c r="G524" s="76"/>
      <c r="H524" s="76"/>
      <c r="I524" s="76"/>
      <c r="J524" s="25"/>
      <c r="K524" s="25"/>
      <c r="L524" s="76"/>
      <c r="M524" s="25"/>
      <c r="N524" s="25"/>
      <c r="O524" s="74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</row>
    <row r="525">
      <c r="A525" s="25"/>
      <c r="B525" s="25"/>
      <c r="C525" s="25"/>
      <c r="D525" s="25"/>
      <c r="E525" s="25"/>
      <c r="F525" s="74"/>
      <c r="G525" s="76"/>
      <c r="H525" s="76"/>
      <c r="I525" s="76"/>
      <c r="J525" s="25"/>
      <c r="K525" s="25"/>
      <c r="L525" s="76"/>
      <c r="M525" s="25"/>
      <c r="N525" s="25"/>
      <c r="O525" s="74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</row>
    <row r="526">
      <c r="A526" s="25"/>
      <c r="B526" s="25"/>
      <c r="C526" s="25"/>
      <c r="D526" s="25"/>
      <c r="E526" s="25"/>
      <c r="F526" s="74"/>
      <c r="G526" s="76"/>
      <c r="H526" s="76"/>
      <c r="I526" s="76"/>
      <c r="J526" s="25"/>
      <c r="K526" s="25"/>
      <c r="L526" s="76"/>
      <c r="M526" s="25"/>
      <c r="N526" s="25"/>
      <c r="O526" s="74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</row>
    <row r="527">
      <c r="A527" s="25"/>
      <c r="B527" s="25"/>
      <c r="C527" s="25"/>
      <c r="D527" s="25"/>
      <c r="E527" s="25"/>
      <c r="F527" s="74"/>
      <c r="G527" s="76"/>
      <c r="H527" s="76"/>
      <c r="I527" s="76"/>
      <c r="J527" s="25"/>
      <c r="K527" s="25"/>
      <c r="L527" s="76"/>
      <c r="M527" s="25"/>
      <c r="N527" s="25"/>
      <c r="O527" s="74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</row>
    <row r="528">
      <c r="A528" s="25"/>
      <c r="B528" s="25"/>
      <c r="C528" s="25"/>
      <c r="D528" s="25"/>
      <c r="E528" s="25"/>
      <c r="F528" s="74"/>
      <c r="G528" s="76"/>
      <c r="H528" s="76"/>
      <c r="I528" s="76"/>
      <c r="J528" s="25"/>
      <c r="K528" s="25"/>
      <c r="L528" s="76"/>
      <c r="M528" s="25"/>
      <c r="N528" s="25"/>
      <c r="O528" s="74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</row>
    <row r="529">
      <c r="A529" s="25"/>
      <c r="B529" s="25"/>
      <c r="C529" s="25"/>
      <c r="D529" s="25"/>
      <c r="E529" s="25"/>
      <c r="F529" s="74"/>
      <c r="G529" s="76"/>
      <c r="H529" s="76"/>
      <c r="I529" s="76"/>
      <c r="J529" s="25"/>
      <c r="K529" s="25"/>
      <c r="L529" s="76"/>
      <c r="M529" s="25"/>
      <c r="N529" s="25"/>
      <c r="O529" s="74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</row>
    <row r="530">
      <c r="A530" s="25"/>
      <c r="B530" s="25"/>
      <c r="C530" s="25"/>
      <c r="D530" s="25"/>
      <c r="E530" s="25"/>
      <c r="F530" s="74"/>
      <c r="G530" s="76"/>
      <c r="H530" s="76"/>
      <c r="I530" s="76"/>
      <c r="J530" s="25"/>
      <c r="K530" s="25"/>
      <c r="L530" s="76"/>
      <c r="M530" s="25"/>
      <c r="N530" s="25"/>
      <c r="O530" s="74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</row>
    <row r="531">
      <c r="A531" s="25"/>
      <c r="B531" s="25"/>
      <c r="C531" s="25"/>
      <c r="D531" s="25"/>
      <c r="E531" s="25"/>
      <c r="F531" s="74"/>
      <c r="G531" s="76"/>
      <c r="H531" s="76"/>
      <c r="I531" s="76"/>
      <c r="J531" s="25"/>
      <c r="K531" s="25"/>
      <c r="L531" s="76"/>
      <c r="M531" s="25"/>
      <c r="N531" s="25"/>
      <c r="O531" s="74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</row>
    <row r="532">
      <c r="A532" s="25"/>
      <c r="B532" s="25"/>
      <c r="C532" s="25"/>
      <c r="D532" s="25"/>
      <c r="E532" s="25"/>
      <c r="F532" s="74"/>
      <c r="G532" s="76"/>
      <c r="H532" s="76"/>
      <c r="I532" s="76"/>
      <c r="J532" s="25"/>
      <c r="K532" s="25"/>
      <c r="L532" s="76"/>
      <c r="M532" s="25"/>
      <c r="N532" s="25"/>
      <c r="O532" s="74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</row>
    <row r="533">
      <c r="A533" s="25"/>
      <c r="B533" s="25"/>
      <c r="C533" s="25"/>
      <c r="D533" s="25"/>
      <c r="E533" s="25"/>
      <c r="F533" s="74"/>
      <c r="G533" s="76"/>
      <c r="H533" s="76"/>
      <c r="I533" s="76"/>
      <c r="J533" s="25"/>
      <c r="K533" s="25"/>
      <c r="L533" s="76"/>
      <c r="M533" s="25"/>
      <c r="N533" s="25"/>
      <c r="O533" s="74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</row>
    <row r="534">
      <c r="A534" s="25"/>
      <c r="B534" s="25"/>
      <c r="C534" s="25"/>
      <c r="D534" s="25"/>
      <c r="E534" s="25"/>
      <c r="F534" s="74"/>
      <c r="G534" s="76"/>
      <c r="H534" s="76"/>
      <c r="I534" s="76"/>
      <c r="J534" s="25"/>
      <c r="K534" s="25"/>
      <c r="L534" s="76"/>
      <c r="M534" s="25"/>
      <c r="N534" s="25"/>
      <c r="O534" s="74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</row>
    <row r="535">
      <c r="A535" s="25"/>
      <c r="B535" s="25"/>
      <c r="C535" s="25"/>
      <c r="D535" s="25"/>
      <c r="E535" s="25"/>
      <c r="F535" s="74"/>
      <c r="G535" s="76"/>
      <c r="H535" s="76"/>
      <c r="I535" s="76"/>
      <c r="J535" s="25"/>
      <c r="K535" s="25"/>
      <c r="L535" s="76"/>
      <c r="M535" s="25"/>
      <c r="N535" s="25"/>
      <c r="O535" s="74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</row>
    <row r="536">
      <c r="A536" s="25"/>
      <c r="B536" s="25"/>
      <c r="C536" s="25"/>
      <c r="D536" s="25"/>
      <c r="E536" s="25"/>
      <c r="F536" s="74"/>
      <c r="G536" s="76"/>
      <c r="H536" s="76"/>
      <c r="I536" s="76"/>
      <c r="J536" s="25"/>
      <c r="K536" s="25"/>
      <c r="L536" s="76"/>
      <c r="M536" s="25"/>
      <c r="N536" s="25"/>
      <c r="O536" s="74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</row>
    <row r="537">
      <c r="A537" s="25"/>
      <c r="B537" s="25"/>
      <c r="C537" s="25"/>
      <c r="D537" s="25"/>
      <c r="E537" s="25"/>
      <c r="F537" s="74"/>
      <c r="G537" s="76"/>
      <c r="H537" s="76"/>
      <c r="I537" s="76"/>
      <c r="J537" s="25"/>
      <c r="K537" s="25"/>
      <c r="L537" s="76"/>
      <c r="M537" s="25"/>
      <c r="N537" s="25"/>
      <c r="O537" s="74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</row>
    <row r="538">
      <c r="A538" s="25"/>
      <c r="B538" s="25"/>
      <c r="C538" s="25"/>
      <c r="D538" s="25"/>
      <c r="E538" s="25"/>
      <c r="F538" s="74"/>
      <c r="G538" s="76"/>
      <c r="H538" s="76"/>
      <c r="I538" s="76"/>
      <c r="J538" s="25"/>
      <c r="K538" s="25"/>
      <c r="L538" s="76"/>
      <c r="M538" s="25"/>
      <c r="N538" s="25"/>
      <c r="O538" s="74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</row>
    <row r="539">
      <c r="A539" s="25"/>
      <c r="B539" s="25"/>
      <c r="C539" s="25"/>
      <c r="D539" s="25"/>
      <c r="E539" s="25"/>
      <c r="F539" s="74"/>
      <c r="G539" s="76"/>
      <c r="H539" s="76"/>
      <c r="I539" s="76"/>
      <c r="J539" s="25"/>
      <c r="K539" s="25"/>
      <c r="L539" s="76"/>
      <c r="M539" s="25"/>
      <c r="N539" s="25"/>
      <c r="O539" s="74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</row>
    <row r="540">
      <c r="A540" s="25"/>
      <c r="B540" s="25"/>
      <c r="C540" s="25"/>
      <c r="D540" s="25"/>
      <c r="E540" s="25"/>
      <c r="F540" s="74"/>
      <c r="G540" s="76"/>
      <c r="H540" s="76"/>
      <c r="I540" s="76"/>
      <c r="J540" s="25"/>
      <c r="K540" s="25"/>
      <c r="L540" s="76"/>
      <c r="M540" s="25"/>
      <c r="N540" s="25"/>
      <c r="O540" s="74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</row>
    <row r="541">
      <c r="A541" s="25"/>
      <c r="B541" s="25"/>
      <c r="C541" s="25"/>
      <c r="D541" s="25"/>
      <c r="E541" s="25"/>
      <c r="F541" s="74"/>
      <c r="G541" s="76"/>
      <c r="H541" s="76"/>
      <c r="I541" s="76"/>
      <c r="J541" s="25"/>
      <c r="K541" s="25"/>
      <c r="L541" s="76"/>
      <c r="M541" s="25"/>
      <c r="N541" s="25"/>
      <c r="O541" s="74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</row>
    <row r="542">
      <c r="A542" s="25"/>
      <c r="B542" s="25"/>
      <c r="C542" s="25"/>
      <c r="D542" s="25"/>
      <c r="E542" s="25"/>
      <c r="F542" s="74"/>
      <c r="G542" s="76"/>
      <c r="H542" s="76"/>
      <c r="I542" s="76"/>
      <c r="J542" s="25"/>
      <c r="K542" s="25"/>
      <c r="L542" s="76"/>
      <c r="M542" s="25"/>
      <c r="N542" s="25"/>
      <c r="O542" s="74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</row>
    <row r="543">
      <c r="A543" s="25"/>
      <c r="B543" s="25"/>
      <c r="C543" s="25"/>
      <c r="D543" s="25"/>
      <c r="E543" s="25"/>
      <c r="F543" s="74"/>
      <c r="G543" s="76"/>
      <c r="H543" s="76"/>
      <c r="I543" s="76"/>
      <c r="J543" s="25"/>
      <c r="K543" s="25"/>
      <c r="L543" s="76"/>
      <c r="M543" s="25"/>
      <c r="N543" s="25"/>
      <c r="O543" s="74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</row>
    <row r="544">
      <c r="A544" s="25"/>
      <c r="B544" s="25"/>
      <c r="C544" s="25"/>
      <c r="D544" s="25"/>
      <c r="E544" s="25"/>
      <c r="F544" s="74"/>
      <c r="G544" s="76"/>
      <c r="H544" s="76"/>
      <c r="I544" s="76"/>
      <c r="J544" s="25"/>
      <c r="K544" s="25"/>
      <c r="L544" s="76"/>
      <c r="M544" s="25"/>
      <c r="N544" s="25"/>
      <c r="O544" s="74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</row>
    <row r="545">
      <c r="A545" s="25"/>
      <c r="B545" s="25"/>
      <c r="C545" s="25"/>
      <c r="D545" s="25"/>
      <c r="E545" s="25"/>
      <c r="F545" s="74"/>
      <c r="G545" s="76"/>
      <c r="H545" s="76"/>
      <c r="I545" s="76"/>
      <c r="J545" s="25"/>
      <c r="K545" s="25"/>
      <c r="L545" s="76"/>
      <c r="M545" s="25"/>
      <c r="N545" s="25"/>
      <c r="O545" s="74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</row>
    <row r="546">
      <c r="A546" s="25"/>
      <c r="B546" s="25"/>
      <c r="C546" s="25"/>
      <c r="D546" s="25"/>
      <c r="E546" s="25"/>
      <c r="F546" s="74"/>
      <c r="G546" s="76"/>
      <c r="H546" s="76"/>
      <c r="I546" s="76"/>
      <c r="J546" s="25"/>
      <c r="K546" s="25"/>
      <c r="L546" s="76"/>
      <c r="M546" s="25"/>
      <c r="N546" s="25"/>
      <c r="O546" s="74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</row>
    <row r="547">
      <c r="A547" s="25"/>
      <c r="B547" s="25"/>
      <c r="C547" s="25"/>
      <c r="D547" s="25"/>
      <c r="E547" s="25"/>
      <c r="F547" s="74"/>
      <c r="G547" s="76"/>
      <c r="H547" s="76"/>
      <c r="I547" s="76"/>
      <c r="J547" s="25"/>
      <c r="K547" s="25"/>
      <c r="L547" s="76"/>
      <c r="M547" s="25"/>
      <c r="N547" s="25"/>
      <c r="O547" s="74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</row>
    <row r="548">
      <c r="A548" s="25"/>
      <c r="B548" s="25"/>
      <c r="C548" s="25"/>
      <c r="D548" s="25"/>
      <c r="E548" s="25"/>
      <c r="F548" s="74"/>
      <c r="G548" s="76"/>
      <c r="H548" s="76"/>
      <c r="I548" s="76"/>
      <c r="J548" s="25"/>
      <c r="K548" s="25"/>
      <c r="L548" s="76"/>
      <c r="M548" s="25"/>
      <c r="N548" s="25"/>
      <c r="O548" s="74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</row>
    <row r="549">
      <c r="A549" s="25"/>
      <c r="B549" s="25"/>
      <c r="C549" s="25"/>
      <c r="D549" s="25"/>
      <c r="E549" s="25"/>
      <c r="F549" s="74"/>
      <c r="G549" s="76"/>
      <c r="H549" s="76"/>
      <c r="I549" s="76"/>
      <c r="J549" s="25"/>
      <c r="K549" s="25"/>
      <c r="L549" s="76"/>
      <c r="M549" s="25"/>
      <c r="N549" s="25"/>
      <c r="O549" s="74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</row>
    <row r="550">
      <c r="A550" s="25"/>
      <c r="B550" s="25"/>
      <c r="C550" s="25"/>
      <c r="D550" s="25"/>
      <c r="E550" s="25"/>
      <c r="F550" s="74"/>
      <c r="G550" s="76"/>
      <c r="H550" s="76"/>
      <c r="I550" s="76"/>
      <c r="J550" s="25"/>
      <c r="K550" s="25"/>
      <c r="L550" s="76"/>
      <c r="M550" s="25"/>
      <c r="N550" s="25"/>
      <c r="O550" s="74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</row>
    <row r="551">
      <c r="A551" s="25"/>
      <c r="B551" s="25"/>
      <c r="C551" s="25"/>
      <c r="D551" s="25"/>
      <c r="E551" s="25"/>
      <c r="F551" s="74"/>
      <c r="G551" s="76"/>
      <c r="H551" s="76"/>
      <c r="I551" s="76"/>
      <c r="J551" s="25"/>
      <c r="K551" s="25"/>
      <c r="L551" s="76"/>
      <c r="M551" s="25"/>
      <c r="N551" s="25"/>
      <c r="O551" s="74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</row>
    <row r="552">
      <c r="A552" s="25"/>
      <c r="B552" s="25"/>
      <c r="C552" s="25"/>
      <c r="D552" s="25"/>
      <c r="E552" s="25"/>
      <c r="F552" s="74"/>
      <c r="G552" s="76"/>
      <c r="H552" s="76"/>
      <c r="I552" s="76"/>
      <c r="J552" s="25"/>
      <c r="K552" s="25"/>
      <c r="L552" s="76"/>
      <c r="M552" s="25"/>
      <c r="N552" s="25"/>
      <c r="O552" s="74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</row>
    <row r="553">
      <c r="A553" s="25"/>
      <c r="B553" s="25"/>
      <c r="C553" s="25"/>
      <c r="D553" s="25"/>
      <c r="E553" s="25"/>
      <c r="F553" s="74"/>
      <c r="G553" s="76"/>
      <c r="H553" s="76"/>
      <c r="I553" s="76"/>
      <c r="J553" s="25"/>
      <c r="K553" s="25"/>
      <c r="L553" s="76"/>
      <c r="M553" s="25"/>
      <c r="N553" s="25"/>
      <c r="O553" s="74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</row>
    <row r="554">
      <c r="A554" s="25"/>
      <c r="B554" s="25"/>
      <c r="C554" s="25"/>
      <c r="D554" s="25"/>
      <c r="E554" s="25"/>
      <c r="F554" s="74"/>
      <c r="G554" s="76"/>
      <c r="H554" s="76"/>
      <c r="I554" s="76"/>
      <c r="J554" s="25"/>
      <c r="K554" s="25"/>
      <c r="L554" s="76"/>
      <c r="M554" s="25"/>
      <c r="N554" s="25"/>
      <c r="O554" s="74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</row>
    <row r="555">
      <c r="A555" s="25"/>
      <c r="B555" s="25"/>
      <c r="C555" s="25"/>
      <c r="D555" s="25"/>
      <c r="E555" s="25"/>
      <c r="F555" s="74"/>
      <c r="G555" s="76"/>
      <c r="H555" s="76"/>
      <c r="I555" s="76"/>
      <c r="J555" s="25"/>
      <c r="K555" s="25"/>
      <c r="L555" s="76"/>
      <c r="M555" s="25"/>
      <c r="N555" s="25"/>
      <c r="O555" s="74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</row>
    <row r="556">
      <c r="A556" s="25"/>
      <c r="B556" s="25"/>
      <c r="C556" s="25"/>
      <c r="D556" s="25"/>
      <c r="E556" s="25"/>
      <c r="F556" s="74"/>
      <c r="G556" s="76"/>
      <c r="H556" s="76"/>
      <c r="I556" s="76"/>
      <c r="J556" s="25"/>
      <c r="K556" s="25"/>
      <c r="L556" s="76"/>
      <c r="M556" s="25"/>
      <c r="N556" s="25"/>
      <c r="O556" s="74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</row>
    <row r="557">
      <c r="A557" s="25"/>
      <c r="B557" s="25"/>
      <c r="C557" s="25"/>
      <c r="D557" s="25"/>
      <c r="E557" s="25"/>
      <c r="F557" s="74"/>
      <c r="G557" s="76"/>
      <c r="H557" s="76"/>
      <c r="I557" s="76"/>
      <c r="J557" s="25"/>
      <c r="K557" s="25"/>
      <c r="L557" s="76"/>
      <c r="M557" s="25"/>
      <c r="N557" s="25"/>
      <c r="O557" s="74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</row>
    <row r="558">
      <c r="A558" s="25"/>
      <c r="B558" s="25"/>
      <c r="C558" s="25"/>
      <c r="D558" s="25"/>
      <c r="E558" s="25"/>
      <c r="F558" s="74"/>
      <c r="G558" s="76"/>
      <c r="H558" s="76"/>
      <c r="I558" s="76"/>
      <c r="J558" s="25"/>
      <c r="K558" s="25"/>
      <c r="L558" s="76"/>
      <c r="M558" s="25"/>
      <c r="N558" s="25"/>
      <c r="O558" s="74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</row>
    <row r="559">
      <c r="A559" s="25"/>
      <c r="B559" s="25"/>
      <c r="C559" s="25"/>
      <c r="D559" s="25"/>
      <c r="E559" s="25"/>
      <c r="F559" s="74"/>
      <c r="G559" s="76"/>
      <c r="H559" s="76"/>
      <c r="I559" s="76"/>
      <c r="J559" s="25"/>
      <c r="K559" s="25"/>
      <c r="L559" s="76"/>
      <c r="M559" s="25"/>
      <c r="N559" s="25"/>
      <c r="O559" s="74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</row>
    <row r="560">
      <c r="A560" s="25"/>
      <c r="B560" s="25"/>
      <c r="C560" s="25"/>
      <c r="D560" s="25"/>
      <c r="E560" s="25"/>
      <c r="F560" s="74"/>
      <c r="G560" s="76"/>
      <c r="H560" s="76"/>
      <c r="I560" s="76"/>
      <c r="J560" s="25"/>
      <c r="K560" s="25"/>
      <c r="L560" s="76"/>
      <c r="M560" s="25"/>
      <c r="N560" s="25"/>
      <c r="O560" s="74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</row>
    <row r="561">
      <c r="A561" s="25"/>
      <c r="B561" s="25"/>
      <c r="C561" s="25"/>
      <c r="D561" s="25"/>
      <c r="E561" s="25"/>
      <c r="F561" s="74"/>
      <c r="G561" s="76"/>
      <c r="H561" s="76"/>
      <c r="I561" s="76"/>
      <c r="J561" s="25"/>
      <c r="K561" s="25"/>
      <c r="L561" s="76"/>
      <c r="M561" s="25"/>
      <c r="N561" s="25"/>
      <c r="O561" s="74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</row>
    <row r="562">
      <c r="A562" s="25"/>
      <c r="B562" s="25"/>
      <c r="C562" s="25"/>
      <c r="D562" s="25"/>
      <c r="E562" s="25"/>
      <c r="F562" s="74"/>
      <c r="G562" s="76"/>
      <c r="H562" s="76"/>
      <c r="I562" s="76"/>
      <c r="J562" s="25"/>
      <c r="K562" s="25"/>
      <c r="L562" s="76"/>
      <c r="M562" s="25"/>
      <c r="N562" s="25"/>
      <c r="O562" s="74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</row>
    <row r="563">
      <c r="A563" s="25"/>
      <c r="B563" s="25"/>
      <c r="C563" s="25"/>
      <c r="D563" s="25"/>
      <c r="E563" s="25"/>
      <c r="F563" s="74"/>
      <c r="G563" s="76"/>
      <c r="H563" s="76"/>
      <c r="I563" s="76"/>
      <c r="J563" s="25"/>
      <c r="K563" s="25"/>
      <c r="L563" s="76"/>
      <c r="M563" s="25"/>
      <c r="N563" s="25"/>
      <c r="O563" s="74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</row>
    <row r="564">
      <c r="A564" s="25"/>
      <c r="B564" s="25"/>
      <c r="C564" s="25"/>
      <c r="D564" s="25"/>
      <c r="E564" s="25"/>
      <c r="F564" s="74"/>
      <c r="G564" s="76"/>
      <c r="H564" s="76"/>
      <c r="I564" s="76"/>
      <c r="J564" s="25"/>
      <c r="K564" s="25"/>
      <c r="L564" s="76"/>
      <c r="M564" s="25"/>
      <c r="N564" s="25"/>
      <c r="O564" s="74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</row>
    <row r="565">
      <c r="A565" s="25"/>
      <c r="B565" s="25"/>
      <c r="C565" s="25"/>
      <c r="D565" s="25"/>
      <c r="E565" s="25"/>
      <c r="F565" s="74"/>
      <c r="G565" s="76"/>
      <c r="H565" s="76"/>
      <c r="I565" s="76"/>
      <c r="J565" s="25"/>
      <c r="K565" s="25"/>
      <c r="L565" s="76"/>
      <c r="M565" s="25"/>
      <c r="N565" s="25"/>
      <c r="O565" s="74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</row>
    <row r="566">
      <c r="A566" s="25"/>
      <c r="B566" s="25"/>
      <c r="C566" s="25"/>
      <c r="D566" s="25"/>
      <c r="E566" s="25"/>
      <c r="F566" s="74"/>
      <c r="G566" s="76"/>
      <c r="H566" s="76"/>
      <c r="I566" s="76"/>
      <c r="J566" s="25"/>
      <c r="K566" s="25"/>
      <c r="L566" s="76"/>
      <c r="M566" s="25"/>
      <c r="N566" s="25"/>
      <c r="O566" s="74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</row>
    <row r="567">
      <c r="A567" s="25"/>
      <c r="B567" s="25"/>
      <c r="C567" s="25"/>
      <c r="D567" s="25"/>
      <c r="E567" s="25"/>
      <c r="F567" s="74"/>
      <c r="G567" s="76"/>
      <c r="H567" s="76"/>
      <c r="I567" s="76"/>
      <c r="J567" s="25"/>
      <c r="K567" s="25"/>
      <c r="L567" s="76"/>
      <c r="M567" s="25"/>
      <c r="N567" s="25"/>
      <c r="O567" s="74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</row>
    <row r="568">
      <c r="A568" s="25"/>
      <c r="B568" s="25"/>
      <c r="C568" s="25"/>
      <c r="D568" s="25"/>
      <c r="E568" s="25"/>
      <c r="F568" s="74"/>
      <c r="G568" s="76"/>
      <c r="H568" s="76"/>
      <c r="I568" s="76"/>
      <c r="J568" s="25"/>
      <c r="K568" s="25"/>
      <c r="L568" s="76"/>
      <c r="M568" s="25"/>
      <c r="N568" s="25"/>
      <c r="O568" s="74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</row>
    <row r="569">
      <c r="A569" s="25"/>
      <c r="B569" s="25"/>
      <c r="C569" s="25"/>
      <c r="D569" s="25"/>
      <c r="E569" s="25"/>
      <c r="F569" s="74"/>
      <c r="G569" s="76"/>
      <c r="H569" s="76"/>
      <c r="I569" s="76"/>
      <c r="J569" s="25"/>
      <c r="K569" s="25"/>
      <c r="L569" s="76"/>
      <c r="M569" s="25"/>
      <c r="N569" s="25"/>
      <c r="O569" s="74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</row>
    <row r="570">
      <c r="A570" s="25"/>
      <c r="B570" s="25"/>
      <c r="C570" s="25"/>
      <c r="D570" s="25"/>
      <c r="E570" s="25"/>
      <c r="F570" s="74"/>
      <c r="G570" s="76"/>
      <c r="H570" s="76"/>
      <c r="I570" s="76"/>
      <c r="J570" s="25"/>
      <c r="K570" s="25"/>
      <c r="L570" s="76"/>
      <c r="M570" s="25"/>
      <c r="N570" s="25"/>
      <c r="O570" s="74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</row>
    <row r="571">
      <c r="A571" s="25"/>
      <c r="B571" s="25"/>
      <c r="C571" s="25"/>
      <c r="D571" s="25"/>
      <c r="E571" s="25"/>
      <c r="F571" s="74"/>
      <c r="G571" s="76"/>
      <c r="H571" s="76"/>
      <c r="I571" s="76"/>
      <c r="J571" s="25"/>
      <c r="K571" s="25"/>
      <c r="L571" s="76"/>
      <c r="M571" s="25"/>
      <c r="N571" s="25"/>
      <c r="O571" s="74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</row>
    <row r="572">
      <c r="A572" s="25"/>
      <c r="B572" s="25"/>
      <c r="C572" s="25"/>
      <c r="D572" s="25"/>
      <c r="E572" s="25"/>
      <c r="F572" s="74"/>
      <c r="G572" s="76"/>
      <c r="H572" s="76"/>
      <c r="I572" s="76"/>
      <c r="J572" s="25"/>
      <c r="K572" s="25"/>
      <c r="L572" s="76"/>
      <c r="M572" s="25"/>
      <c r="N572" s="25"/>
      <c r="O572" s="74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</row>
    <row r="573">
      <c r="A573" s="25"/>
      <c r="B573" s="25"/>
      <c r="C573" s="25"/>
      <c r="D573" s="25"/>
      <c r="E573" s="25"/>
      <c r="F573" s="74"/>
      <c r="G573" s="76"/>
      <c r="H573" s="76"/>
      <c r="I573" s="76"/>
      <c r="J573" s="25"/>
      <c r="K573" s="25"/>
      <c r="L573" s="76"/>
      <c r="M573" s="25"/>
      <c r="N573" s="25"/>
      <c r="O573" s="74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</row>
    <row r="574">
      <c r="A574" s="25"/>
      <c r="B574" s="25"/>
      <c r="C574" s="25"/>
      <c r="D574" s="25"/>
      <c r="E574" s="25"/>
      <c r="F574" s="74"/>
      <c r="G574" s="76"/>
      <c r="H574" s="76"/>
      <c r="I574" s="76"/>
      <c r="J574" s="25"/>
      <c r="K574" s="25"/>
      <c r="L574" s="76"/>
      <c r="M574" s="25"/>
      <c r="N574" s="25"/>
      <c r="O574" s="74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</row>
    <row r="575">
      <c r="A575" s="25"/>
      <c r="B575" s="25"/>
      <c r="C575" s="25"/>
      <c r="D575" s="25"/>
      <c r="E575" s="25"/>
      <c r="F575" s="74"/>
      <c r="G575" s="76"/>
      <c r="H575" s="76"/>
      <c r="I575" s="76"/>
      <c r="J575" s="25"/>
      <c r="K575" s="25"/>
      <c r="L575" s="76"/>
      <c r="M575" s="25"/>
      <c r="N575" s="25"/>
      <c r="O575" s="74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</row>
    <row r="576">
      <c r="A576" s="25"/>
      <c r="B576" s="25"/>
      <c r="C576" s="25"/>
      <c r="D576" s="25"/>
      <c r="E576" s="25"/>
      <c r="F576" s="74"/>
      <c r="G576" s="76"/>
      <c r="H576" s="76"/>
      <c r="I576" s="76"/>
      <c r="J576" s="25"/>
      <c r="K576" s="25"/>
      <c r="L576" s="76"/>
      <c r="M576" s="25"/>
      <c r="N576" s="25"/>
      <c r="O576" s="74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</row>
    <row r="577">
      <c r="A577" s="25"/>
      <c r="B577" s="25"/>
      <c r="C577" s="25"/>
      <c r="D577" s="25"/>
      <c r="E577" s="25"/>
      <c r="F577" s="74"/>
      <c r="G577" s="76"/>
      <c r="H577" s="76"/>
      <c r="I577" s="76"/>
      <c r="J577" s="25"/>
      <c r="K577" s="25"/>
      <c r="L577" s="76"/>
      <c r="M577" s="25"/>
      <c r="N577" s="25"/>
      <c r="O577" s="74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</row>
    <row r="578">
      <c r="A578" s="25"/>
      <c r="B578" s="25"/>
      <c r="C578" s="25"/>
      <c r="D578" s="25"/>
      <c r="E578" s="25"/>
      <c r="F578" s="74"/>
      <c r="G578" s="76"/>
      <c r="H578" s="76"/>
      <c r="I578" s="76"/>
      <c r="J578" s="25"/>
      <c r="K578" s="25"/>
      <c r="L578" s="76"/>
      <c r="M578" s="25"/>
      <c r="N578" s="25"/>
      <c r="O578" s="74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</row>
    <row r="579">
      <c r="A579" s="25"/>
      <c r="B579" s="25"/>
      <c r="C579" s="25"/>
      <c r="D579" s="25"/>
      <c r="E579" s="25"/>
      <c r="F579" s="74"/>
      <c r="G579" s="76"/>
      <c r="H579" s="76"/>
      <c r="I579" s="76"/>
      <c r="J579" s="25"/>
      <c r="K579" s="25"/>
      <c r="L579" s="76"/>
      <c r="M579" s="25"/>
      <c r="N579" s="25"/>
      <c r="O579" s="74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</row>
    <row r="580">
      <c r="A580" s="25"/>
      <c r="B580" s="25"/>
      <c r="C580" s="25"/>
      <c r="D580" s="25"/>
      <c r="E580" s="25"/>
      <c r="F580" s="74"/>
      <c r="G580" s="76"/>
      <c r="H580" s="76"/>
      <c r="I580" s="76"/>
      <c r="J580" s="25"/>
      <c r="K580" s="25"/>
      <c r="L580" s="76"/>
      <c r="M580" s="25"/>
      <c r="N580" s="25"/>
      <c r="O580" s="74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</row>
    <row r="581">
      <c r="A581" s="25"/>
      <c r="B581" s="25"/>
      <c r="C581" s="25"/>
      <c r="D581" s="25"/>
      <c r="E581" s="25"/>
      <c r="F581" s="74"/>
      <c r="G581" s="76"/>
      <c r="H581" s="76"/>
      <c r="I581" s="76"/>
      <c r="J581" s="25"/>
      <c r="K581" s="25"/>
      <c r="L581" s="76"/>
      <c r="M581" s="25"/>
      <c r="N581" s="25"/>
      <c r="O581" s="74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</row>
    <row r="582">
      <c r="A582" s="25"/>
      <c r="B582" s="25"/>
      <c r="C582" s="25"/>
      <c r="D582" s="25"/>
      <c r="E582" s="25"/>
      <c r="F582" s="74"/>
      <c r="G582" s="76"/>
      <c r="H582" s="76"/>
      <c r="I582" s="76"/>
      <c r="J582" s="25"/>
      <c r="K582" s="25"/>
      <c r="L582" s="76"/>
      <c r="M582" s="25"/>
      <c r="N582" s="25"/>
      <c r="O582" s="74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</row>
    <row r="583">
      <c r="A583" s="25"/>
      <c r="B583" s="25"/>
      <c r="C583" s="25"/>
      <c r="D583" s="25"/>
      <c r="E583" s="25"/>
      <c r="F583" s="74"/>
      <c r="G583" s="76"/>
      <c r="H583" s="76"/>
      <c r="I583" s="76"/>
      <c r="J583" s="25"/>
      <c r="K583" s="25"/>
      <c r="L583" s="76"/>
      <c r="M583" s="25"/>
      <c r="N583" s="25"/>
      <c r="O583" s="74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</row>
    <row r="584">
      <c r="A584" s="25"/>
      <c r="B584" s="25"/>
      <c r="C584" s="25"/>
      <c r="D584" s="25"/>
      <c r="E584" s="25"/>
      <c r="F584" s="74"/>
      <c r="G584" s="76"/>
      <c r="H584" s="76"/>
      <c r="I584" s="76"/>
      <c r="J584" s="25"/>
      <c r="K584" s="25"/>
      <c r="L584" s="76"/>
      <c r="M584" s="25"/>
      <c r="N584" s="25"/>
      <c r="O584" s="74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</row>
    <row r="585">
      <c r="A585" s="25"/>
      <c r="B585" s="25"/>
      <c r="C585" s="25"/>
      <c r="D585" s="25"/>
      <c r="E585" s="25"/>
      <c r="F585" s="74"/>
      <c r="G585" s="76"/>
      <c r="H585" s="76"/>
      <c r="I585" s="76"/>
      <c r="J585" s="25"/>
      <c r="K585" s="25"/>
      <c r="L585" s="76"/>
      <c r="M585" s="25"/>
      <c r="N585" s="25"/>
      <c r="O585" s="74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</row>
    <row r="586">
      <c r="A586" s="25"/>
      <c r="B586" s="25"/>
      <c r="C586" s="25"/>
      <c r="D586" s="25"/>
      <c r="E586" s="25"/>
      <c r="F586" s="74"/>
      <c r="G586" s="76"/>
      <c r="H586" s="76"/>
      <c r="I586" s="76"/>
      <c r="J586" s="25"/>
      <c r="K586" s="25"/>
      <c r="L586" s="76"/>
      <c r="M586" s="25"/>
      <c r="N586" s="25"/>
      <c r="O586" s="74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</row>
    <row r="587">
      <c r="A587" s="25"/>
      <c r="B587" s="25"/>
      <c r="C587" s="25"/>
      <c r="D587" s="25"/>
      <c r="E587" s="25"/>
      <c r="F587" s="74"/>
      <c r="G587" s="76"/>
      <c r="H587" s="76"/>
      <c r="I587" s="76"/>
      <c r="J587" s="25"/>
      <c r="K587" s="25"/>
      <c r="L587" s="76"/>
      <c r="M587" s="25"/>
      <c r="N587" s="25"/>
      <c r="O587" s="74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</row>
    <row r="588">
      <c r="A588" s="25"/>
      <c r="B588" s="25"/>
      <c r="C588" s="25"/>
      <c r="D588" s="25"/>
      <c r="E588" s="25"/>
      <c r="F588" s="74"/>
      <c r="G588" s="76"/>
      <c r="H588" s="76"/>
      <c r="I588" s="76"/>
      <c r="J588" s="25"/>
      <c r="K588" s="25"/>
      <c r="L588" s="76"/>
      <c r="M588" s="25"/>
      <c r="N588" s="25"/>
      <c r="O588" s="74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</row>
    <row r="589">
      <c r="A589" s="25"/>
      <c r="B589" s="25"/>
      <c r="C589" s="25"/>
      <c r="D589" s="25"/>
      <c r="E589" s="25"/>
      <c r="F589" s="74"/>
      <c r="G589" s="76"/>
      <c r="H589" s="76"/>
      <c r="I589" s="76"/>
      <c r="J589" s="25"/>
      <c r="K589" s="25"/>
      <c r="L589" s="76"/>
      <c r="M589" s="25"/>
      <c r="N589" s="25"/>
      <c r="O589" s="74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</row>
    <row r="590">
      <c r="A590" s="25"/>
      <c r="B590" s="25"/>
      <c r="C590" s="25"/>
      <c r="D590" s="25"/>
      <c r="E590" s="25"/>
      <c r="F590" s="74"/>
      <c r="G590" s="76"/>
      <c r="H590" s="76"/>
      <c r="I590" s="76"/>
      <c r="J590" s="25"/>
      <c r="K590" s="25"/>
      <c r="L590" s="76"/>
      <c r="M590" s="25"/>
      <c r="N590" s="25"/>
      <c r="O590" s="74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</row>
    <row r="591">
      <c r="A591" s="25"/>
      <c r="B591" s="25"/>
      <c r="C591" s="25"/>
      <c r="D591" s="25"/>
      <c r="E591" s="25"/>
      <c r="F591" s="74"/>
      <c r="G591" s="76"/>
      <c r="H591" s="76"/>
      <c r="I591" s="76"/>
      <c r="J591" s="25"/>
      <c r="K591" s="25"/>
      <c r="L591" s="76"/>
      <c r="M591" s="25"/>
      <c r="N591" s="25"/>
      <c r="O591" s="74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</row>
    <row r="592">
      <c r="A592" s="25"/>
      <c r="B592" s="25"/>
      <c r="C592" s="25"/>
      <c r="D592" s="25"/>
      <c r="E592" s="25"/>
      <c r="F592" s="74"/>
      <c r="G592" s="76"/>
      <c r="H592" s="76"/>
      <c r="I592" s="76"/>
      <c r="J592" s="25"/>
      <c r="K592" s="25"/>
      <c r="L592" s="76"/>
      <c r="M592" s="25"/>
      <c r="N592" s="25"/>
      <c r="O592" s="74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</row>
    <row r="593">
      <c r="A593" s="25"/>
      <c r="B593" s="25"/>
      <c r="C593" s="25"/>
      <c r="D593" s="25"/>
      <c r="E593" s="25"/>
      <c r="F593" s="74"/>
      <c r="G593" s="76"/>
      <c r="H593" s="76"/>
      <c r="I593" s="76"/>
      <c r="J593" s="25"/>
      <c r="K593" s="25"/>
      <c r="L593" s="76"/>
      <c r="M593" s="25"/>
      <c r="N593" s="25"/>
      <c r="O593" s="74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</row>
    <row r="594">
      <c r="A594" s="25"/>
      <c r="B594" s="25"/>
      <c r="C594" s="25"/>
      <c r="D594" s="25"/>
      <c r="E594" s="25"/>
      <c r="F594" s="74"/>
      <c r="G594" s="76"/>
      <c r="H594" s="76"/>
      <c r="I594" s="76"/>
      <c r="J594" s="25"/>
      <c r="K594" s="25"/>
      <c r="L594" s="76"/>
      <c r="M594" s="25"/>
      <c r="N594" s="25"/>
      <c r="O594" s="74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</row>
    <row r="595">
      <c r="A595" s="25"/>
      <c r="B595" s="25"/>
      <c r="C595" s="25"/>
      <c r="D595" s="25"/>
      <c r="E595" s="25"/>
      <c r="F595" s="74"/>
      <c r="G595" s="76"/>
      <c r="H595" s="76"/>
      <c r="I595" s="76"/>
      <c r="J595" s="25"/>
      <c r="K595" s="25"/>
      <c r="L595" s="76"/>
      <c r="M595" s="25"/>
      <c r="N595" s="25"/>
      <c r="O595" s="74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</row>
    <row r="596">
      <c r="A596" s="25"/>
      <c r="B596" s="25"/>
      <c r="C596" s="25"/>
      <c r="D596" s="25"/>
      <c r="E596" s="25"/>
      <c r="F596" s="74"/>
      <c r="G596" s="76"/>
      <c r="H596" s="76"/>
      <c r="I596" s="76"/>
      <c r="J596" s="25"/>
      <c r="K596" s="25"/>
      <c r="L596" s="76"/>
      <c r="M596" s="25"/>
      <c r="N596" s="25"/>
      <c r="O596" s="74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</row>
    <row r="597">
      <c r="A597" s="25"/>
      <c r="B597" s="25"/>
      <c r="C597" s="25"/>
      <c r="D597" s="25"/>
      <c r="E597" s="25"/>
      <c r="F597" s="74"/>
      <c r="G597" s="76"/>
      <c r="H597" s="76"/>
      <c r="I597" s="76"/>
      <c r="J597" s="25"/>
      <c r="K597" s="25"/>
      <c r="L597" s="76"/>
      <c r="M597" s="25"/>
      <c r="N597" s="25"/>
      <c r="O597" s="74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</row>
    <row r="598">
      <c r="A598" s="25"/>
      <c r="B598" s="25"/>
      <c r="C598" s="25"/>
      <c r="D598" s="25"/>
      <c r="E598" s="25"/>
      <c r="F598" s="74"/>
      <c r="G598" s="76"/>
      <c r="H598" s="76"/>
      <c r="I598" s="76"/>
      <c r="J598" s="25"/>
      <c r="K598" s="25"/>
      <c r="L598" s="76"/>
      <c r="M598" s="25"/>
      <c r="N598" s="25"/>
      <c r="O598" s="74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</row>
    <row r="599">
      <c r="A599" s="25"/>
      <c r="B599" s="25"/>
      <c r="C599" s="25"/>
      <c r="D599" s="25"/>
      <c r="E599" s="25"/>
      <c r="F599" s="74"/>
      <c r="G599" s="76"/>
      <c r="H599" s="76"/>
      <c r="I599" s="76"/>
      <c r="J599" s="25"/>
      <c r="K599" s="25"/>
      <c r="L599" s="76"/>
      <c r="M599" s="25"/>
      <c r="N599" s="25"/>
      <c r="O599" s="74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</row>
    <row r="600">
      <c r="A600" s="25"/>
      <c r="B600" s="25"/>
      <c r="C600" s="25"/>
      <c r="D600" s="25"/>
      <c r="E600" s="25"/>
      <c r="F600" s="74"/>
      <c r="G600" s="76"/>
      <c r="H600" s="76"/>
      <c r="I600" s="76"/>
      <c r="J600" s="25"/>
      <c r="K600" s="25"/>
      <c r="L600" s="76"/>
      <c r="M600" s="25"/>
      <c r="N600" s="25"/>
      <c r="O600" s="74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</row>
    <row r="601">
      <c r="A601" s="25"/>
      <c r="B601" s="25"/>
      <c r="C601" s="25"/>
      <c r="D601" s="25"/>
      <c r="E601" s="25"/>
      <c r="F601" s="74"/>
      <c r="G601" s="76"/>
      <c r="H601" s="76"/>
      <c r="I601" s="76"/>
      <c r="J601" s="25"/>
      <c r="K601" s="25"/>
      <c r="L601" s="76"/>
      <c r="M601" s="25"/>
      <c r="N601" s="25"/>
      <c r="O601" s="74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</row>
    <row r="602">
      <c r="A602" s="25"/>
      <c r="B602" s="25"/>
      <c r="C602" s="25"/>
      <c r="D602" s="25"/>
      <c r="E602" s="25"/>
      <c r="F602" s="74"/>
      <c r="G602" s="76"/>
      <c r="H602" s="76"/>
      <c r="I602" s="76"/>
      <c r="J602" s="25"/>
      <c r="K602" s="25"/>
      <c r="L602" s="76"/>
      <c r="M602" s="25"/>
      <c r="N602" s="25"/>
      <c r="O602" s="74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</row>
    <row r="603">
      <c r="A603" s="25"/>
      <c r="B603" s="25"/>
      <c r="C603" s="25"/>
      <c r="D603" s="25"/>
      <c r="E603" s="25"/>
      <c r="F603" s="74"/>
      <c r="G603" s="76"/>
      <c r="H603" s="76"/>
      <c r="I603" s="76"/>
      <c r="J603" s="25"/>
      <c r="K603" s="25"/>
      <c r="L603" s="76"/>
      <c r="M603" s="25"/>
      <c r="N603" s="25"/>
      <c r="O603" s="74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</row>
    <row r="604">
      <c r="A604" s="25"/>
      <c r="B604" s="25"/>
      <c r="C604" s="25"/>
      <c r="D604" s="25"/>
      <c r="E604" s="25"/>
      <c r="F604" s="74"/>
      <c r="G604" s="76"/>
      <c r="H604" s="76"/>
      <c r="I604" s="76"/>
      <c r="J604" s="25"/>
      <c r="K604" s="25"/>
      <c r="L604" s="76"/>
      <c r="M604" s="25"/>
      <c r="N604" s="25"/>
      <c r="O604" s="74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</row>
    <row r="605">
      <c r="A605" s="25"/>
      <c r="B605" s="25"/>
      <c r="C605" s="25"/>
      <c r="D605" s="25"/>
      <c r="E605" s="25"/>
      <c r="F605" s="74"/>
      <c r="G605" s="76"/>
      <c r="H605" s="76"/>
      <c r="I605" s="76"/>
      <c r="J605" s="25"/>
      <c r="K605" s="25"/>
      <c r="L605" s="76"/>
      <c r="M605" s="25"/>
      <c r="N605" s="25"/>
      <c r="O605" s="74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</row>
    <row r="606">
      <c r="A606" s="25"/>
      <c r="B606" s="25"/>
      <c r="C606" s="25"/>
      <c r="D606" s="25"/>
      <c r="E606" s="25"/>
      <c r="F606" s="74"/>
      <c r="G606" s="76"/>
      <c r="H606" s="76"/>
      <c r="I606" s="76"/>
      <c r="J606" s="25"/>
      <c r="K606" s="25"/>
      <c r="L606" s="76"/>
      <c r="M606" s="25"/>
      <c r="N606" s="25"/>
      <c r="O606" s="74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</row>
    <row r="607">
      <c r="A607" s="25"/>
      <c r="B607" s="25"/>
      <c r="C607" s="25"/>
      <c r="D607" s="25"/>
      <c r="E607" s="25"/>
      <c r="F607" s="74"/>
      <c r="G607" s="76"/>
      <c r="H607" s="76"/>
      <c r="I607" s="76"/>
      <c r="J607" s="25"/>
      <c r="K607" s="25"/>
      <c r="L607" s="76"/>
      <c r="M607" s="25"/>
      <c r="N607" s="25"/>
      <c r="O607" s="74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</row>
    <row r="608">
      <c r="A608" s="25"/>
      <c r="B608" s="25"/>
      <c r="C608" s="25"/>
      <c r="D608" s="25"/>
      <c r="E608" s="25"/>
      <c r="F608" s="74"/>
      <c r="G608" s="76"/>
      <c r="H608" s="76"/>
      <c r="I608" s="76"/>
      <c r="J608" s="25"/>
      <c r="K608" s="25"/>
      <c r="L608" s="76"/>
      <c r="M608" s="25"/>
      <c r="N608" s="25"/>
      <c r="O608" s="74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</row>
    <row r="609">
      <c r="A609" s="25"/>
      <c r="B609" s="25"/>
      <c r="C609" s="25"/>
      <c r="D609" s="25"/>
      <c r="E609" s="25"/>
      <c r="F609" s="74"/>
      <c r="G609" s="76"/>
      <c r="H609" s="76"/>
      <c r="I609" s="76"/>
      <c r="J609" s="25"/>
      <c r="K609" s="25"/>
      <c r="L609" s="76"/>
      <c r="M609" s="25"/>
      <c r="N609" s="25"/>
      <c r="O609" s="74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</row>
    <row r="610">
      <c r="A610" s="25"/>
      <c r="B610" s="25"/>
      <c r="C610" s="25"/>
      <c r="D610" s="25"/>
      <c r="E610" s="25"/>
      <c r="F610" s="74"/>
      <c r="G610" s="76"/>
      <c r="H610" s="76"/>
      <c r="I610" s="76"/>
      <c r="J610" s="25"/>
      <c r="K610" s="25"/>
      <c r="L610" s="76"/>
      <c r="M610" s="25"/>
      <c r="N610" s="25"/>
      <c r="O610" s="74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</row>
    <row r="611">
      <c r="A611" s="25"/>
      <c r="B611" s="25"/>
      <c r="C611" s="25"/>
      <c r="D611" s="25"/>
      <c r="E611" s="25"/>
      <c r="F611" s="74"/>
      <c r="G611" s="76"/>
      <c r="H611" s="76"/>
      <c r="I611" s="76"/>
      <c r="J611" s="25"/>
      <c r="K611" s="25"/>
      <c r="L611" s="76"/>
      <c r="M611" s="25"/>
      <c r="N611" s="25"/>
      <c r="O611" s="74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</row>
    <row r="612">
      <c r="A612" s="25"/>
      <c r="B612" s="25"/>
      <c r="C612" s="25"/>
      <c r="D612" s="25"/>
      <c r="E612" s="25"/>
      <c r="F612" s="74"/>
      <c r="G612" s="76"/>
      <c r="H612" s="76"/>
      <c r="I612" s="76"/>
      <c r="J612" s="25"/>
      <c r="K612" s="25"/>
      <c r="L612" s="76"/>
      <c r="M612" s="25"/>
      <c r="N612" s="25"/>
      <c r="O612" s="74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</row>
    <row r="613">
      <c r="A613" s="25"/>
      <c r="B613" s="25"/>
      <c r="C613" s="25"/>
      <c r="D613" s="25"/>
      <c r="E613" s="25"/>
      <c r="F613" s="74"/>
      <c r="G613" s="76"/>
      <c r="H613" s="76"/>
      <c r="I613" s="76"/>
      <c r="J613" s="25"/>
      <c r="K613" s="25"/>
      <c r="L613" s="76"/>
      <c r="M613" s="25"/>
      <c r="N613" s="25"/>
      <c r="O613" s="74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</row>
    <row r="614">
      <c r="A614" s="25"/>
      <c r="B614" s="25"/>
      <c r="C614" s="25"/>
      <c r="D614" s="25"/>
      <c r="E614" s="25"/>
      <c r="F614" s="74"/>
      <c r="G614" s="76"/>
      <c r="H614" s="76"/>
      <c r="I614" s="76"/>
      <c r="J614" s="25"/>
      <c r="K614" s="25"/>
      <c r="L614" s="76"/>
      <c r="M614" s="25"/>
      <c r="N614" s="25"/>
      <c r="O614" s="74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</row>
    <row r="615">
      <c r="A615" s="25"/>
      <c r="B615" s="25"/>
      <c r="C615" s="25"/>
      <c r="D615" s="25"/>
      <c r="E615" s="25"/>
      <c r="F615" s="74"/>
      <c r="G615" s="76"/>
      <c r="H615" s="76"/>
      <c r="I615" s="76"/>
      <c r="J615" s="25"/>
      <c r="K615" s="25"/>
      <c r="L615" s="76"/>
      <c r="M615" s="25"/>
      <c r="N615" s="25"/>
      <c r="O615" s="74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</row>
    <row r="616">
      <c r="A616" s="25"/>
      <c r="B616" s="25"/>
      <c r="C616" s="25"/>
      <c r="D616" s="25"/>
      <c r="E616" s="25"/>
      <c r="F616" s="74"/>
      <c r="G616" s="76"/>
      <c r="H616" s="76"/>
      <c r="I616" s="76"/>
      <c r="J616" s="25"/>
      <c r="K616" s="25"/>
      <c r="L616" s="76"/>
      <c r="M616" s="25"/>
      <c r="N616" s="25"/>
      <c r="O616" s="74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</row>
    <row r="617">
      <c r="A617" s="25"/>
      <c r="B617" s="25"/>
      <c r="C617" s="25"/>
      <c r="D617" s="25"/>
      <c r="E617" s="25"/>
      <c r="F617" s="74"/>
      <c r="G617" s="76"/>
      <c r="H617" s="76"/>
      <c r="I617" s="76"/>
      <c r="J617" s="25"/>
      <c r="K617" s="25"/>
      <c r="L617" s="76"/>
      <c r="M617" s="25"/>
      <c r="N617" s="25"/>
      <c r="O617" s="74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</row>
    <row r="618">
      <c r="A618" s="25"/>
      <c r="B618" s="25"/>
      <c r="C618" s="25"/>
      <c r="D618" s="25"/>
      <c r="E618" s="25"/>
      <c r="F618" s="74"/>
      <c r="G618" s="76"/>
      <c r="H618" s="76"/>
      <c r="I618" s="76"/>
      <c r="J618" s="25"/>
      <c r="K618" s="25"/>
      <c r="L618" s="76"/>
      <c r="M618" s="25"/>
      <c r="N618" s="25"/>
      <c r="O618" s="74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</row>
    <row r="619">
      <c r="A619" s="25"/>
      <c r="B619" s="25"/>
      <c r="C619" s="25"/>
      <c r="D619" s="25"/>
      <c r="E619" s="25"/>
      <c r="F619" s="74"/>
      <c r="G619" s="76"/>
      <c r="H619" s="76"/>
      <c r="I619" s="76"/>
      <c r="J619" s="25"/>
      <c r="K619" s="25"/>
      <c r="L619" s="76"/>
      <c r="M619" s="25"/>
      <c r="N619" s="25"/>
      <c r="O619" s="74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</row>
    <row r="620">
      <c r="A620" s="25"/>
      <c r="B620" s="25"/>
      <c r="C620" s="25"/>
      <c r="D620" s="25"/>
      <c r="E620" s="25"/>
      <c r="F620" s="74"/>
      <c r="G620" s="76"/>
      <c r="H620" s="76"/>
      <c r="I620" s="76"/>
      <c r="J620" s="25"/>
      <c r="K620" s="25"/>
      <c r="L620" s="76"/>
      <c r="M620" s="25"/>
      <c r="N620" s="25"/>
      <c r="O620" s="74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</row>
    <row r="621">
      <c r="A621" s="25"/>
      <c r="B621" s="25"/>
      <c r="C621" s="25"/>
      <c r="D621" s="25"/>
      <c r="E621" s="25"/>
      <c r="F621" s="74"/>
      <c r="G621" s="76"/>
      <c r="H621" s="76"/>
      <c r="I621" s="76"/>
      <c r="J621" s="25"/>
      <c r="K621" s="25"/>
      <c r="L621" s="76"/>
      <c r="M621" s="25"/>
      <c r="N621" s="25"/>
      <c r="O621" s="74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</row>
    <row r="622">
      <c r="A622" s="25"/>
      <c r="B622" s="25"/>
      <c r="C622" s="25"/>
      <c r="D622" s="25"/>
      <c r="E622" s="25"/>
      <c r="F622" s="74"/>
      <c r="G622" s="76"/>
      <c r="H622" s="76"/>
      <c r="I622" s="76"/>
      <c r="J622" s="25"/>
      <c r="K622" s="25"/>
      <c r="L622" s="76"/>
      <c r="M622" s="25"/>
      <c r="N622" s="25"/>
      <c r="O622" s="74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</row>
    <row r="623">
      <c r="A623" s="25"/>
      <c r="B623" s="25"/>
      <c r="C623" s="25"/>
      <c r="D623" s="25"/>
      <c r="E623" s="25"/>
      <c r="F623" s="74"/>
      <c r="G623" s="76"/>
      <c r="H623" s="76"/>
      <c r="I623" s="76"/>
      <c r="J623" s="25"/>
      <c r="K623" s="25"/>
      <c r="L623" s="76"/>
      <c r="M623" s="25"/>
      <c r="N623" s="25"/>
      <c r="O623" s="74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</row>
    <row r="624">
      <c r="A624" s="25"/>
      <c r="B624" s="25"/>
      <c r="C624" s="25"/>
      <c r="D624" s="25"/>
      <c r="E624" s="25"/>
      <c r="F624" s="74"/>
      <c r="G624" s="76"/>
      <c r="H624" s="76"/>
      <c r="I624" s="76"/>
      <c r="J624" s="25"/>
      <c r="K624" s="25"/>
      <c r="L624" s="76"/>
      <c r="M624" s="25"/>
      <c r="N624" s="25"/>
      <c r="O624" s="74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</row>
    <row r="625">
      <c r="A625" s="25"/>
      <c r="B625" s="25"/>
      <c r="C625" s="25"/>
      <c r="D625" s="25"/>
      <c r="E625" s="25"/>
      <c r="F625" s="74"/>
      <c r="G625" s="76"/>
      <c r="H625" s="76"/>
      <c r="I625" s="76"/>
      <c r="J625" s="25"/>
      <c r="K625" s="25"/>
      <c r="L625" s="76"/>
      <c r="M625" s="25"/>
      <c r="N625" s="25"/>
      <c r="O625" s="74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</row>
    <row r="626">
      <c r="A626" s="25"/>
      <c r="B626" s="25"/>
      <c r="C626" s="25"/>
      <c r="D626" s="25"/>
      <c r="E626" s="25"/>
      <c r="F626" s="74"/>
      <c r="G626" s="76"/>
      <c r="H626" s="76"/>
      <c r="I626" s="76"/>
      <c r="J626" s="25"/>
      <c r="K626" s="25"/>
      <c r="L626" s="76"/>
      <c r="M626" s="25"/>
      <c r="N626" s="25"/>
      <c r="O626" s="74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</row>
    <row r="627">
      <c r="A627" s="25"/>
      <c r="B627" s="25"/>
      <c r="C627" s="25"/>
      <c r="D627" s="25"/>
      <c r="E627" s="25"/>
      <c r="F627" s="74"/>
      <c r="G627" s="76"/>
      <c r="H627" s="76"/>
      <c r="I627" s="76"/>
      <c r="J627" s="25"/>
      <c r="K627" s="25"/>
      <c r="L627" s="76"/>
      <c r="M627" s="25"/>
      <c r="N627" s="25"/>
      <c r="O627" s="74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</row>
    <row r="628">
      <c r="A628" s="25"/>
      <c r="B628" s="25"/>
      <c r="C628" s="25"/>
      <c r="D628" s="25"/>
      <c r="E628" s="25"/>
      <c r="F628" s="74"/>
      <c r="G628" s="76"/>
      <c r="H628" s="76"/>
      <c r="I628" s="76"/>
      <c r="J628" s="25"/>
      <c r="K628" s="25"/>
      <c r="L628" s="76"/>
      <c r="M628" s="25"/>
      <c r="N628" s="25"/>
      <c r="O628" s="74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</row>
    <row r="629">
      <c r="A629" s="25"/>
      <c r="B629" s="25"/>
      <c r="C629" s="25"/>
      <c r="D629" s="25"/>
      <c r="E629" s="25"/>
      <c r="F629" s="74"/>
      <c r="G629" s="76"/>
      <c r="H629" s="76"/>
      <c r="I629" s="76"/>
      <c r="J629" s="25"/>
      <c r="K629" s="25"/>
      <c r="L629" s="76"/>
      <c r="M629" s="25"/>
      <c r="N629" s="25"/>
      <c r="O629" s="74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</row>
    <row r="630">
      <c r="A630" s="25"/>
      <c r="B630" s="25"/>
      <c r="C630" s="25"/>
      <c r="D630" s="25"/>
      <c r="E630" s="25"/>
      <c r="F630" s="74"/>
      <c r="G630" s="76"/>
      <c r="H630" s="76"/>
      <c r="I630" s="76"/>
      <c r="J630" s="25"/>
      <c r="K630" s="25"/>
      <c r="L630" s="76"/>
      <c r="M630" s="25"/>
      <c r="N630" s="25"/>
      <c r="O630" s="74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</row>
    <row r="631">
      <c r="A631" s="25"/>
      <c r="B631" s="25"/>
      <c r="C631" s="25"/>
      <c r="D631" s="25"/>
      <c r="E631" s="25"/>
      <c r="F631" s="74"/>
      <c r="G631" s="76"/>
      <c r="H631" s="76"/>
      <c r="I631" s="76"/>
      <c r="J631" s="25"/>
      <c r="K631" s="25"/>
      <c r="L631" s="76"/>
      <c r="M631" s="25"/>
      <c r="N631" s="25"/>
      <c r="O631" s="74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</row>
    <row r="632">
      <c r="A632" s="25"/>
      <c r="B632" s="25"/>
      <c r="C632" s="25"/>
      <c r="D632" s="25"/>
      <c r="E632" s="25"/>
      <c r="F632" s="74"/>
      <c r="G632" s="76"/>
      <c r="H632" s="76"/>
      <c r="I632" s="76"/>
      <c r="J632" s="25"/>
      <c r="K632" s="25"/>
      <c r="L632" s="76"/>
      <c r="M632" s="25"/>
      <c r="N632" s="25"/>
      <c r="O632" s="74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</row>
    <row r="633">
      <c r="A633" s="25"/>
      <c r="B633" s="25"/>
      <c r="C633" s="25"/>
      <c r="D633" s="25"/>
      <c r="E633" s="25"/>
      <c r="F633" s="74"/>
      <c r="G633" s="76"/>
      <c r="H633" s="76"/>
      <c r="I633" s="76"/>
      <c r="J633" s="25"/>
      <c r="K633" s="25"/>
      <c r="L633" s="76"/>
      <c r="M633" s="25"/>
      <c r="N633" s="25"/>
      <c r="O633" s="74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</row>
    <row r="634">
      <c r="A634" s="25"/>
      <c r="B634" s="25"/>
      <c r="C634" s="25"/>
      <c r="D634" s="25"/>
      <c r="E634" s="25"/>
      <c r="F634" s="74"/>
      <c r="G634" s="76"/>
      <c r="H634" s="76"/>
      <c r="I634" s="76"/>
      <c r="J634" s="25"/>
      <c r="K634" s="25"/>
      <c r="L634" s="76"/>
      <c r="M634" s="25"/>
      <c r="N634" s="25"/>
      <c r="O634" s="74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</row>
    <row r="635">
      <c r="A635" s="25"/>
      <c r="B635" s="25"/>
      <c r="C635" s="25"/>
      <c r="D635" s="25"/>
      <c r="E635" s="25"/>
      <c r="F635" s="74"/>
      <c r="G635" s="76"/>
      <c r="H635" s="76"/>
      <c r="I635" s="76"/>
      <c r="J635" s="25"/>
      <c r="K635" s="25"/>
      <c r="L635" s="76"/>
      <c r="M635" s="25"/>
      <c r="N635" s="25"/>
      <c r="O635" s="74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</row>
    <row r="636">
      <c r="A636" s="25"/>
      <c r="B636" s="25"/>
      <c r="C636" s="25"/>
      <c r="D636" s="25"/>
      <c r="E636" s="25"/>
      <c r="F636" s="74"/>
      <c r="G636" s="76"/>
      <c r="H636" s="76"/>
      <c r="I636" s="76"/>
      <c r="J636" s="25"/>
      <c r="K636" s="25"/>
      <c r="L636" s="76"/>
      <c r="M636" s="25"/>
      <c r="N636" s="25"/>
      <c r="O636" s="74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</row>
    <row r="637">
      <c r="A637" s="25"/>
      <c r="B637" s="25"/>
      <c r="C637" s="25"/>
      <c r="D637" s="25"/>
      <c r="E637" s="25"/>
      <c r="F637" s="74"/>
      <c r="G637" s="76"/>
      <c r="H637" s="76"/>
      <c r="I637" s="76"/>
      <c r="J637" s="25"/>
      <c r="K637" s="25"/>
      <c r="L637" s="76"/>
      <c r="M637" s="25"/>
      <c r="N637" s="25"/>
      <c r="O637" s="74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</row>
    <row r="638">
      <c r="A638" s="25"/>
      <c r="B638" s="25"/>
      <c r="C638" s="25"/>
      <c r="D638" s="25"/>
      <c r="E638" s="25"/>
      <c r="F638" s="74"/>
      <c r="G638" s="76"/>
      <c r="H638" s="76"/>
      <c r="I638" s="76"/>
      <c r="J638" s="25"/>
      <c r="K638" s="25"/>
      <c r="L638" s="76"/>
      <c r="M638" s="25"/>
      <c r="N638" s="25"/>
      <c r="O638" s="74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</row>
    <row r="639">
      <c r="A639" s="25"/>
      <c r="B639" s="25"/>
      <c r="C639" s="25"/>
      <c r="D639" s="25"/>
      <c r="E639" s="25"/>
      <c r="F639" s="74"/>
      <c r="G639" s="76"/>
      <c r="H639" s="76"/>
      <c r="I639" s="76"/>
      <c r="J639" s="25"/>
      <c r="K639" s="25"/>
      <c r="L639" s="76"/>
      <c r="M639" s="25"/>
      <c r="N639" s="25"/>
      <c r="O639" s="74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</row>
    <row r="640">
      <c r="A640" s="25"/>
      <c r="B640" s="25"/>
      <c r="C640" s="25"/>
      <c r="D640" s="25"/>
      <c r="E640" s="25"/>
      <c r="F640" s="74"/>
      <c r="G640" s="76"/>
      <c r="H640" s="76"/>
      <c r="I640" s="76"/>
      <c r="J640" s="25"/>
      <c r="K640" s="25"/>
      <c r="L640" s="76"/>
      <c r="M640" s="25"/>
      <c r="N640" s="25"/>
      <c r="O640" s="74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</row>
    <row r="641">
      <c r="A641" s="25"/>
      <c r="B641" s="25"/>
      <c r="C641" s="25"/>
      <c r="D641" s="25"/>
      <c r="E641" s="25"/>
      <c r="F641" s="74"/>
      <c r="G641" s="76"/>
      <c r="H641" s="76"/>
      <c r="I641" s="76"/>
      <c r="J641" s="25"/>
      <c r="K641" s="25"/>
      <c r="L641" s="76"/>
      <c r="M641" s="25"/>
      <c r="N641" s="25"/>
      <c r="O641" s="74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</row>
    <row r="642">
      <c r="A642" s="25"/>
      <c r="B642" s="25"/>
      <c r="C642" s="25"/>
      <c r="D642" s="25"/>
      <c r="E642" s="25"/>
      <c r="F642" s="74"/>
      <c r="G642" s="76"/>
      <c r="H642" s="76"/>
      <c r="I642" s="76"/>
      <c r="J642" s="25"/>
      <c r="K642" s="25"/>
      <c r="L642" s="76"/>
      <c r="M642" s="25"/>
      <c r="N642" s="25"/>
      <c r="O642" s="74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</row>
    <row r="643">
      <c r="A643" s="25"/>
      <c r="B643" s="25"/>
      <c r="C643" s="25"/>
      <c r="D643" s="25"/>
      <c r="E643" s="25"/>
      <c r="F643" s="74"/>
      <c r="G643" s="76"/>
      <c r="H643" s="76"/>
      <c r="I643" s="76"/>
      <c r="J643" s="25"/>
      <c r="K643" s="25"/>
      <c r="L643" s="76"/>
      <c r="M643" s="25"/>
      <c r="N643" s="25"/>
      <c r="O643" s="74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</row>
    <row r="644">
      <c r="A644" s="25"/>
      <c r="B644" s="25"/>
      <c r="C644" s="25"/>
      <c r="D644" s="25"/>
      <c r="E644" s="25"/>
      <c r="F644" s="74"/>
      <c r="G644" s="76"/>
      <c r="H644" s="76"/>
      <c r="I644" s="76"/>
      <c r="J644" s="25"/>
      <c r="K644" s="25"/>
      <c r="L644" s="76"/>
      <c r="M644" s="25"/>
      <c r="N644" s="25"/>
      <c r="O644" s="74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</row>
    <row r="645">
      <c r="A645" s="25"/>
      <c r="B645" s="25"/>
      <c r="C645" s="25"/>
      <c r="D645" s="25"/>
      <c r="E645" s="25"/>
      <c r="F645" s="74"/>
      <c r="G645" s="76"/>
      <c r="H645" s="76"/>
      <c r="I645" s="76"/>
      <c r="J645" s="25"/>
      <c r="K645" s="25"/>
      <c r="L645" s="76"/>
      <c r="M645" s="25"/>
      <c r="N645" s="25"/>
      <c r="O645" s="74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</row>
    <row r="646">
      <c r="A646" s="25"/>
      <c r="B646" s="25"/>
      <c r="C646" s="25"/>
      <c r="D646" s="25"/>
      <c r="E646" s="25"/>
      <c r="F646" s="74"/>
      <c r="G646" s="76"/>
      <c r="H646" s="76"/>
      <c r="I646" s="76"/>
      <c r="J646" s="25"/>
      <c r="K646" s="25"/>
      <c r="L646" s="76"/>
      <c r="M646" s="25"/>
      <c r="N646" s="25"/>
      <c r="O646" s="74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</row>
    <row r="647">
      <c r="A647" s="25"/>
      <c r="B647" s="25"/>
      <c r="C647" s="25"/>
      <c r="D647" s="25"/>
      <c r="E647" s="25"/>
      <c r="F647" s="74"/>
      <c r="G647" s="76"/>
      <c r="H647" s="76"/>
      <c r="I647" s="76"/>
      <c r="J647" s="25"/>
      <c r="K647" s="25"/>
      <c r="L647" s="76"/>
      <c r="M647" s="25"/>
      <c r="N647" s="25"/>
      <c r="O647" s="74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</row>
    <row r="648">
      <c r="A648" s="25"/>
      <c r="B648" s="25"/>
      <c r="C648" s="25"/>
      <c r="D648" s="25"/>
      <c r="E648" s="25"/>
      <c r="F648" s="74"/>
      <c r="G648" s="76"/>
      <c r="H648" s="76"/>
      <c r="I648" s="76"/>
      <c r="J648" s="25"/>
      <c r="K648" s="25"/>
      <c r="L648" s="76"/>
      <c r="M648" s="25"/>
      <c r="N648" s="25"/>
      <c r="O648" s="74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</row>
    <row r="649">
      <c r="A649" s="25"/>
      <c r="B649" s="25"/>
      <c r="C649" s="25"/>
      <c r="D649" s="25"/>
      <c r="E649" s="25"/>
      <c r="F649" s="74"/>
      <c r="G649" s="76"/>
      <c r="H649" s="76"/>
      <c r="I649" s="76"/>
      <c r="J649" s="25"/>
      <c r="K649" s="25"/>
      <c r="L649" s="76"/>
      <c r="M649" s="25"/>
      <c r="N649" s="25"/>
      <c r="O649" s="74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</row>
    <row r="650">
      <c r="A650" s="25"/>
      <c r="B650" s="25"/>
      <c r="C650" s="25"/>
      <c r="D650" s="25"/>
      <c r="E650" s="25"/>
      <c r="F650" s="74"/>
      <c r="G650" s="76"/>
      <c r="H650" s="76"/>
      <c r="I650" s="76"/>
      <c r="J650" s="25"/>
      <c r="K650" s="25"/>
      <c r="L650" s="76"/>
      <c r="M650" s="25"/>
      <c r="N650" s="25"/>
      <c r="O650" s="74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</row>
    <row r="651">
      <c r="A651" s="25"/>
      <c r="B651" s="25"/>
      <c r="C651" s="25"/>
      <c r="D651" s="25"/>
      <c r="E651" s="25"/>
      <c r="F651" s="74"/>
      <c r="G651" s="76"/>
      <c r="H651" s="76"/>
      <c r="I651" s="76"/>
      <c r="J651" s="25"/>
      <c r="K651" s="25"/>
      <c r="L651" s="76"/>
      <c r="M651" s="25"/>
      <c r="N651" s="25"/>
      <c r="O651" s="74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</row>
    <row r="652">
      <c r="A652" s="25"/>
      <c r="B652" s="25"/>
      <c r="C652" s="25"/>
      <c r="D652" s="25"/>
      <c r="E652" s="25"/>
      <c r="F652" s="74"/>
      <c r="G652" s="76"/>
      <c r="H652" s="76"/>
      <c r="I652" s="76"/>
      <c r="J652" s="25"/>
      <c r="K652" s="25"/>
      <c r="L652" s="76"/>
      <c r="M652" s="25"/>
      <c r="N652" s="25"/>
      <c r="O652" s="74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</row>
    <row r="653">
      <c r="A653" s="25"/>
      <c r="B653" s="25"/>
      <c r="C653" s="25"/>
      <c r="D653" s="25"/>
      <c r="E653" s="25"/>
      <c r="F653" s="74"/>
      <c r="G653" s="76"/>
      <c r="H653" s="76"/>
      <c r="I653" s="76"/>
      <c r="J653" s="25"/>
      <c r="K653" s="25"/>
      <c r="L653" s="76"/>
      <c r="M653" s="25"/>
      <c r="N653" s="25"/>
      <c r="O653" s="74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</row>
    <row r="654">
      <c r="A654" s="25"/>
      <c r="B654" s="25"/>
      <c r="C654" s="25"/>
      <c r="D654" s="25"/>
      <c r="E654" s="25"/>
      <c r="F654" s="74"/>
      <c r="G654" s="76"/>
      <c r="H654" s="76"/>
      <c r="I654" s="76"/>
      <c r="J654" s="25"/>
      <c r="K654" s="25"/>
      <c r="L654" s="76"/>
      <c r="M654" s="25"/>
      <c r="N654" s="25"/>
      <c r="O654" s="74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</row>
    <row r="655">
      <c r="A655" s="25"/>
      <c r="B655" s="25"/>
      <c r="C655" s="25"/>
      <c r="D655" s="25"/>
      <c r="E655" s="25"/>
      <c r="F655" s="74"/>
      <c r="G655" s="76"/>
      <c r="H655" s="76"/>
      <c r="I655" s="76"/>
      <c r="J655" s="25"/>
      <c r="K655" s="25"/>
      <c r="L655" s="76"/>
      <c r="M655" s="25"/>
      <c r="N655" s="25"/>
      <c r="O655" s="74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</row>
    <row r="656">
      <c r="A656" s="25"/>
      <c r="B656" s="25"/>
      <c r="C656" s="25"/>
      <c r="D656" s="25"/>
      <c r="E656" s="25"/>
      <c r="F656" s="74"/>
      <c r="G656" s="76"/>
      <c r="H656" s="76"/>
      <c r="I656" s="76"/>
      <c r="J656" s="25"/>
      <c r="K656" s="25"/>
      <c r="L656" s="76"/>
      <c r="M656" s="25"/>
      <c r="N656" s="25"/>
      <c r="O656" s="74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</row>
    <row r="657">
      <c r="A657" s="25"/>
      <c r="B657" s="25"/>
      <c r="C657" s="25"/>
      <c r="D657" s="25"/>
      <c r="E657" s="25"/>
      <c r="F657" s="74"/>
      <c r="G657" s="76"/>
      <c r="H657" s="76"/>
      <c r="I657" s="76"/>
      <c r="J657" s="25"/>
      <c r="K657" s="25"/>
      <c r="L657" s="76"/>
      <c r="M657" s="25"/>
      <c r="N657" s="25"/>
      <c r="O657" s="74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</row>
    <row r="658">
      <c r="A658" s="25"/>
      <c r="B658" s="25"/>
      <c r="C658" s="25"/>
      <c r="D658" s="25"/>
      <c r="E658" s="25"/>
      <c r="F658" s="74"/>
      <c r="G658" s="76"/>
      <c r="H658" s="76"/>
      <c r="I658" s="76"/>
      <c r="J658" s="25"/>
      <c r="K658" s="25"/>
      <c r="L658" s="76"/>
      <c r="M658" s="25"/>
      <c r="N658" s="25"/>
      <c r="O658" s="74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</row>
    <row r="659">
      <c r="A659" s="25"/>
      <c r="B659" s="25"/>
      <c r="C659" s="25"/>
      <c r="D659" s="25"/>
      <c r="E659" s="25"/>
      <c r="F659" s="74"/>
      <c r="G659" s="76"/>
      <c r="H659" s="76"/>
      <c r="I659" s="76"/>
      <c r="J659" s="25"/>
      <c r="K659" s="25"/>
      <c r="L659" s="76"/>
      <c r="M659" s="25"/>
      <c r="N659" s="25"/>
      <c r="O659" s="74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</row>
    <row r="660">
      <c r="A660" s="25"/>
      <c r="B660" s="25"/>
      <c r="C660" s="25"/>
      <c r="D660" s="25"/>
      <c r="E660" s="25"/>
      <c r="F660" s="74"/>
      <c r="G660" s="76"/>
      <c r="H660" s="76"/>
      <c r="I660" s="76"/>
      <c r="J660" s="25"/>
      <c r="K660" s="25"/>
      <c r="L660" s="76"/>
      <c r="M660" s="25"/>
      <c r="N660" s="25"/>
      <c r="O660" s="74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</row>
    <row r="661">
      <c r="A661" s="25"/>
      <c r="B661" s="25"/>
      <c r="C661" s="25"/>
      <c r="D661" s="25"/>
      <c r="E661" s="25"/>
      <c r="F661" s="74"/>
      <c r="G661" s="76"/>
      <c r="H661" s="76"/>
      <c r="I661" s="76"/>
      <c r="J661" s="25"/>
      <c r="K661" s="25"/>
      <c r="L661" s="76"/>
      <c r="M661" s="25"/>
      <c r="N661" s="25"/>
      <c r="O661" s="74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</row>
    <row r="662">
      <c r="A662" s="25"/>
      <c r="B662" s="25"/>
      <c r="C662" s="25"/>
      <c r="D662" s="25"/>
      <c r="E662" s="25"/>
      <c r="F662" s="74"/>
      <c r="G662" s="76"/>
      <c r="H662" s="76"/>
      <c r="I662" s="76"/>
      <c r="J662" s="25"/>
      <c r="K662" s="25"/>
      <c r="L662" s="76"/>
      <c r="M662" s="25"/>
      <c r="N662" s="25"/>
      <c r="O662" s="74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</row>
    <row r="663">
      <c r="A663" s="25"/>
      <c r="B663" s="25"/>
      <c r="C663" s="25"/>
      <c r="D663" s="25"/>
      <c r="E663" s="25"/>
      <c r="F663" s="74"/>
      <c r="G663" s="76"/>
      <c r="H663" s="76"/>
      <c r="I663" s="76"/>
      <c r="J663" s="25"/>
      <c r="K663" s="25"/>
      <c r="L663" s="76"/>
      <c r="M663" s="25"/>
      <c r="N663" s="25"/>
      <c r="O663" s="74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</row>
    <row r="664">
      <c r="A664" s="25"/>
      <c r="B664" s="25"/>
      <c r="C664" s="25"/>
      <c r="D664" s="25"/>
      <c r="E664" s="25"/>
      <c r="F664" s="74"/>
      <c r="G664" s="76"/>
      <c r="H664" s="76"/>
      <c r="I664" s="76"/>
      <c r="J664" s="25"/>
      <c r="K664" s="25"/>
      <c r="L664" s="76"/>
      <c r="M664" s="25"/>
      <c r="N664" s="25"/>
      <c r="O664" s="74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</row>
    <row r="665">
      <c r="A665" s="25"/>
      <c r="B665" s="25"/>
      <c r="C665" s="25"/>
      <c r="D665" s="25"/>
      <c r="E665" s="25"/>
      <c r="F665" s="74"/>
      <c r="G665" s="76"/>
      <c r="H665" s="76"/>
      <c r="I665" s="76"/>
      <c r="J665" s="25"/>
      <c r="K665" s="25"/>
      <c r="L665" s="76"/>
      <c r="M665" s="25"/>
      <c r="N665" s="25"/>
      <c r="O665" s="74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</row>
    <row r="666">
      <c r="A666" s="25"/>
      <c r="B666" s="25"/>
      <c r="C666" s="25"/>
      <c r="D666" s="25"/>
      <c r="E666" s="25"/>
      <c r="F666" s="74"/>
      <c r="G666" s="76"/>
      <c r="H666" s="76"/>
      <c r="I666" s="76"/>
      <c r="J666" s="25"/>
      <c r="K666" s="25"/>
      <c r="L666" s="76"/>
      <c r="M666" s="25"/>
      <c r="N666" s="25"/>
      <c r="O666" s="74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</row>
    <row r="667">
      <c r="A667" s="25"/>
      <c r="B667" s="25"/>
      <c r="C667" s="25"/>
      <c r="D667" s="25"/>
      <c r="E667" s="25"/>
      <c r="F667" s="74"/>
      <c r="G667" s="76"/>
      <c r="H667" s="76"/>
      <c r="I667" s="76"/>
      <c r="J667" s="25"/>
      <c r="K667" s="25"/>
      <c r="L667" s="76"/>
      <c r="M667" s="25"/>
      <c r="N667" s="25"/>
      <c r="O667" s="74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</row>
    <row r="668">
      <c r="A668" s="25"/>
      <c r="B668" s="25"/>
      <c r="C668" s="25"/>
      <c r="D668" s="25"/>
      <c r="E668" s="25"/>
      <c r="F668" s="74"/>
      <c r="G668" s="76"/>
      <c r="H668" s="76"/>
      <c r="I668" s="76"/>
      <c r="J668" s="25"/>
      <c r="K668" s="25"/>
      <c r="L668" s="76"/>
      <c r="M668" s="25"/>
      <c r="N668" s="25"/>
      <c r="O668" s="74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</row>
    <row r="669">
      <c r="A669" s="25"/>
      <c r="B669" s="25"/>
      <c r="C669" s="25"/>
      <c r="D669" s="25"/>
      <c r="E669" s="25"/>
      <c r="F669" s="74"/>
      <c r="G669" s="76"/>
      <c r="H669" s="76"/>
      <c r="I669" s="76"/>
      <c r="J669" s="25"/>
      <c r="K669" s="25"/>
      <c r="L669" s="76"/>
      <c r="M669" s="25"/>
      <c r="N669" s="25"/>
      <c r="O669" s="74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</row>
    <row r="670">
      <c r="A670" s="25"/>
      <c r="B670" s="25"/>
      <c r="C670" s="25"/>
      <c r="D670" s="25"/>
      <c r="E670" s="25"/>
      <c r="F670" s="74"/>
      <c r="G670" s="76"/>
      <c r="H670" s="76"/>
      <c r="I670" s="76"/>
      <c r="J670" s="25"/>
      <c r="K670" s="25"/>
      <c r="L670" s="76"/>
      <c r="M670" s="25"/>
      <c r="N670" s="25"/>
      <c r="O670" s="74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</row>
    <row r="671">
      <c r="A671" s="25"/>
      <c r="B671" s="25"/>
      <c r="C671" s="25"/>
      <c r="D671" s="25"/>
      <c r="E671" s="25"/>
      <c r="F671" s="74"/>
      <c r="G671" s="76"/>
      <c r="H671" s="76"/>
      <c r="I671" s="76"/>
      <c r="J671" s="25"/>
      <c r="K671" s="25"/>
      <c r="L671" s="76"/>
      <c r="M671" s="25"/>
      <c r="N671" s="25"/>
      <c r="O671" s="74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</row>
    <row r="672">
      <c r="A672" s="25"/>
      <c r="B672" s="25"/>
      <c r="C672" s="25"/>
      <c r="D672" s="25"/>
      <c r="E672" s="25"/>
      <c r="F672" s="74"/>
      <c r="G672" s="76"/>
      <c r="H672" s="76"/>
      <c r="I672" s="76"/>
      <c r="J672" s="25"/>
      <c r="K672" s="25"/>
      <c r="L672" s="76"/>
      <c r="M672" s="25"/>
      <c r="N672" s="25"/>
      <c r="O672" s="74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</row>
    <row r="673">
      <c r="A673" s="25"/>
      <c r="B673" s="25"/>
      <c r="C673" s="25"/>
      <c r="D673" s="25"/>
      <c r="E673" s="25"/>
      <c r="F673" s="74"/>
      <c r="G673" s="76"/>
      <c r="H673" s="76"/>
      <c r="I673" s="76"/>
      <c r="J673" s="25"/>
      <c r="K673" s="25"/>
      <c r="L673" s="76"/>
      <c r="M673" s="25"/>
      <c r="N673" s="25"/>
      <c r="O673" s="74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</row>
    <row r="674">
      <c r="A674" s="25"/>
      <c r="B674" s="25"/>
      <c r="C674" s="25"/>
      <c r="D674" s="25"/>
      <c r="E674" s="25"/>
      <c r="F674" s="74"/>
      <c r="G674" s="76"/>
      <c r="H674" s="76"/>
      <c r="I674" s="76"/>
      <c r="J674" s="25"/>
      <c r="K674" s="25"/>
      <c r="L674" s="76"/>
      <c r="M674" s="25"/>
      <c r="N674" s="25"/>
      <c r="O674" s="74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</row>
    <row r="675">
      <c r="A675" s="25"/>
      <c r="B675" s="25"/>
      <c r="C675" s="25"/>
      <c r="D675" s="25"/>
      <c r="E675" s="25"/>
      <c r="F675" s="74"/>
      <c r="G675" s="76"/>
      <c r="H675" s="76"/>
      <c r="I675" s="76"/>
      <c r="J675" s="25"/>
      <c r="K675" s="25"/>
      <c r="L675" s="76"/>
      <c r="M675" s="25"/>
      <c r="N675" s="25"/>
      <c r="O675" s="74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</row>
    <row r="676">
      <c r="A676" s="25"/>
      <c r="B676" s="25"/>
      <c r="C676" s="25"/>
      <c r="D676" s="25"/>
      <c r="E676" s="25"/>
      <c r="F676" s="74"/>
      <c r="G676" s="76"/>
      <c r="H676" s="76"/>
      <c r="I676" s="76"/>
      <c r="J676" s="25"/>
      <c r="K676" s="25"/>
      <c r="L676" s="76"/>
      <c r="M676" s="25"/>
      <c r="N676" s="25"/>
      <c r="O676" s="74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</row>
    <row r="677">
      <c r="A677" s="25"/>
      <c r="B677" s="25"/>
      <c r="C677" s="25"/>
      <c r="D677" s="25"/>
      <c r="E677" s="25"/>
      <c r="F677" s="74"/>
      <c r="G677" s="76"/>
      <c r="H677" s="76"/>
      <c r="I677" s="76"/>
      <c r="J677" s="25"/>
      <c r="K677" s="25"/>
      <c r="L677" s="76"/>
      <c r="M677" s="25"/>
      <c r="N677" s="25"/>
      <c r="O677" s="74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</row>
    <row r="678">
      <c r="A678" s="25"/>
      <c r="B678" s="25"/>
      <c r="C678" s="25"/>
      <c r="D678" s="25"/>
      <c r="E678" s="25"/>
      <c r="F678" s="74"/>
      <c r="G678" s="76"/>
      <c r="H678" s="76"/>
      <c r="I678" s="76"/>
      <c r="J678" s="25"/>
      <c r="K678" s="25"/>
      <c r="L678" s="76"/>
      <c r="M678" s="25"/>
      <c r="N678" s="25"/>
      <c r="O678" s="74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</row>
    <row r="679">
      <c r="A679" s="25"/>
      <c r="B679" s="25"/>
      <c r="C679" s="25"/>
      <c r="D679" s="25"/>
      <c r="E679" s="25"/>
      <c r="F679" s="74"/>
      <c r="G679" s="76"/>
      <c r="H679" s="76"/>
      <c r="I679" s="76"/>
      <c r="J679" s="25"/>
      <c r="K679" s="25"/>
      <c r="L679" s="76"/>
      <c r="M679" s="25"/>
      <c r="N679" s="25"/>
      <c r="O679" s="74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</row>
    <row r="680">
      <c r="A680" s="25"/>
      <c r="B680" s="25"/>
      <c r="C680" s="25"/>
      <c r="D680" s="25"/>
      <c r="E680" s="25"/>
      <c r="F680" s="74"/>
      <c r="G680" s="76"/>
      <c r="H680" s="76"/>
      <c r="I680" s="76"/>
      <c r="J680" s="25"/>
      <c r="K680" s="25"/>
      <c r="L680" s="76"/>
      <c r="M680" s="25"/>
      <c r="N680" s="25"/>
      <c r="O680" s="74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</row>
    <row r="681">
      <c r="A681" s="25"/>
      <c r="B681" s="25"/>
      <c r="C681" s="25"/>
      <c r="D681" s="25"/>
      <c r="E681" s="25"/>
      <c r="F681" s="74"/>
      <c r="G681" s="76"/>
      <c r="H681" s="76"/>
      <c r="I681" s="76"/>
      <c r="J681" s="25"/>
      <c r="K681" s="25"/>
      <c r="L681" s="76"/>
      <c r="M681" s="25"/>
      <c r="N681" s="25"/>
      <c r="O681" s="74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</row>
    <row r="682">
      <c r="A682" s="25"/>
      <c r="B682" s="25"/>
      <c r="C682" s="25"/>
      <c r="D682" s="25"/>
      <c r="E682" s="25"/>
      <c r="F682" s="74"/>
      <c r="G682" s="76"/>
      <c r="H682" s="76"/>
      <c r="I682" s="76"/>
      <c r="J682" s="25"/>
      <c r="K682" s="25"/>
      <c r="L682" s="76"/>
      <c r="M682" s="25"/>
      <c r="N682" s="25"/>
      <c r="O682" s="74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</row>
    <row r="683">
      <c r="A683" s="25"/>
      <c r="B683" s="25"/>
      <c r="C683" s="25"/>
      <c r="D683" s="25"/>
      <c r="E683" s="25"/>
      <c r="F683" s="74"/>
      <c r="G683" s="76"/>
      <c r="H683" s="76"/>
      <c r="I683" s="76"/>
      <c r="J683" s="25"/>
      <c r="K683" s="25"/>
      <c r="L683" s="76"/>
      <c r="M683" s="25"/>
      <c r="N683" s="25"/>
      <c r="O683" s="74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</row>
    <row r="684">
      <c r="A684" s="25"/>
      <c r="B684" s="25"/>
      <c r="C684" s="25"/>
      <c r="D684" s="25"/>
      <c r="E684" s="25"/>
      <c r="F684" s="74"/>
      <c r="G684" s="76"/>
      <c r="H684" s="76"/>
      <c r="I684" s="76"/>
      <c r="J684" s="25"/>
      <c r="K684" s="25"/>
      <c r="L684" s="76"/>
      <c r="M684" s="25"/>
      <c r="N684" s="25"/>
      <c r="O684" s="74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</row>
    <row r="685">
      <c r="A685" s="25"/>
      <c r="B685" s="25"/>
      <c r="C685" s="25"/>
      <c r="D685" s="25"/>
      <c r="E685" s="25"/>
      <c r="F685" s="74"/>
      <c r="G685" s="76"/>
      <c r="H685" s="76"/>
      <c r="I685" s="76"/>
      <c r="J685" s="25"/>
      <c r="K685" s="25"/>
      <c r="L685" s="76"/>
      <c r="M685" s="25"/>
      <c r="N685" s="25"/>
      <c r="O685" s="74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</row>
    <row r="686">
      <c r="A686" s="25"/>
      <c r="B686" s="25"/>
      <c r="C686" s="25"/>
      <c r="D686" s="25"/>
      <c r="E686" s="25"/>
      <c r="F686" s="74"/>
      <c r="G686" s="76"/>
      <c r="H686" s="76"/>
      <c r="I686" s="76"/>
      <c r="J686" s="25"/>
      <c r="K686" s="25"/>
      <c r="L686" s="76"/>
      <c r="M686" s="25"/>
      <c r="N686" s="25"/>
      <c r="O686" s="74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</row>
    <row r="687">
      <c r="A687" s="25"/>
      <c r="B687" s="25"/>
      <c r="C687" s="25"/>
      <c r="D687" s="25"/>
      <c r="E687" s="25"/>
      <c r="F687" s="74"/>
      <c r="G687" s="76"/>
      <c r="H687" s="76"/>
      <c r="I687" s="76"/>
      <c r="J687" s="25"/>
      <c r="K687" s="25"/>
      <c r="L687" s="76"/>
      <c r="M687" s="25"/>
      <c r="N687" s="25"/>
      <c r="O687" s="74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</row>
    <row r="688">
      <c r="A688" s="25"/>
      <c r="B688" s="25"/>
      <c r="C688" s="25"/>
      <c r="D688" s="25"/>
      <c r="E688" s="25"/>
      <c r="F688" s="74"/>
      <c r="G688" s="76"/>
      <c r="H688" s="76"/>
      <c r="I688" s="76"/>
      <c r="J688" s="25"/>
      <c r="K688" s="25"/>
      <c r="L688" s="76"/>
      <c r="M688" s="25"/>
      <c r="N688" s="25"/>
      <c r="O688" s="74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</row>
    <row r="689">
      <c r="A689" s="25"/>
      <c r="B689" s="25"/>
      <c r="C689" s="25"/>
      <c r="D689" s="25"/>
      <c r="E689" s="25"/>
      <c r="F689" s="74"/>
      <c r="G689" s="76"/>
      <c r="H689" s="76"/>
      <c r="I689" s="76"/>
      <c r="J689" s="25"/>
      <c r="K689" s="25"/>
      <c r="L689" s="76"/>
      <c r="M689" s="25"/>
      <c r="N689" s="25"/>
      <c r="O689" s="74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</row>
    <row r="690">
      <c r="A690" s="25"/>
      <c r="B690" s="25"/>
      <c r="C690" s="25"/>
      <c r="D690" s="25"/>
      <c r="E690" s="25"/>
      <c r="F690" s="74"/>
      <c r="G690" s="76"/>
      <c r="H690" s="76"/>
      <c r="I690" s="76"/>
      <c r="J690" s="25"/>
      <c r="K690" s="25"/>
      <c r="L690" s="76"/>
      <c r="M690" s="25"/>
      <c r="N690" s="25"/>
      <c r="O690" s="74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</row>
    <row r="691">
      <c r="A691" s="25"/>
      <c r="B691" s="25"/>
      <c r="C691" s="25"/>
      <c r="D691" s="25"/>
      <c r="E691" s="25"/>
      <c r="F691" s="74"/>
      <c r="G691" s="76"/>
      <c r="H691" s="76"/>
      <c r="I691" s="76"/>
      <c r="J691" s="25"/>
      <c r="K691" s="25"/>
      <c r="L691" s="76"/>
      <c r="M691" s="25"/>
      <c r="N691" s="25"/>
      <c r="O691" s="74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</row>
    <row r="692">
      <c r="A692" s="25"/>
      <c r="B692" s="25"/>
      <c r="C692" s="25"/>
      <c r="D692" s="25"/>
      <c r="E692" s="25"/>
      <c r="F692" s="74"/>
      <c r="G692" s="76"/>
      <c r="H692" s="76"/>
      <c r="I692" s="76"/>
      <c r="J692" s="25"/>
      <c r="K692" s="25"/>
      <c r="L692" s="76"/>
      <c r="M692" s="25"/>
      <c r="N692" s="25"/>
      <c r="O692" s="74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</row>
    <row r="693">
      <c r="A693" s="25"/>
      <c r="B693" s="25"/>
      <c r="C693" s="25"/>
      <c r="D693" s="25"/>
      <c r="E693" s="25"/>
      <c r="F693" s="74"/>
      <c r="G693" s="76"/>
      <c r="H693" s="76"/>
      <c r="I693" s="76"/>
      <c r="J693" s="25"/>
      <c r="K693" s="25"/>
      <c r="L693" s="76"/>
      <c r="M693" s="25"/>
      <c r="N693" s="25"/>
      <c r="O693" s="74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</row>
    <row r="694">
      <c r="A694" s="25"/>
      <c r="B694" s="25"/>
      <c r="C694" s="25"/>
      <c r="D694" s="25"/>
      <c r="E694" s="25"/>
      <c r="F694" s="74"/>
      <c r="G694" s="76"/>
      <c r="H694" s="76"/>
      <c r="I694" s="76"/>
      <c r="J694" s="25"/>
      <c r="K694" s="25"/>
      <c r="L694" s="76"/>
      <c r="M694" s="25"/>
      <c r="N694" s="25"/>
      <c r="O694" s="74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</row>
    <row r="695">
      <c r="A695" s="25"/>
      <c r="B695" s="25"/>
      <c r="C695" s="25"/>
      <c r="D695" s="25"/>
      <c r="E695" s="25"/>
      <c r="F695" s="74"/>
      <c r="G695" s="76"/>
      <c r="H695" s="76"/>
      <c r="I695" s="76"/>
      <c r="J695" s="25"/>
      <c r="K695" s="25"/>
      <c r="L695" s="76"/>
      <c r="M695" s="25"/>
      <c r="N695" s="25"/>
      <c r="O695" s="74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</row>
    <row r="696">
      <c r="A696" s="25"/>
      <c r="B696" s="25"/>
      <c r="C696" s="25"/>
      <c r="D696" s="25"/>
      <c r="E696" s="25"/>
      <c r="F696" s="74"/>
      <c r="G696" s="76"/>
      <c r="H696" s="76"/>
      <c r="I696" s="76"/>
      <c r="J696" s="25"/>
      <c r="K696" s="25"/>
      <c r="L696" s="76"/>
      <c r="M696" s="25"/>
      <c r="N696" s="25"/>
      <c r="O696" s="74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</row>
    <row r="697">
      <c r="A697" s="25"/>
      <c r="B697" s="25"/>
      <c r="C697" s="25"/>
      <c r="D697" s="25"/>
      <c r="E697" s="25"/>
      <c r="F697" s="74"/>
      <c r="G697" s="76"/>
      <c r="H697" s="76"/>
      <c r="I697" s="76"/>
      <c r="J697" s="25"/>
      <c r="K697" s="25"/>
      <c r="L697" s="76"/>
      <c r="M697" s="25"/>
      <c r="N697" s="25"/>
      <c r="O697" s="74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</row>
    <row r="698">
      <c r="A698" s="25"/>
      <c r="B698" s="25"/>
      <c r="C698" s="25"/>
      <c r="D698" s="25"/>
      <c r="E698" s="25"/>
      <c r="F698" s="74"/>
      <c r="G698" s="76"/>
      <c r="H698" s="76"/>
      <c r="I698" s="76"/>
      <c r="J698" s="25"/>
      <c r="K698" s="25"/>
      <c r="L698" s="76"/>
      <c r="M698" s="25"/>
      <c r="N698" s="25"/>
      <c r="O698" s="74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</row>
    <row r="699">
      <c r="A699" s="25"/>
      <c r="B699" s="25"/>
      <c r="C699" s="25"/>
      <c r="D699" s="25"/>
      <c r="E699" s="25"/>
      <c r="F699" s="74"/>
      <c r="G699" s="76"/>
      <c r="H699" s="76"/>
      <c r="I699" s="76"/>
      <c r="J699" s="25"/>
      <c r="K699" s="25"/>
      <c r="L699" s="76"/>
      <c r="M699" s="25"/>
      <c r="N699" s="25"/>
      <c r="O699" s="74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</row>
    <row r="700">
      <c r="A700" s="25"/>
      <c r="B700" s="25"/>
      <c r="C700" s="25"/>
      <c r="D700" s="25"/>
      <c r="E700" s="25"/>
      <c r="F700" s="74"/>
      <c r="G700" s="76"/>
      <c r="H700" s="76"/>
      <c r="I700" s="76"/>
      <c r="J700" s="25"/>
      <c r="K700" s="25"/>
      <c r="L700" s="76"/>
      <c r="M700" s="25"/>
      <c r="N700" s="25"/>
      <c r="O700" s="74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</row>
    <row r="701">
      <c r="A701" s="25"/>
      <c r="B701" s="25"/>
      <c r="C701" s="25"/>
      <c r="D701" s="25"/>
      <c r="E701" s="25"/>
      <c r="F701" s="74"/>
      <c r="G701" s="76"/>
      <c r="H701" s="76"/>
      <c r="I701" s="76"/>
      <c r="J701" s="25"/>
      <c r="K701" s="25"/>
      <c r="L701" s="76"/>
      <c r="M701" s="25"/>
      <c r="N701" s="25"/>
      <c r="O701" s="74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</row>
    <row r="702">
      <c r="A702" s="25"/>
      <c r="B702" s="25"/>
      <c r="C702" s="25"/>
      <c r="D702" s="25"/>
      <c r="E702" s="25"/>
      <c r="F702" s="74"/>
      <c r="G702" s="76"/>
      <c r="H702" s="76"/>
      <c r="I702" s="76"/>
      <c r="J702" s="25"/>
      <c r="K702" s="25"/>
      <c r="L702" s="76"/>
      <c r="M702" s="25"/>
      <c r="N702" s="25"/>
      <c r="O702" s="74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</row>
    <row r="703">
      <c r="A703" s="25"/>
      <c r="B703" s="25"/>
      <c r="C703" s="25"/>
      <c r="D703" s="25"/>
      <c r="E703" s="25"/>
      <c r="F703" s="74"/>
      <c r="G703" s="76"/>
      <c r="H703" s="76"/>
      <c r="I703" s="76"/>
      <c r="J703" s="25"/>
      <c r="K703" s="25"/>
      <c r="L703" s="76"/>
      <c r="M703" s="25"/>
      <c r="N703" s="25"/>
      <c r="O703" s="74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</row>
    <row r="704">
      <c r="A704" s="25"/>
      <c r="B704" s="25"/>
      <c r="C704" s="25"/>
      <c r="D704" s="25"/>
      <c r="E704" s="25"/>
      <c r="F704" s="74"/>
      <c r="G704" s="76"/>
      <c r="H704" s="76"/>
      <c r="I704" s="76"/>
      <c r="J704" s="25"/>
      <c r="K704" s="25"/>
      <c r="L704" s="76"/>
      <c r="M704" s="25"/>
      <c r="N704" s="25"/>
      <c r="O704" s="74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</row>
    <row r="705">
      <c r="A705" s="25"/>
      <c r="B705" s="25"/>
      <c r="C705" s="25"/>
      <c r="D705" s="25"/>
      <c r="E705" s="25"/>
      <c r="F705" s="74"/>
      <c r="G705" s="76"/>
      <c r="H705" s="76"/>
      <c r="I705" s="76"/>
      <c r="J705" s="25"/>
      <c r="K705" s="25"/>
      <c r="L705" s="76"/>
      <c r="M705" s="25"/>
      <c r="N705" s="25"/>
      <c r="O705" s="74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</row>
    <row r="706">
      <c r="A706" s="25"/>
      <c r="B706" s="25"/>
      <c r="C706" s="25"/>
      <c r="D706" s="25"/>
      <c r="E706" s="25"/>
      <c r="F706" s="74"/>
      <c r="G706" s="76"/>
      <c r="H706" s="76"/>
      <c r="I706" s="76"/>
      <c r="J706" s="25"/>
      <c r="K706" s="25"/>
      <c r="L706" s="76"/>
      <c r="M706" s="25"/>
      <c r="N706" s="25"/>
      <c r="O706" s="74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</row>
    <row r="707">
      <c r="A707" s="25"/>
      <c r="B707" s="25"/>
      <c r="C707" s="25"/>
      <c r="D707" s="25"/>
      <c r="E707" s="25"/>
      <c r="F707" s="74"/>
      <c r="G707" s="76"/>
      <c r="H707" s="76"/>
      <c r="I707" s="76"/>
      <c r="J707" s="25"/>
      <c r="K707" s="25"/>
      <c r="L707" s="76"/>
      <c r="M707" s="25"/>
      <c r="N707" s="25"/>
      <c r="O707" s="74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</row>
    <row r="708">
      <c r="A708" s="25"/>
      <c r="B708" s="25"/>
      <c r="C708" s="25"/>
      <c r="D708" s="25"/>
      <c r="E708" s="25"/>
      <c r="F708" s="74"/>
      <c r="G708" s="76"/>
      <c r="H708" s="76"/>
      <c r="I708" s="76"/>
      <c r="J708" s="25"/>
      <c r="K708" s="25"/>
      <c r="L708" s="76"/>
      <c r="M708" s="25"/>
      <c r="N708" s="25"/>
      <c r="O708" s="74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</row>
    <row r="709">
      <c r="A709" s="25"/>
      <c r="B709" s="25"/>
      <c r="C709" s="25"/>
      <c r="D709" s="25"/>
      <c r="E709" s="25"/>
      <c r="F709" s="74"/>
      <c r="G709" s="76"/>
      <c r="H709" s="76"/>
      <c r="I709" s="76"/>
      <c r="J709" s="25"/>
      <c r="K709" s="25"/>
      <c r="L709" s="76"/>
      <c r="M709" s="25"/>
      <c r="N709" s="25"/>
      <c r="O709" s="74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</row>
    <row r="710">
      <c r="A710" s="25"/>
      <c r="B710" s="25"/>
      <c r="C710" s="25"/>
      <c r="D710" s="25"/>
      <c r="E710" s="25"/>
      <c r="F710" s="74"/>
      <c r="G710" s="76"/>
      <c r="H710" s="76"/>
      <c r="I710" s="76"/>
      <c r="J710" s="25"/>
      <c r="K710" s="25"/>
      <c r="L710" s="76"/>
      <c r="M710" s="25"/>
      <c r="N710" s="25"/>
      <c r="O710" s="74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</row>
    <row r="711">
      <c r="A711" s="25"/>
      <c r="B711" s="25"/>
      <c r="C711" s="25"/>
      <c r="D711" s="25"/>
      <c r="E711" s="25"/>
      <c r="F711" s="74"/>
      <c r="G711" s="76"/>
      <c r="H711" s="76"/>
      <c r="I711" s="76"/>
      <c r="J711" s="25"/>
      <c r="K711" s="25"/>
      <c r="L711" s="76"/>
      <c r="M711" s="25"/>
      <c r="N711" s="25"/>
      <c r="O711" s="74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</row>
    <row r="712">
      <c r="A712" s="25"/>
      <c r="B712" s="25"/>
      <c r="C712" s="25"/>
      <c r="D712" s="25"/>
      <c r="E712" s="25"/>
      <c r="F712" s="74"/>
      <c r="G712" s="76"/>
      <c r="H712" s="76"/>
      <c r="I712" s="76"/>
      <c r="J712" s="25"/>
      <c r="K712" s="25"/>
      <c r="L712" s="76"/>
      <c r="M712" s="25"/>
      <c r="N712" s="25"/>
      <c r="O712" s="74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</row>
    <row r="713">
      <c r="A713" s="25"/>
      <c r="B713" s="25"/>
      <c r="C713" s="25"/>
      <c r="D713" s="25"/>
      <c r="E713" s="25"/>
      <c r="F713" s="74"/>
      <c r="G713" s="76"/>
      <c r="H713" s="76"/>
      <c r="I713" s="76"/>
      <c r="J713" s="25"/>
      <c r="K713" s="25"/>
      <c r="L713" s="76"/>
      <c r="M713" s="25"/>
      <c r="N713" s="25"/>
      <c r="O713" s="74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</row>
    <row r="714">
      <c r="A714" s="25"/>
      <c r="B714" s="25"/>
      <c r="C714" s="25"/>
      <c r="D714" s="25"/>
      <c r="E714" s="25"/>
      <c r="F714" s="74"/>
      <c r="G714" s="76"/>
      <c r="H714" s="76"/>
      <c r="I714" s="76"/>
      <c r="J714" s="25"/>
      <c r="K714" s="25"/>
      <c r="L714" s="76"/>
      <c r="M714" s="25"/>
      <c r="N714" s="25"/>
      <c r="O714" s="74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</row>
    <row r="715">
      <c r="A715" s="25"/>
      <c r="B715" s="25"/>
      <c r="C715" s="25"/>
      <c r="D715" s="25"/>
      <c r="E715" s="25"/>
      <c r="F715" s="74"/>
      <c r="G715" s="76"/>
      <c r="H715" s="76"/>
      <c r="I715" s="76"/>
      <c r="J715" s="25"/>
      <c r="K715" s="25"/>
      <c r="L715" s="76"/>
      <c r="M715" s="25"/>
      <c r="N715" s="25"/>
      <c r="O715" s="74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</row>
    <row r="716">
      <c r="A716" s="25"/>
      <c r="B716" s="25"/>
      <c r="C716" s="25"/>
      <c r="D716" s="25"/>
      <c r="E716" s="25"/>
      <c r="F716" s="74"/>
      <c r="G716" s="76"/>
      <c r="H716" s="76"/>
      <c r="I716" s="76"/>
      <c r="J716" s="25"/>
      <c r="K716" s="25"/>
      <c r="L716" s="76"/>
      <c r="M716" s="25"/>
      <c r="N716" s="25"/>
      <c r="O716" s="74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</row>
    <row r="717">
      <c r="A717" s="25"/>
      <c r="B717" s="25"/>
      <c r="C717" s="25"/>
      <c r="D717" s="25"/>
      <c r="E717" s="25"/>
      <c r="F717" s="74"/>
      <c r="G717" s="76"/>
      <c r="H717" s="76"/>
      <c r="I717" s="76"/>
      <c r="J717" s="25"/>
      <c r="K717" s="25"/>
      <c r="L717" s="76"/>
      <c r="M717" s="25"/>
      <c r="N717" s="25"/>
      <c r="O717" s="74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</row>
    <row r="718">
      <c r="A718" s="25"/>
      <c r="B718" s="25"/>
      <c r="C718" s="25"/>
      <c r="D718" s="25"/>
      <c r="E718" s="25"/>
      <c r="F718" s="74"/>
      <c r="G718" s="76"/>
      <c r="H718" s="76"/>
      <c r="I718" s="76"/>
      <c r="J718" s="25"/>
      <c r="K718" s="25"/>
      <c r="L718" s="76"/>
      <c r="M718" s="25"/>
      <c r="N718" s="25"/>
      <c r="O718" s="74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</row>
    <row r="719">
      <c r="A719" s="25"/>
      <c r="B719" s="25"/>
      <c r="C719" s="25"/>
      <c r="D719" s="25"/>
      <c r="E719" s="25"/>
      <c r="F719" s="74"/>
      <c r="G719" s="76"/>
      <c r="H719" s="76"/>
      <c r="I719" s="76"/>
      <c r="J719" s="25"/>
      <c r="K719" s="25"/>
      <c r="L719" s="76"/>
      <c r="M719" s="25"/>
      <c r="N719" s="25"/>
      <c r="O719" s="74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</row>
    <row r="720">
      <c r="A720" s="25"/>
      <c r="B720" s="25"/>
      <c r="C720" s="25"/>
      <c r="D720" s="25"/>
      <c r="E720" s="25"/>
      <c r="F720" s="74"/>
      <c r="G720" s="76"/>
      <c r="H720" s="76"/>
      <c r="I720" s="76"/>
      <c r="J720" s="25"/>
      <c r="K720" s="25"/>
      <c r="L720" s="76"/>
      <c r="M720" s="25"/>
      <c r="N720" s="25"/>
      <c r="O720" s="74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</row>
    <row r="721">
      <c r="A721" s="25"/>
      <c r="B721" s="25"/>
      <c r="C721" s="25"/>
      <c r="D721" s="25"/>
      <c r="E721" s="25"/>
      <c r="F721" s="74"/>
      <c r="G721" s="76"/>
      <c r="H721" s="76"/>
      <c r="I721" s="76"/>
      <c r="J721" s="25"/>
      <c r="K721" s="25"/>
      <c r="L721" s="76"/>
      <c r="M721" s="25"/>
      <c r="N721" s="25"/>
      <c r="O721" s="74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</row>
    <row r="722">
      <c r="A722" s="25"/>
      <c r="B722" s="25"/>
      <c r="C722" s="25"/>
      <c r="D722" s="25"/>
      <c r="E722" s="25"/>
      <c r="F722" s="74"/>
      <c r="G722" s="76"/>
      <c r="H722" s="76"/>
      <c r="I722" s="76"/>
      <c r="J722" s="25"/>
      <c r="K722" s="25"/>
      <c r="L722" s="76"/>
      <c r="M722" s="25"/>
      <c r="N722" s="25"/>
      <c r="O722" s="74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</row>
    <row r="723">
      <c r="A723" s="25"/>
      <c r="B723" s="25"/>
      <c r="C723" s="25"/>
      <c r="D723" s="25"/>
      <c r="E723" s="25"/>
      <c r="F723" s="74"/>
      <c r="G723" s="76"/>
      <c r="H723" s="76"/>
      <c r="I723" s="76"/>
      <c r="J723" s="25"/>
      <c r="K723" s="25"/>
      <c r="L723" s="76"/>
      <c r="M723" s="25"/>
      <c r="N723" s="25"/>
      <c r="O723" s="74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</row>
    <row r="724">
      <c r="A724" s="25"/>
      <c r="B724" s="25"/>
      <c r="C724" s="25"/>
      <c r="D724" s="25"/>
      <c r="E724" s="25"/>
      <c r="F724" s="74"/>
      <c r="G724" s="76"/>
      <c r="H724" s="76"/>
      <c r="I724" s="76"/>
      <c r="J724" s="25"/>
      <c r="K724" s="25"/>
      <c r="L724" s="76"/>
      <c r="M724" s="25"/>
      <c r="N724" s="25"/>
      <c r="O724" s="74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</row>
    <row r="725">
      <c r="A725" s="25"/>
      <c r="B725" s="25"/>
      <c r="C725" s="25"/>
      <c r="D725" s="25"/>
      <c r="E725" s="25"/>
      <c r="F725" s="74"/>
      <c r="G725" s="76"/>
      <c r="H725" s="76"/>
      <c r="I725" s="76"/>
      <c r="J725" s="25"/>
      <c r="K725" s="25"/>
      <c r="L725" s="76"/>
      <c r="M725" s="25"/>
      <c r="N725" s="25"/>
      <c r="O725" s="74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</row>
    <row r="726">
      <c r="A726" s="25"/>
      <c r="B726" s="25"/>
      <c r="C726" s="25"/>
      <c r="D726" s="25"/>
      <c r="E726" s="25"/>
      <c r="F726" s="74"/>
      <c r="G726" s="76"/>
      <c r="H726" s="76"/>
      <c r="I726" s="76"/>
      <c r="J726" s="25"/>
      <c r="K726" s="25"/>
      <c r="L726" s="76"/>
      <c r="M726" s="25"/>
      <c r="N726" s="25"/>
      <c r="O726" s="74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</row>
    <row r="727">
      <c r="A727" s="25"/>
      <c r="B727" s="25"/>
      <c r="C727" s="25"/>
      <c r="D727" s="25"/>
      <c r="E727" s="25"/>
      <c r="F727" s="74"/>
      <c r="G727" s="76"/>
      <c r="H727" s="76"/>
      <c r="I727" s="76"/>
      <c r="J727" s="25"/>
      <c r="K727" s="25"/>
      <c r="L727" s="76"/>
      <c r="M727" s="25"/>
      <c r="N727" s="25"/>
      <c r="O727" s="74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</row>
    <row r="728">
      <c r="A728" s="25"/>
      <c r="B728" s="25"/>
      <c r="C728" s="25"/>
      <c r="D728" s="25"/>
      <c r="E728" s="25"/>
      <c r="F728" s="74"/>
      <c r="G728" s="76"/>
      <c r="H728" s="76"/>
      <c r="I728" s="76"/>
      <c r="J728" s="25"/>
      <c r="K728" s="25"/>
      <c r="L728" s="76"/>
      <c r="M728" s="25"/>
      <c r="N728" s="25"/>
      <c r="O728" s="74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</row>
    <row r="729">
      <c r="A729" s="25"/>
      <c r="B729" s="25"/>
      <c r="C729" s="25"/>
      <c r="D729" s="25"/>
      <c r="E729" s="25"/>
      <c r="F729" s="74"/>
      <c r="G729" s="76"/>
      <c r="H729" s="76"/>
      <c r="I729" s="76"/>
      <c r="J729" s="25"/>
      <c r="K729" s="25"/>
      <c r="L729" s="76"/>
      <c r="M729" s="25"/>
      <c r="N729" s="25"/>
      <c r="O729" s="74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</row>
    <row r="730">
      <c r="A730" s="25"/>
      <c r="B730" s="25"/>
      <c r="C730" s="25"/>
      <c r="D730" s="25"/>
      <c r="E730" s="25"/>
      <c r="F730" s="74"/>
      <c r="G730" s="76"/>
      <c r="H730" s="76"/>
      <c r="I730" s="76"/>
      <c r="J730" s="25"/>
      <c r="K730" s="25"/>
      <c r="L730" s="76"/>
      <c r="M730" s="25"/>
      <c r="N730" s="25"/>
      <c r="O730" s="74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</row>
    <row r="731">
      <c r="A731" s="25"/>
      <c r="B731" s="25"/>
      <c r="C731" s="25"/>
      <c r="D731" s="25"/>
      <c r="E731" s="25"/>
      <c r="F731" s="74"/>
      <c r="G731" s="76"/>
      <c r="H731" s="76"/>
      <c r="I731" s="76"/>
      <c r="J731" s="25"/>
      <c r="K731" s="25"/>
      <c r="L731" s="76"/>
      <c r="M731" s="25"/>
      <c r="N731" s="25"/>
      <c r="O731" s="74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</row>
    <row r="732">
      <c r="A732" s="25"/>
      <c r="B732" s="25"/>
      <c r="C732" s="25"/>
      <c r="D732" s="25"/>
      <c r="E732" s="25"/>
      <c r="F732" s="74"/>
      <c r="G732" s="76"/>
      <c r="H732" s="76"/>
      <c r="I732" s="76"/>
      <c r="J732" s="25"/>
      <c r="K732" s="25"/>
      <c r="L732" s="76"/>
      <c r="M732" s="25"/>
      <c r="N732" s="25"/>
      <c r="O732" s="74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</row>
    <row r="733">
      <c r="A733" s="25"/>
      <c r="B733" s="25"/>
      <c r="C733" s="25"/>
      <c r="D733" s="25"/>
      <c r="E733" s="25"/>
      <c r="F733" s="74"/>
      <c r="G733" s="76"/>
      <c r="H733" s="76"/>
      <c r="I733" s="76"/>
      <c r="J733" s="25"/>
      <c r="K733" s="25"/>
      <c r="L733" s="76"/>
      <c r="M733" s="25"/>
      <c r="N733" s="25"/>
      <c r="O733" s="74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</row>
    <row r="734">
      <c r="A734" s="25"/>
      <c r="B734" s="25"/>
      <c r="C734" s="25"/>
      <c r="D734" s="25"/>
      <c r="E734" s="25"/>
      <c r="F734" s="74"/>
      <c r="G734" s="76"/>
      <c r="H734" s="76"/>
      <c r="I734" s="76"/>
      <c r="J734" s="25"/>
      <c r="K734" s="25"/>
      <c r="L734" s="76"/>
      <c r="M734" s="25"/>
      <c r="N734" s="25"/>
      <c r="O734" s="74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</row>
    <row r="735">
      <c r="A735" s="25"/>
      <c r="B735" s="25"/>
      <c r="C735" s="25"/>
      <c r="D735" s="25"/>
      <c r="E735" s="25"/>
      <c r="F735" s="74"/>
      <c r="G735" s="76"/>
      <c r="H735" s="76"/>
      <c r="I735" s="76"/>
      <c r="J735" s="25"/>
      <c r="K735" s="25"/>
      <c r="L735" s="76"/>
      <c r="M735" s="25"/>
      <c r="N735" s="25"/>
      <c r="O735" s="74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</row>
    <row r="736">
      <c r="A736" s="25"/>
      <c r="B736" s="25"/>
      <c r="C736" s="25"/>
      <c r="D736" s="25"/>
      <c r="E736" s="25"/>
      <c r="F736" s="74"/>
      <c r="G736" s="76"/>
      <c r="H736" s="76"/>
      <c r="I736" s="76"/>
      <c r="J736" s="25"/>
      <c r="K736" s="25"/>
      <c r="L736" s="76"/>
      <c r="M736" s="25"/>
      <c r="N736" s="25"/>
      <c r="O736" s="74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</row>
    <row r="737">
      <c r="A737" s="25"/>
      <c r="B737" s="25"/>
      <c r="C737" s="25"/>
      <c r="D737" s="25"/>
      <c r="E737" s="25"/>
      <c r="F737" s="74"/>
      <c r="G737" s="76"/>
      <c r="H737" s="76"/>
      <c r="I737" s="76"/>
      <c r="J737" s="25"/>
      <c r="K737" s="25"/>
      <c r="L737" s="76"/>
      <c r="M737" s="25"/>
      <c r="N737" s="25"/>
      <c r="O737" s="74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</row>
    <row r="738">
      <c r="A738" s="25"/>
      <c r="B738" s="25"/>
      <c r="C738" s="25"/>
      <c r="D738" s="25"/>
      <c r="E738" s="25"/>
      <c r="F738" s="74"/>
      <c r="G738" s="76"/>
      <c r="H738" s="76"/>
      <c r="I738" s="76"/>
      <c r="J738" s="25"/>
      <c r="K738" s="25"/>
      <c r="L738" s="76"/>
      <c r="M738" s="25"/>
      <c r="N738" s="25"/>
      <c r="O738" s="74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</row>
    <row r="739">
      <c r="A739" s="25"/>
      <c r="B739" s="25"/>
      <c r="C739" s="25"/>
      <c r="D739" s="25"/>
      <c r="E739" s="25"/>
      <c r="F739" s="74"/>
      <c r="G739" s="76"/>
      <c r="H739" s="76"/>
      <c r="I739" s="76"/>
      <c r="J739" s="25"/>
      <c r="K739" s="25"/>
      <c r="L739" s="76"/>
      <c r="M739" s="25"/>
      <c r="N739" s="25"/>
      <c r="O739" s="74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</row>
    <row r="740">
      <c r="A740" s="25"/>
      <c r="B740" s="25"/>
      <c r="C740" s="25"/>
      <c r="D740" s="25"/>
      <c r="E740" s="25"/>
      <c r="F740" s="74"/>
      <c r="G740" s="76"/>
      <c r="H740" s="76"/>
      <c r="I740" s="76"/>
      <c r="J740" s="25"/>
      <c r="K740" s="25"/>
      <c r="L740" s="76"/>
      <c r="M740" s="25"/>
      <c r="N740" s="25"/>
      <c r="O740" s="74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</row>
    <row r="741">
      <c r="A741" s="25"/>
      <c r="B741" s="25"/>
      <c r="C741" s="25"/>
      <c r="D741" s="25"/>
      <c r="E741" s="25"/>
      <c r="F741" s="74"/>
      <c r="G741" s="76"/>
      <c r="H741" s="76"/>
      <c r="I741" s="76"/>
      <c r="J741" s="25"/>
      <c r="K741" s="25"/>
      <c r="L741" s="76"/>
      <c r="M741" s="25"/>
      <c r="N741" s="25"/>
      <c r="O741" s="74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</row>
    <row r="742">
      <c r="A742" s="25"/>
      <c r="B742" s="25"/>
      <c r="C742" s="25"/>
      <c r="D742" s="25"/>
      <c r="E742" s="25"/>
      <c r="F742" s="74"/>
      <c r="G742" s="76"/>
      <c r="H742" s="76"/>
      <c r="I742" s="76"/>
      <c r="J742" s="25"/>
      <c r="K742" s="25"/>
      <c r="L742" s="76"/>
      <c r="M742" s="25"/>
      <c r="N742" s="25"/>
      <c r="O742" s="74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</row>
    <row r="743">
      <c r="A743" s="25"/>
      <c r="B743" s="25"/>
      <c r="C743" s="25"/>
      <c r="D743" s="25"/>
      <c r="E743" s="25"/>
      <c r="F743" s="74"/>
      <c r="G743" s="76"/>
      <c r="H743" s="76"/>
      <c r="I743" s="76"/>
      <c r="J743" s="25"/>
      <c r="K743" s="25"/>
      <c r="L743" s="76"/>
      <c r="M743" s="25"/>
      <c r="N743" s="25"/>
      <c r="O743" s="74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</row>
    <row r="744">
      <c r="A744" s="25"/>
      <c r="B744" s="25"/>
      <c r="C744" s="25"/>
      <c r="D744" s="25"/>
      <c r="E744" s="25"/>
      <c r="F744" s="74"/>
      <c r="G744" s="76"/>
      <c r="H744" s="76"/>
      <c r="I744" s="76"/>
      <c r="J744" s="25"/>
      <c r="K744" s="25"/>
      <c r="L744" s="76"/>
      <c r="M744" s="25"/>
      <c r="N744" s="25"/>
      <c r="O744" s="74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</row>
    <row r="745">
      <c r="A745" s="25"/>
      <c r="B745" s="25"/>
      <c r="C745" s="25"/>
      <c r="D745" s="25"/>
      <c r="E745" s="25"/>
      <c r="F745" s="74"/>
      <c r="G745" s="76"/>
      <c r="H745" s="76"/>
      <c r="I745" s="76"/>
      <c r="J745" s="25"/>
      <c r="K745" s="25"/>
      <c r="L745" s="76"/>
      <c r="M745" s="25"/>
      <c r="N745" s="25"/>
      <c r="O745" s="74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</row>
    <row r="746">
      <c r="A746" s="25"/>
      <c r="B746" s="25"/>
      <c r="C746" s="25"/>
      <c r="D746" s="25"/>
      <c r="E746" s="25"/>
      <c r="F746" s="74"/>
      <c r="G746" s="76"/>
      <c r="H746" s="76"/>
      <c r="I746" s="76"/>
      <c r="J746" s="25"/>
      <c r="K746" s="25"/>
      <c r="L746" s="76"/>
      <c r="M746" s="25"/>
      <c r="N746" s="25"/>
      <c r="O746" s="74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</row>
    <row r="747">
      <c r="A747" s="25"/>
      <c r="B747" s="25"/>
      <c r="C747" s="25"/>
      <c r="D747" s="25"/>
      <c r="E747" s="25"/>
      <c r="F747" s="74"/>
      <c r="G747" s="76"/>
      <c r="H747" s="76"/>
      <c r="I747" s="76"/>
      <c r="J747" s="25"/>
      <c r="K747" s="25"/>
      <c r="L747" s="76"/>
      <c r="M747" s="25"/>
      <c r="N747" s="25"/>
      <c r="O747" s="74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</row>
    <row r="748">
      <c r="A748" s="25"/>
      <c r="B748" s="25"/>
      <c r="C748" s="25"/>
      <c r="D748" s="25"/>
      <c r="E748" s="25"/>
      <c r="F748" s="74"/>
      <c r="G748" s="76"/>
      <c r="H748" s="76"/>
      <c r="I748" s="76"/>
      <c r="J748" s="25"/>
      <c r="K748" s="25"/>
      <c r="L748" s="76"/>
      <c r="M748" s="25"/>
      <c r="N748" s="25"/>
      <c r="O748" s="74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</row>
    <row r="749">
      <c r="A749" s="25"/>
      <c r="B749" s="25"/>
      <c r="C749" s="25"/>
      <c r="D749" s="25"/>
      <c r="E749" s="25"/>
      <c r="F749" s="74"/>
      <c r="G749" s="76"/>
      <c r="H749" s="76"/>
      <c r="I749" s="76"/>
      <c r="J749" s="25"/>
      <c r="K749" s="25"/>
      <c r="L749" s="76"/>
      <c r="M749" s="25"/>
      <c r="N749" s="25"/>
      <c r="O749" s="74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</row>
    <row r="750">
      <c r="A750" s="25"/>
      <c r="B750" s="25"/>
      <c r="C750" s="25"/>
      <c r="D750" s="25"/>
      <c r="E750" s="25"/>
      <c r="F750" s="74"/>
      <c r="G750" s="76"/>
      <c r="H750" s="76"/>
      <c r="I750" s="76"/>
      <c r="J750" s="25"/>
      <c r="K750" s="25"/>
      <c r="L750" s="76"/>
      <c r="M750" s="25"/>
      <c r="N750" s="25"/>
      <c r="O750" s="74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</row>
    <row r="751">
      <c r="A751" s="25"/>
      <c r="B751" s="25"/>
      <c r="C751" s="25"/>
      <c r="D751" s="25"/>
      <c r="E751" s="25"/>
      <c r="F751" s="74"/>
      <c r="G751" s="76"/>
      <c r="H751" s="76"/>
      <c r="I751" s="76"/>
      <c r="J751" s="25"/>
      <c r="K751" s="25"/>
      <c r="L751" s="76"/>
      <c r="M751" s="25"/>
      <c r="N751" s="25"/>
      <c r="O751" s="74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</row>
    <row r="752">
      <c r="A752" s="25"/>
      <c r="B752" s="25"/>
      <c r="C752" s="25"/>
      <c r="D752" s="25"/>
      <c r="E752" s="25"/>
      <c r="F752" s="74"/>
      <c r="G752" s="76"/>
      <c r="H752" s="76"/>
      <c r="I752" s="76"/>
      <c r="J752" s="25"/>
      <c r="K752" s="25"/>
      <c r="L752" s="76"/>
      <c r="M752" s="25"/>
      <c r="N752" s="25"/>
      <c r="O752" s="74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</row>
    <row r="753">
      <c r="A753" s="25"/>
      <c r="B753" s="25"/>
      <c r="C753" s="25"/>
      <c r="D753" s="25"/>
      <c r="E753" s="25"/>
      <c r="F753" s="74"/>
      <c r="G753" s="76"/>
      <c r="H753" s="76"/>
      <c r="I753" s="76"/>
      <c r="J753" s="25"/>
      <c r="K753" s="25"/>
      <c r="L753" s="76"/>
      <c r="M753" s="25"/>
      <c r="N753" s="25"/>
      <c r="O753" s="74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</row>
    <row r="754">
      <c r="A754" s="25"/>
      <c r="B754" s="25"/>
      <c r="C754" s="25"/>
      <c r="D754" s="25"/>
      <c r="E754" s="25"/>
      <c r="F754" s="74"/>
      <c r="G754" s="76"/>
      <c r="H754" s="76"/>
      <c r="I754" s="76"/>
      <c r="J754" s="25"/>
      <c r="K754" s="25"/>
      <c r="L754" s="76"/>
      <c r="M754" s="25"/>
      <c r="N754" s="25"/>
      <c r="O754" s="74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</row>
    <row r="755">
      <c r="A755" s="25"/>
      <c r="B755" s="25"/>
      <c r="C755" s="25"/>
      <c r="D755" s="25"/>
      <c r="E755" s="25"/>
      <c r="F755" s="74"/>
      <c r="G755" s="76"/>
      <c r="H755" s="76"/>
      <c r="I755" s="76"/>
      <c r="J755" s="25"/>
      <c r="K755" s="25"/>
      <c r="L755" s="76"/>
      <c r="M755" s="25"/>
      <c r="N755" s="25"/>
      <c r="O755" s="74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</row>
    <row r="756">
      <c r="A756" s="25"/>
      <c r="B756" s="25"/>
      <c r="C756" s="25"/>
      <c r="D756" s="25"/>
      <c r="E756" s="25"/>
      <c r="F756" s="74"/>
      <c r="G756" s="76"/>
      <c r="H756" s="76"/>
      <c r="I756" s="76"/>
      <c r="J756" s="25"/>
      <c r="K756" s="25"/>
      <c r="L756" s="76"/>
      <c r="M756" s="25"/>
      <c r="N756" s="25"/>
      <c r="O756" s="74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</row>
    <row r="757">
      <c r="A757" s="25"/>
      <c r="B757" s="25"/>
      <c r="C757" s="25"/>
      <c r="D757" s="25"/>
      <c r="E757" s="25"/>
      <c r="F757" s="74"/>
      <c r="G757" s="76"/>
      <c r="H757" s="76"/>
      <c r="I757" s="76"/>
      <c r="J757" s="25"/>
      <c r="K757" s="25"/>
      <c r="L757" s="76"/>
      <c r="M757" s="25"/>
      <c r="N757" s="25"/>
      <c r="O757" s="74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</row>
    <row r="758">
      <c r="A758" s="25"/>
      <c r="B758" s="25"/>
      <c r="C758" s="25"/>
      <c r="D758" s="25"/>
      <c r="E758" s="25"/>
      <c r="F758" s="74"/>
      <c r="G758" s="76"/>
      <c r="H758" s="76"/>
      <c r="I758" s="76"/>
      <c r="J758" s="25"/>
      <c r="K758" s="25"/>
      <c r="L758" s="76"/>
      <c r="M758" s="25"/>
      <c r="N758" s="25"/>
      <c r="O758" s="74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</row>
    <row r="759">
      <c r="A759" s="25"/>
      <c r="B759" s="25"/>
      <c r="C759" s="25"/>
      <c r="D759" s="25"/>
      <c r="E759" s="25"/>
      <c r="F759" s="74"/>
      <c r="G759" s="76"/>
      <c r="H759" s="76"/>
      <c r="I759" s="76"/>
      <c r="J759" s="25"/>
      <c r="K759" s="25"/>
      <c r="L759" s="76"/>
      <c r="M759" s="25"/>
      <c r="N759" s="25"/>
      <c r="O759" s="74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</row>
    <row r="760">
      <c r="A760" s="25"/>
      <c r="B760" s="25"/>
      <c r="C760" s="25"/>
      <c r="D760" s="25"/>
      <c r="E760" s="25"/>
      <c r="F760" s="74"/>
      <c r="G760" s="76"/>
      <c r="H760" s="76"/>
      <c r="I760" s="76"/>
      <c r="J760" s="25"/>
      <c r="K760" s="25"/>
      <c r="L760" s="76"/>
      <c r="M760" s="25"/>
      <c r="N760" s="25"/>
      <c r="O760" s="74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</row>
    <row r="761">
      <c r="A761" s="25"/>
      <c r="B761" s="25"/>
      <c r="C761" s="25"/>
      <c r="D761" s="25"/>
      <c r="E761" s="25"/>
      <c r="F761" s="74"/>
      <c r="G761" s="76"/>
      <c r="H761" s="76"/>
      <c r="I761" s="76"/>
      <c r="J761" s="25"/>
      <c r="K761" s="25"/>
      <c r="L761" s="76"/>
      <c r="M761" s="25"/>
      <c r="N761" s="25"/>
      <c r="O761" s="74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</row>
    <row r="762">
      <c r="A762" s="25"/>
      <c r="B762" s="25"/>
      <c r="C762" s="25"/>
      <c r="D762" s="25"/>
      <c r="E762" s="25"/>
      <c r="F762" s="74"/>
      <c r="G762" s="76"/>
      <c r="H762" s="76"/>
      <c r="I762" s="76"/>
      <c r="J762" s="25"/>
      <c r="K762" s="25"/>
      <c r="L762" s="76"/>
      <c r="M762" s="25"/>
      <c r="N762" s="25"/>
      <c r="O762" s="74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</row>
    <row r="763">
      <c r="A763" s="25"/>
      <c r="B763" s="25"/>
      <c r="C763" s="25"/>
      <c r="D763" s="25"/>
      <c r="E763" s="25"/>
      <c r="F763" s="74"/>
      <c r="G763" s="76"/>
      <c r="H763" s="76"/>
      <c r="I763" s="76"/>
      <c r="J763" s="25"/>
      <c r="K763" s="25"/>
      <c r="L763" s="76"/>
      <c r="M763" s="25"/>
      <c r="N763" s="25"/>
      <c r="O763" s="74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</row>
    <row r="764">
      <c r="A764" s="25"/>
      <c r="B764" s="25"/>
      <c r="C764" s="25"/>
      <c r="D764" s="25"/>
      <c r="E764" s="25"/>
      <c r="F764" s="74"/>
      <c r="G764" s="76"/>
      <c r="H764" s="76"/>
      <c r="I764" s="76"/>
      <c r="J764" s="25"/>
      <c r="K764" s="25"/>
      <c r="L764" s="76"/>
      <c r="M764" s="25"/>
      <c r="N764" s="25"/>
      <c r="O764" s="74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</row>
    <row r="765">
      <c r="A765" s="25"/>
      <c r="B765" s="25"/>
      <c r="C765" s="25"/>
      <c r="D765" s="25"/>
      <c r="E765" s="25"/>
      <c r="F765" s="74"/>
      <c r="G765" s="76"/>
      <c r="H765" s="76"/>
      <c r="I765" s="76"/>
      <c r="J765" s="25"/>
      <c r="K765" s="25"/>
      <c r="L765" s="76"/>
      <c r="M765" s="25"/>
      <c r="N765" s="25"/>
      <c r="O765" s="74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</row>
    <row r="766">
      <c r="A766" s="25"/>
      <c r="B766" s="25"/>
      <c r="C766" s="25"/>
      <c r="D766" s="25"/>
      <c r="E766" s="25"/>
      <c r="F766" s="74"/>
      <c r="G766" s="76"/>
      <c r="H766" s="76"/>
      <c r="I766" s="76"/>
      <c r="J766" s="25"/>
      <c r="K766" s="25"/>
      <c r="L766" s="76"/>
      <c r="M766" s="25"/>
      <c r="N766" s="25"/>
      <c r="O766" s="74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</row>
    <row r="767">
      <c r="A767" s="25"/>
      <c r="B767" s="25"/>
      <c r="C767" s="25"/>
      <c r="D767" s="25"/>
      <c r="E767" s="25"/>
      <c r="F767" s="74"/>
      <c r="G767" s="76"/>
      <c r="H767" s="76"/>
      <c r="I767" s="76"/>
      <c r="J767" s="25"/>
      <c r="K767" s="25"/>
      <c r="L767" s="76"/>
      <c r="M767" s="25"/>
      <c r="N767" s="25"/>
      <c r="O767" s="74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</row>
    <row r="768">
      <c r="A768" s="25"/>
      <c r="B768" s="25"/>
      <c r="C768" s="25"/>
      <c r="D768" s="25"/>
      <c r="E768" s="25"/>
      <c r="F768" s="74"/>
      <c r="G768" s="76"/>
      <c r="H768" s="76"/>
      <c r="I768" s="76"/>
      <c r="J768" s="25"/>
      <c r="K768" s="25"/>
      <c r="L768" s="76"/>
      <c r="M768" s="25"/>
      <c r="N768" s="25"/>
      <c r="O768" s="74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</row>
    <row r="769">
      <c r="A769" s="25"/>
      <c r="B769" s="25"/>
      <c r="C769" s="25"/>
      <c r="D769" s="25"/>
      <c r="E769" s="25"/>
      <c r="F769" s="74"/>
      <c r="G769" s="76"/>
      <c r="H769" s="76"/>
      <c r="I769" s="76"/>
      <c r="J769" s="25"/>
      <c r="K769" s="25"/>
      <c r="L769" s="76"/>
      <c r="M769" s="25"/>
      <c r="N769" s="25"/>
      <c r="O769" s="74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</row>
    <row r="770">
      <c r="A770" s="25"/>
      <c r="B770" s="25"/>
      <c r="C770" s="25"/>
      <c r="D770" s="25"/>
      <c r="E770" s="25"/>
      <c r="F770" s="74"/>
      <c r="G770" s="76"/>
      <c r="H770" s="76"/>
      <c r="I770" s="76"/>
      <c r="J770" s="25"/>
      <c r="K770" s="25"/>
      <c r="L770" s="76"/>
      <c r="M770" s="25"/>
      <c r="N770" s="25"/>
      <c r="O770" s="74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</row>
    <row r="771">
      <c r="A771" s="25"/>
      <c r="B771" s="25"/>
      <c r="C771" s="25"/>
      <c r="D771" s="25"/>
      <c r="E771" s="25"/>
      <c r="F771" s="74"/>
      <c r="G771" s="76"/>
      <c r="H771" s="76"/>
      <c r="I771" s="76"/>
      <c r="J771" s="25"/>
      <c r="K771" s="25"/>
      <c r="L771" s="76"/>
      <c r="M771" s="25"/>
      <c r="N771" s="25"/>
      <c r="O771" s="74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</row>
    <row r="772">
      <c r="A772" s="25"/>
      <c r="B772" s="25"/>
      <c r="C772" s="25"/>
      <c r="D772" s="25"/>
      <c r="E772" s="25"/>
      <c r="F772" s="74"/>
      <c r="G772" s="76"/>
      <c r="H772" s="76"/>
      <c r="I772" s="76"/>
      <c r="J772" s="25"/>
      <c r="K772" s="25"/>
      <c r="L772" s="76"/>
      <c r="M772" s="25"/>
      <c r="N772" s="25"/>
      <c r="O772" s="74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</row>
    <row r="773">
      <c r="A773" s="25"/>
      <c r="B773" s="25"/>
      <c r="C773" s="25"/>
      <c r="D773" s="25"/>
      <c r="E773" s="25"/>
      <c r="F773" s="74"/>
      <c r="G773" s="76"/>
      <c r="H773" s="76"/>
      <c r="I773" s="76"/>
      <c r="J773" s="25"/>
      <c r="K773" s="25"/>
      <c r="L773" s="76"/>
      <c r="M773" s="25"/>
      <c r="N773" s="25"/>
      <c r="O773" s="74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</row>
    <row r="774">
      <c r="A774" s="25"/>
      <c r="B774" s="25"/>
      <c r="C774" s="25"/>
      <c r="D774" s="25"/>
      <c r="E774" s="25"/>
      <c r="F774" s="74"/>
      <c r="G774" s="76"/>
      <c r="H774" s="76"/>
      <c r="I774" s="76"/>
      <c r="J774" s="25"/>
      <c r="K774" s="25"/>
      <c r="L774" s="76"/>
      <c r="M774" s="25"/>
      <c r="N774" s="25"/>
      <c r="O774" s="74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</row>
    <row r="775">
      <c r="A775" s="25"/>
      <c r="B775" s="25"/>
      <c r="C775" s="25"/>
      <c r="D775" s="25"/>
      <c r="E775" s="25"/>
      <c r="F775" s="74"/>
      <c r="G775" s="76"/>
      <c r="H775" s="76"/>
      <c r="I775" s="76"/>
      <c r="J775" s="25"/>
      <c r="K775" s="25"/>
      <c r="L775" s="76"/>
      <c r="M775" s="25"/>
      <c r="N775" s="25"/>
      <c r="O775" s="74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</row>
    <row r="776">
      <c r="A776" s="25"/>
      <c r="B776" s="25"/>
      <c r="C776" s="25"/>
      <c r="D776" s="25"/>
      <c r="E776" s="25"/>
      <c r="F776" s="74"/>
      <c r="G776" s="76"/>
      <c r="H776" s="76"/>
      <c r="I776" s="76"/>
      <c r="J776" s="25"/>
      <c r="K776" s="25"/>
      <c r="L776" s="76"/>
      <c r="M776" s="25"/>
      <c r="N776" s="25"/>
      <c r="O776" s="74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</row>
    <row r="777">
      <c r="A777" s="25"/>
      <c r="B777" s="25"/>
      <c r="C777" s="25"/>
      <c r="D777" s="25"/>
      <c r="E777" s="25"/>
      <c r="F777" s="74"/>
      <c r="G777" s="76"/>
      <c r="H777" s="76"/>
      <c r="I777" s="76"/>
      <c r="J777" s="25"/>
      <c r="K777" s="25"/>
      <c r="L777" s="76"/>
      <c r="M777" s="25"/>
      <c r="N777" s="25"/>
      <c r="O777" s="74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</row>
    <row r="778">
      <c r="A778" s="25"/>
      <c r="B778" s="25"/>
      <c r="C778" s="25"/>
      <c r="D778" s="25"/>
      <c r="E778" s="25"/>
      <c r="F778" s="74"/>
      <c r="G778" s="76"/>
      <c r="H778" s="76"/>
      <c r="I778" s="76"/>
      <c r="J778" s="25"/>
      <c r="K778" s="25"/>
      <c r="L778" s="76"/>
      <c r="M778" s="25"/>
      <c r="N778" s="25"/>
      <c r="O778" s="74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</row>
    <row r="779">
      <c r="A779" s="25"/>
      <c r="B779" s="25"/>
      <c r="C779" s="25"/>
      <c r="D779" s="25"/>
      <c r="E779" s="25"/>
      <c r="F779" s="74"/>
      <c r="G779" s="76"/>
      <c r="H779" s="76"/>
      <c r="I779" s="76"/>
      <c r="J779" s="25"/>
      <c r="K779" s="25"/>
      <c r="L779" s="76"/>
      <c r="M779" s="25"/>
      <c r="N779" s="25"/>
      <c r="O779" s="74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</row>
    <row r="780">
      <c r="A780" s="25"/>
      <c r="B780" s="25"/>
      <c r="C780" s="25"/>
      <c r="D780" s="25"/>
      <c r="E780" s="25"/>
      <c r="F780" s="74"/>
      <c r="G780" s="76"/>
      <c r="H780" s="76"/>
      <c r="I780" s="76"/>
      <c r="J780" s="25"/>
      <c r="K780" s="25"/>
      <c r="L780" s="76"/>
      <c r="M780" s="25"/>
      <c r="N780" s="25"/>
      <c r="O780" s="74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</row>
    <row r="781">
      <c r="A781" s="25"/>
      <c r="B781" s="25"/>
      <c r="C781" s="25"/>
      <c r="D781" s="25"/>
      <c r="E781" s="25"/>
      <c r="F781" s="74"/>
      <c r="G781" s="76"/>
      <c r="H781" s="76"/>
      <c r="I781" s="76"/>
      <c r="J781" s="25"/>
      <c r="K781" s="25"/>
      <c r="L781" s="76"/>
      <c r="M781" s="25"/>
      <c r="N781" s="25"/>
      <c r="O781" s="74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</row>
    <row r="782">
      <c r="A782" s="25"/>
      <c r="B782" s="25"/>
      <c r="C782" s="25"/>
      <c r="D782" s="25"/>
      <c r="E782" s="25"/>
      <c r="F782" s="74"/>
      <c r="G782" s="76"/>
      <c r="H782" s="76"/>
      <c r="I782" s="76"/>
      <c r="J782" s="25"/>
      <c r="K782" s="25"/>
      <c r="L782" s="76"/>
      <c r="M782" s="25"/>
      <c r="N782" s="25"/>
      <c r="O782" s="74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</row>
    <row r="783">
      <c r="A783" s="25"/>
      <c r="B783" s="25"/>
      <c r="C783" s="25"/>
      <c r="D783" s="25"/>
      <c r="E783" s="25"/>
      <c r="F783" s="74"/>
      <c r="G783" s="76"/>
      <c r="H783" s="76"/>
      <c r="I783" s="76"/>
      <c r="J783" s="25"/>
      <c r="K783" s="25"/>
      <c r="L783" s="76"/>
      <c r="M783" s="25"/>
      <c r="N783" s="25"/>
      <c r="O783" s="74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</row>
    <row r="784">
      <c r="A784" s="25"/>
      <c r="B784" s="25"/>
      <c r="C784" s="25"/>
      <c r="D784" s="25"/>
      <c r="E784" s="25"/>
      <c r="F784" s="74"/>
      <c r="G784" s="76"/>
      <c r="H784" s="76"/>
      <c r="I784" s="76"/>
      <c r="J784" s="25"/>
      <c r="K784" s="25"/>
      <c r="L784" s="76"/>
      <c r="M784" s="25"/>
      <c r="N784" s="25"/>
      <c r="O784" s="74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</row>
    <row r="785">
      <c r="A785" s="25"/>
      <c r="B785" s="25"/>
      <c r="C785" s="25"/>
      <c r="D785" s="25"/>
      <c r="E785" s="25"/>
      <c r="F785" s="74"/>
      <c r="G785" s="76"/>
      <c r="H785" s="76"/>
      <c r="I785" s="76"/>
      <c r="J785" s="25"/>
      <c r="K785" s="25"/>
      <c r="L785" s="76"/>
      <c r="M785" s="25"/>
      <c r="N785" s="25"/>
      <c r="O785" s="74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</row>
    <row r="786">
      <c r="A786" s="25"/>
      <c r="B786" s="25"/>
      <c r="C786" s="25"/>
      <c r="D786" s="25"/>
      <c r="E786" s="25"/>
      <c r="F786" s="74"/>
      <c r="G786" s="76"/>
      <c r="H786" s="76"/>
      <c r="I786" s="76"/>
      <c r="J786" s="25"/>
      <c r="K786" s="25"/>
      <c r="L786" s="76"/>
      <c r="M786" s="25"/>
      <c r="N786" s="25"/>
      <c r="O786" s="74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</row>
    <row r="787">
      <c r="A787" s="25"/>
      <c r="B787" s="25"/>
      <c r="C787" s="25"/>
      <c r="D787" s="25"/>
      <c r="E787" s="25"/>
      <c r="F787" s="74"/>
      <c r="G787" s="76"/>
      <c r="H787" s="76"/>
      <c r="I787" s="76"/>
      <c r="J787" s="25"/>
      <c r="K787" s="25"/>
      <c r="L787" s="76"/>
      <c r="M787" s="25"/>
      <c r="N787" s="25"/>
      <c r="O787" s="74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</row>
    <row r="788">
      <c r="A788" s="25"/>
      <c r="B788" s="25"/>
      <c r="C788" s="25"/>
      <c r="D788" s="25"/>
      <c r="E788" s="25"/>
      <c r="F788" s="74"/>
      <c r="G788" s="76"/>
      <c r="H788" s="76"/>
      <c r="I788" s="76"/>
      <c r="J788" s="25"/>
      <c r="K788" s="25"/>
      <c r="L788" s="76"/>
      <c r="M788" s="25"/>
      <c r="N788" s="25"/>
      <c r="O788" s="74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</row>
    <row r="789">
      <c r="A789" s="25"/>
      <c r="B789" s="25"/>
      <c r="C789" s="25"/>
      <c r="D789" s="25"/>
      <c r="E789" s="25"/>
      <c r="F789" s="74"/>
      <c r="G789" s="76"/>
      <c r="H789" s="76"/>
      <c r="I789" s="76"/>
      <c r="J789" s="25"/>
      <c r="K789" s="25"/>
      <c r="L789" s="76"/>
      <c r="M789" s="25"/>
      <c r="N789" s="25"/>
      <c r="O789" s="74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</row>
    <row r="790">
      <c r="A790" s="25"/>
      <c r="B790" s="25"/>
      <c r="C790" s="25"/>
      <c r="D790" s="25"/>
      <c r="E790" s="25"/>
      <c r="F790" s="74"/>
      <c r="G790" s="76"/>
      <c r="H790" s="76"/>
      <c r="I790" s="76"/>
      <c r="J790" s="25"/>
      <c r="K790" s="25"/>
      <c r="L790" s="76"/>
      <c r="M790" s="25"/>
      <c r="N790" s="25"/>
      <c r="O790" s="74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</row>
    <row r="791">
      <c r="A791" s="25"/>
      <c r="B791" s="25"/>
      <c r="C791" s="25"/>
      <c r="D791" s="25"/>
      <c r="E791" s="25"/>
      <c r="F791" s="74"/>
      <c r="G791" s="76"/>
      <c r="H791" s="76"/>
      <c r="I791" s="76"/>
      <c r="J791" s="25"/>
      <c r="K791" s="25"/>
      <c r="L791" s="76"/>
      <c r="M791" s="25"/>
      <c r="N791" s="25"/>
      <c r="O791" s="74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</row>
    <row r="792">
      <c r="A792" s="25"/>
      <c r="B792" s="25"/>
      <c r="C792" s="25"/>
      <c r="D792" s="25"/>
      <c r="E792" s="25"/>
      <c r="F792" s="74"/>
      <c r="G792" s="76"/>
      <c r="H792" s="76"/>
      <c r="I792" s="76"/>
      <c r="J792" s="25"/>
      <c r="K792" s="25"/>
      <c r="L792" s="76"/>
      <c r="M792" s="25"/>
      <c r="N792" s="25"/>
      <c r="O792" s="74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</row>
    <row r="793">
      <c r="A793" s="25"/>
      <c r="B793" s="25"/>
      <c r="C793" s="25"/>
      <c r="D793" s="25"/>
      <c r="E793" s="25"/>
      <c r="F793" s="74"/>
      <c r="G793" s="76"/>
      <c r="H793" s="76"/>
      <c r="I793" s="76"/>
      <c r="J793" s="25"/>
      <c r="K793" s="25"/>
      <c r="L793" s="76"/>
      <c r="M793" s="25"/>
      <c r="N793" s="25"/>
      <c r="O793" s="74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</row>
    <row r="794">
      <c r="A794" s="25"/>
      <c r="B794" s="25"/>
      <c r="C794" s="25"/>
      <c r="D794" s="25"/>
      <c r="E794" s="25"/>
      <c r="F794" s="74"/>
      <c r="G794" s="76"/>
      <c r="H794" s="76"/>
      <c r="I794" s="76"/>
      <c r="J794" s="25"/>
      <c r="K794" s="25"/>
      <c r="L794" s="76"/>
      <c r="M794" s="25"/>
      <c r="N794" s="25"/>
      <c r="O794" s="74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</row>
    <row r="795">
      <c r="A795" s="25"/>
      <c r="B795" s="25"/>
      <c r="C795" s="25"/>
      <c r="D795" s="25"/>
      <c r="E795" s="25"/>
      <c r="F795" s="74"/>
      <c r="G795" s="76"/>
      <c r="H795" s="76"/>
      <c r="I795" s="76"/>
      <c r="J795" s="25"/>
      <c r="K795" s="25"/>
      <c r="L795" s="76"/>
      <c r="M795" s="25"/>
      <c r="N795" s="25"/>
      <c r="O795" s="74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</row>
    <row r="796">
      <c r="A796" s="25"/>
      <c r="B796" s="25"/>
      <c r="C796" s="25"/>
      <c r="D796" s="25"/>
      <c r="E796" s="25"/>
      <c r="F796" s="74"/>
      <c r="G796" s="76"/>
      <c r="H796" s="76"/>
      <c r="I796" s="76"/>
      <c r="J796" s="25"/>
      <c r="K796" s="25"/>
      <c r="L796" s="76"/>
      <c r="M796" s="25"/>
      <c r="N796" s="25"/>
      <c r="O796" s="74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</row>
    <row r="797">
      <c r="A797" s="25"/>
      <c r="B797" s="25"/>
      <c r="C797" s="25"/>
      <c r="D797" s="25"/>
      <c r="E797" s="25"/>
      <c r="F797" s="74"/>
      <c r="G797" s="76"/>
      <c r="H797" s="76"/>
      <c r="I797" s="76"/>
      <c r="J797" s="25"/>
      <c r="K797" s="25"/>
      <c r="L797" s="76"/>
      <c r="M797" s="25"/>
      <c r="N797" s="25"/>
      <c r="O797" s="74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</row>
    <row r="798">
      <c r="A798" s="25"/>
      <c r="B798" s="25"/>
      <c r="C798" s="25"/>
      <c r="D798" s="25"/>
      <c r="E798" s="25"/>
      <c r="F798" s="74"/>
      <c r="G798" s="76"/>
      <c r="H798" s="76"/>
      <c r="I798" s="76"/>
      <c r="J798" s="25"/>
      <c r="K798" s="25"/>
      <c r="L798" s="76"/>
      <c r="M798" s="25"/>
      <c r="N798" s="25"/>
      <c r="O798" s="74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</row>
    <row r="799">
      <c r="A799" s="25"/>
      <c r="B799" s="25"/>
      <c r="C799" s="25"/>
      <c r="D799" s="25"/>
      <c r="E799" s="25"/>
      <c r="F799" s="74"/>
      <c r="G799" s="76"/>
      <c r="H799" s="76"/>
      <c r="I799" s="76"/>
      <c r="J799" s="25"/>
      <c r="K799" s="25"/>
      <c r="L799" s="76"/>
      <c r="M799" s="25"/>
      <c r="N799" s="25"/>
      <c r="O799" s="74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</row>
    <row r="800">
      <c r="A800" s="25"/>
      <c r="B800" s="25"/>
      <c r="C800" s="25"/>
      <c r="D800" s="25"/>
      <c r="E800" s="25"/>
      <c r="F800" s="74"/>
      <c r="G800" s="76"/>
      <c r="H800" s="76"/>
      <c r="I800" s="76"/>
      <c r="J800" s="25"/>
      <c r="K800" s="25"/>
      <c r="L800" s="76"/>
      <c r="M800" s="25"/>
      <c r="N800" s="25"/>
      <c r="O800" s="74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</row>
    <row r="801">
      <c r="A801" s="25"/>
      <c r="B801" s="25"/>
      <c r="C801" s="25"/>
      <c r="D801" s="25"/>
      <c r="E801" s="25"/>
      <c r="F801" s="74"/>
      <c r="G801" s="76"/>
      <c r="H801" s="76"/>
      <c r="I801" s="76"/>
      <c r="J801" s="25"/>
      <c r="K801" s="25"/>
      <c r="L801" s="76"/>
      <c r="M801" s="25"/>
      <c r="N801" s="25"/>
      <c r="O801" s="74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</row>
    <row r="802">
      <c r="A802" s="25"/>
      <c r="B802" s="25"/>
      <c r="C802" s="25"/>
      <c r="D802" s="25"/>
      <c r="E802" s="25"/>
      <c r="F802" s="74"/>
      <c r="G802" s="76"/>
      <c r="H802" s="76"/>
      <c r="I802" s="76"/>
      <c r="J802" s="25"/>
      <c r="K802" s="25"/>
      <c r="L802" s="76"/>
      <c r="M802" s="25"/>
      <c r="N802" s="25"/>
      <c r="O802" s="74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</row>
    <row r="803">
      <c r="A803" s="25"/>
      <c r="B803" s="25"/>
      <c r="C803" s="25"/>
      <c r="D803" s="25"/>
      <c r="E803" s="25"/>
      <c r="F803" s="74"/>
      <c r="G803" s="76"/>
      <c r="H803" s="76"/>
      <c r="I803" s="76"/>
      <c r="J803" s="25"/>
      <c r="K803" s="25"/>
      <c r="L803" s="76"/>
      <c r="M803" s="25"/>
      <c r="N803" s="25"/>
      <c r="O803" s="74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</row>
    <row r="804">
      <c r="A804" s="25"/>
      <c r="B804" s="25"/>
      <c r="C804" s="25"/>
      <c r="D804" s="25"/>
      <c r="E804" s="25"/>
      <c r="F804" s="74"/>
      <c r="G804" s="76"/>
      <c r="H804" s="76"/>
      <c r="I804" s="76"/>
      <c r="J804" s="25"/>
      <c r="K804" s="25"/>
      <c r="L804" s="76"/>
      <c r="M804" s="25"/>
      <c r="N804" s="25"/>
      <c r="O804" s="74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</row>
    <row r="805">
      <c r="A805" s="25"/>
      <c r="B805" s="25"/>
      <c r="C805" s="25"/>
      <c r="D805" s="25"/>
      <c r="E805" s="25"/>
      <c r="F805" s="74"/>
      <c r="G805" s="76"/>
      <c r="H805" s="76"/>
      <c r="I805" s="76"/>
      <c r="J805" s="25"/>
      <c r="K805" s="25"/>
      <c r="L805" s="76"/>
      <c r="M805" s="25"/>
      <c r="N805" s="25"/>
      <c r="O805" s="74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</row>
    <row r="806">
      <c r="A806" s="25"/>
      <c r="B806" s="25"/>
      <c r="C806" s="25"/>
      <c r="D806" s="25"/>
      <c r="E806" s="25"/>
      <c r="F806" s="74"/>
      <c r="G806" s="76"/>
      <c r="H806" s="76"/>
      <c r="I806" s="76"/>
      <c r="J806" s="25"/>
      <c r="K806" s="25"/>
      <c r="L806" s="76"/>
      <c r="M806" s="25"/>
      <c r="N806" s="25"/>
      <c r="O806" s="74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</row>
    <row r="807">
      <c r="A807" s="25"/>
      <c r="B807" s="25"/>
      <c r="C807" s="25"/>
      <c r="D807" s="25"/>
      <c r="E807" s="25"/>
      <c r="F807" s="74"/>
      <c r="G807" s="76"/>
      <c r="H807" s="76"/>
      <c r="I807" s="76"/>
      <c r="J807" s="25"/>
      <c r="K807" s="25"/>
      <c r="L807" s="76"/>
      <c r="M807" s="25"/>
      <c r="N807" s="25"/>
      <c r="O807" s="74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</row>
    <row r="808">
      <c r="A808" s="25"/>
      <c r="B808" s="25"/>
      <c r="C808" s="25"/>
      <c r="D808" s="25"/>
      <c r="E808" s="25"/>
      <c r="F808" s="74"/>
      <c r="G808" s="76"/>
      <c r="H808" s="76"/>
      <c r="I808" s="76"/>
      <c r="J808" s="25"/>
      <c r="K808" s="25"/>
      <c r="L808" s="76"/>
      <c r="M808" s="25"/>
      <c r="N808" s="25"/>
      <c r="O808" s="74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</row>
    <row r="809">
      <c r="A809" s="25"/>
      <c r="B809" s="25"/>
      <c r="C809" s="25"/>
      <c r="D809" s="25"/>
      <c r="E809" s="25"/>
      <c r="F809" s="74"/>
      <c r="G809" s="76"/>
      <c r="H809" s="76"/>
      <c r="I809" s="76"/>
      <c r="J809" s="25"/>
      <c r="K809" s="25"/>
      <c r="L809" s="76"/>
      <c r="M809" s="25"/>
      <c r="N809" s="25"/>
      <c r="O809" s="74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</row>
    <row r="810">
      <c r="A810" s="25"/>
      <c r="B810" s="25"/>
      <c r="C810" s="25"/>
      <c r="D810" s="25"/>
      <c r="E810" s="25"/>
      <c r="F810" s="74"/>
      <c r="G810" s="76"/>
      <c r="H810" s="76"/>
      <c r="I810" s="76"/>
      <c r="J810" s="25"/>
      <c r="K810" s="25"/>
      <c r="L810" s="76"/>
      <c r="M810" s="25"/>
      <c r="N810" s="25"/>
      <c r="O810" s="74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</row>
    <row r="811">
      <c r="A811" s="25"/>
      <c r="B811" s="25"/>
      <c r="C811" s="25"/>
      <c r="D811" s="25"/>
      <c r="E811" s="25"/>
      <c r="F811" s="74"/>
      <c r="G811" s="76"/>
      <c r="H811" s="76"/>
      <c r="I811" s="76"/>
      <c r="J811" s="25"/>
      <c r="K811" s="25"/>
      <c r="L811" s="76"/>
      <c r="M811" s="25"/>
      <c r="N811" s="25"/>
      <c r="O811" s="74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</row>
    <row r="812">
      <c r="A812" s="25"/>
      <c r="B812" s="25"/>
      <c r="C812" s="25"/>
      <c r="D812" s="25"/>
      <c r="E812" s="25"/>
      <c r="F812" s="74"/>
      <c r="G812" s="76"/>
      <c r="H812" s="76"/>
      <c r="I812" s="76"/>
      <c r="J812" s="25"/>
      <c r="K812" s="25"/>
      <c r="L812" s="76"/>
      <c r="M812" s="25"/>
      <c r="N812" s="25"/>
      <c r="O812" s="74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</row>
    <row r="813">
      <c r="A813" s="25"/>
      <c r="B813" s="25"/>
      <c r="C813" s="25"/>
      <c r="D813" s="25"/>
      <c r="E813" s="25"/>
      <c r="F813" s="74"/>
      <c r="G813" s="76"/>
      <c r="H813" s="76"/>
      <c r="I813" s="76"/>
      <c r="J813" s="25"/>
      <c r="K813" s="25"/>
      <c r="L813" s="76"/>
      <c r="M813" s="25"/>
      <c r="N813" s="25"/>
      <c r="O813" s="74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</row>
    <row r="814">
      <c r="A814" s="25"/>
      <c r="B814" s="25"/>
      <c r="C814" s="25"/>
      <c r="D814" s="25"/>
      <c r="E814" s="25"/>
      <c r="F814" s="74"/>
      <c r="G814" s="76"/>
      <c r="H814" s="76"/>
      <c r="I814" s="76"/>
      <c r="J814" s="25"/>
      <c r="K814" s="25"/>
      <c r="L814" s="76"/>
      <c r="M814" s="25"/>
      <c r="N814" s="25"/>
      <c r="O814" s="74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</row>
    <row r="815">
      <c r="A815" s="25"/>
      <c r="B815" s="25"/>
      <c r="C815" s="25"/>
      <c r="D815" s="25"/>
      <c r="E815" s="25"/>
      <c r="F815" s="74"/>
      <c r="G815" s="76"/>
      <c r="H815" s="76"/>
      <c r="I815" s="76"/>
      <c r="J815" s="25"/>
      <c r="K815" s="25"/>
      <c r="L815" s="76"/>
      <c r="M815" s="25"/>
      <c r="N815" s="25"/>
      <c r="O815" s="74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</row>
    <row r="816">
      <c r="A816" s="25"/>
      <c r="B816" s="25"/>
      <c r="C816" s="25"/>
      <c r="D816" s="25"/>
      <c r="E816" s="25"/>
      <c r="F816" s="74"/>
      <c r="G816" s="76"/>
      <c r="H816" s="76"/>
      <c r="I816" s="76"/>
      <c r="J816" s="25"/>
      <c r="K816" s="25"/>
      <c r="L816" s="76"/>
      <c r="M816" s="25"/>
      <c r="N816" s="25"/>
      <c r="O816" s="74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</row>
    <row r="817">
      <c r="A817" s="25"/>
      <c r="B817" s="25"/>
      <c r="C817" s="25"/>
      <c r="D817" s="25"/>
      <c r="E817" s="25"/>
      <c r="F817" s="74"/>
      <c r="G817" s="76"/>
      <c r="H817" s="76"/>
      <c r="I817" s="76"/>
      <c r="J817" s="25"/>
      <c r="K817" s="25"/>
      <c r="L817" s="76"/>
      <c r="M817" s="25"/>
      <c r="N817" s="25"/>
      <c r="O817" s="74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</row>
    <row r="818">
      <c r="A818" s="25"/>
      <c r="B818" s="25"/>
      <c r="C818" s="25"/>
      <c r="D818" s="25"/>
      <c r="E818" s="25"/>
      <c r="F818" s="74"/>
      <c r="G818" s="76"/>
      <c r="H818" s="76"/>
      <c r="I818" s="76"/>
      <c r="J818" s="25"/>
      <c r="K818" s="25"/>
      <c r="L818" s="76"/>
      <c r="M818" s="25"/>
      <c r="N818" s="25"/>
      <c r="O818" s="74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</row>
    <row r="819">
      <c r="A819" s="25"/>
      <c r="B819" s="25"/>
      <c r="C819" s="25"/>
      <c r="D819" s="25"/>
      <c r="E819" s="25"/>
      <c r="F819" s="74"/>
      <c r="G819" s="76"/>
      <c r="H819" s="76"/>
      <c r="I819" s="76"/>
      <c r="J819" s="25"/>
      <c r="K819" s="25"/>
      <c r="L819" s="76"/>
      <c r="M819" s="25"/>
      <c r="N819" s="25"/>
      <c r="O819" s="74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</row>
    <row r="820">
      <c r="A820" s="25"/>
      <c r="B820" s="25"/>
      <c r="C820" s="25"/>
      <c r="D820" s="25"/>
      <c r="E820" s="25"/>
      <c r="F820" s="74"/>
      <c r="G820" s="76"/>
      <c r="H820" s="76"/>
      <c r="I820" s="76"/>
      <c r="J820" s="25"/>
      <c r="K820" s="25"/>
      <c r="L820" s="76"/>
      <c r="M820" s="25"/>
      <c r="N820" s="25"/>
      <c r="O820" s="74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</row>
    <row r="821">
      <c r="A821" s="25"/>
      <c r="B821" s="25"/>
      <c r="C821" s="25"/>
      <c r="D821" s="25"/>
      <c r="E821" s="25"/>
      <c r="F821" s="74"/>
      <c r="G821" s="76"/>
      <c r="H821" s="76"/>
      <c r="I821" s="76"/>
      <c r="J821" s="25"/>
      <c r="K821" s="25"/>
      <c r="L821" s="76"/>
      <c r="M821" s="25"/>
      <c r="N821" s="25"/>
      <c r="O821" s="74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</row>
    <row r="822">
      <c r="A822" s="25"/>
      <c r="B822" s="25"/>
      <c r="C822" s="25"/>
      <c r="D822" s="25"/>
      <c r="E822" s="25"/>
      <c r="F822" s="74"/>
      <c r="G822" s="76"/>
      <c r="H822" s="76"/>
      <c r="I822" s="76"/>
      <c r="J822" s="25"/>
      <c r="K822" s="25"/>
      <c r="L822" s="76"/>
      <c r="M822" s="25"/>
      <c r="N822" s="25"/>
      <c r="O822" s="74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</row>
    <row r="823">
      <c r="A823" s="25"/>
      <c r="B823" s="25"/>
      <c r="C823" s="25"/>
      <c r="D823" s="25"/>
      <c r="E823" s="25"/>
      <c r="F823" s="74"/>
      <c r="G823" s="76"/>
      <c r="H823" s="76"/>
      <c r="I823" s="76"/>
      <c r="J823" s="25"/>
      <c r="K823" s="25"/>
      <c r="L823" s="76"/>
      <c r="M823" s="25"/>
      <c r="N823" s="25"/>
      <c r="O823" s="74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</row>
    <row r="824">
      <c r="A824" s="25"/>
      <c r="B824" s="25"/>
      <c r="C824" s="25"/>
      <c r="D824" s="25"/>
      <c r="E824" s="25"/>
      <c r="F824" s="74"/>
      <c r="G824" s="76"/>
      <c r="H824" s="76"/>
      <c r="I824" s="76"/>
      <c r="J824" s="25"/>
      <c r="K824" s="25"/>
      <c r="L824" s="76"/>
      <c r="M824" s="25"/>
      <c r="N824" s="25"/>
      <c r="O824" s="74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</row>
    <row r="825">
      <c r="A825" s="25"/>
      <c r="B825" s="25"/>
      <c r="C825" s="25"/>
      <c r="D825" s="25"/>
      <c r="E825" s="25"/>
      <c r="F825" s="74"/>
      <c r="G825" s="76"/>
      <c r="H825" s="76"/>
      <c r="I825" s="76"/>
      <c r="J825" s="25"/>
      <c r="K825" s="25"/>
      <c r="L825" s="76"/>
      <c r="M825" s="25"/>
      <c r="N825" s="25"/>
      <c r="O825" s="74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</row>
    <row r="826">
      <c r="A826" s="25"/>
      <c r="B826" s="25"/>
      <c r="C826" s="25"/>
      <c r="D826" s="25"/>
      <c r="E826" s="25"/>
      <c r="F826" s="74"/>
      <c r="G826" s="76"/>
      <c r="H826" s="76"/>
      <c r="I826" s="76"/>
      <c r="J826" s="25"/>
      <c r="K826" s="25"/>
      <c r="L826" s="76"/>
      <c r="M826" s="25"/>
      <c r="N826" s="25"/>
      <c r="O826" s="74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</row>
    <row r="827">
      <c r="A827" s="25"/>
      <c r="B827" s="25"/>
      <c r="C827" s="25"/>
      <c r="D827" s="25"/>
      <c r="E827" s="25"/>
      <c r="F827" s="74"/>
      <c r="G827" s="76"/>
      <c r="H827" s="76"/>
      <c r="I827" s="76"/>
      <c r="J827" s="25"/>
      <c r="K827" s="25"/>
      <c r="L827" s="76"/>
      <c r="M827" s="25"/>
      <c r="N827" s="25"/>
      <c r="O827" s="74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</row>
    <row r="828">
      <c r="A828" s="25"/>
      <c r="B828" s="25"/>
      <c r="C828" s="25"/>
      <c r="D828" s="25"/>
      <c r="E828" s="25"/>
      <c r="F828" s="74"/>
      <c r="G828" s="76"/>
      <c r="H828" s="76"/>
      <c r="I828" s="76"/>
      <c r="J828" s="25"/>
      <c r="K828" s="25"/>
      <c r="L828" s="76"/>
      <c r="M828" s="25"/>
      <c r="N828" s="25"/>
      <c r="O828" s="74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</row>
    <row r="829">
      <c r="A829" s="25"/>
      <c r="B829" s="25"/>
      <c r="C829" s="25"/>
      <c r="D829" s="25"/>
      <c r="E829" s="25"/>
      <c r="F829" s="74"/>
      <c r="G829" s="76"/>
      <c r="H829" s="76"/>
      <c r="I829" s="76"/>
      <c r="J829" s="25"/>
      <c r="K829" s="25"/>
      <c r="L829" s="76"/>
      <c r="M829" s="25"/>
      <c r="N829" s="25"/>
      <c r="O829" s="74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</row>
    <row r="830">
      <c r="A830" s="25"/>
      <c r="B830" s="25"/>
      <c r="C830" s="25"/>
      <c r="D830" s="25"/>
      <c r="E830" s="25"/>
      <c r="F830" s="74"/>
      <c r="G830" s="76"/>
      <c r="H830" s="76"/>
      <c r="I830" s="76"/>
      <c r="J830" s="25"/>
      <c r="K830" s="25"/>
      <c r="L830" s="76"/>
      <c r="M830" s="25"/>
      <c r="N830" s="25"/>
      <c r="O830" s="74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</row>
    <row r="831">
      <c r="A831" s="25"/>
      <c r="B831" s="25"/>
      <c r="C831" s="25"/>
      <c r="D831" s="25"/>
      <c r="E831" s="25"/>
      <c r="F831" s="74"/>
      <c r="G831" s="76"/>
      <c r="H831" s="76"/>
      <c r="I831" s="76"/>
      <c r="J831" s="25"/>
      <c r="K831" s="25"/>
      <c r="L831" s="76"/>
      <c r="M831" s="25"/>
      <c r="N831" s="25"/>
      <c r="O831" s="74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</row>
    <row r="832">
      <c r="A832" s="25"/>
      <c r="B832" s="25"/>
      <c r="C832" s="25"/>
      <c r="D832" s="25"/>
      <c r="E832" s="25"/>
      <c r="F832" s="74"/>
      <c r="G832" s="76"/>
      <c r="H832" s="76"/>
      <c r="I832" s="76"/>
      <c r="J832" s="25"/>
      <c r="K832" s="25"/>
      <c r="L832" s="76"/>
      <c r="M832" s="25"/>
      <c r="N832" s="25"/>
      <c r="O832" s="74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</row>
    <row r="833">
      <c r="A833" s="25"/>
      <c r="B833" s="25"/>
      <c r="C833" s="25"/>
      <c r="D833" s="25"/>
      <c r="E833" s="25"/>
      <c r="F833" s="74"/>
      <c r="G833" s="76"/>
      <c r="H833" s="76"/>
      <c r="I833" s="76"/>
      <c r="J833" s="25"/>
      <c r="K833" s="25"/>
      <c r="L833" s="76"/>
      <c r="M833" s="25"/>
      <c r="N833" s="25"/>
      <c r="O833" s="74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</row>
    <row r="834">
      <c r="A834" s="25"/>
      <c r="B834" s="25"/>
      <c r="C834" s="25"/>
      <c r="D834" s="25"/>
      <c r="E834" s="25"/>
      <c r="F834" s="74"/>
      <c r="G834" s="76"/>
      <c r="H834" s="76"/>
      <c r="I834" s="76"/>
      <c r="J834" s="25"/>
      <c r="K834" s="25"/>
      <c r="L834" s="76"/>
      <c r="M834" s="25"/>
      <c r="N834" s="25"/>
      <c r="O834" s="74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</row>
    <row r="835">
      <c r="A835" s="25"/>
      <c r="B835" s="25"/>
      <c r="C835" s="25"/>
      <c r="D835" s="25"/>
      <c r="E835" s="25"/>
      <c r="F835" s="74"/>
      <c r="G835" s="76"/>
      <c r="H835" s="76"/>
      <c r="I835" s="76"/>
      <c r="J835" s="25"/>
      <c r="K835" s="25"/>
      <c r="L835" s="76"/>
      <c r="M835" s="25"/>
      <c r="N835" s="25"/>
      <c r="O835" s="74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</row>
    <row r="836">
      <c r="A836" s="25"/>
      <c r="B836" s="25"/>
      <c r="C836" s="25"/>
      <c r="D836" s="25"/>
      <c r="E836" s="25"/>
      <c r="F836" s="74"/>
      <c r="G836" s="76"/>
      <c r="H836" s="76"/>
      <c r="I836" s="76"/>
      <c r="J836" s="25"/>
      <c r="K836" s="25"/>
      <c r="L836" s="76"/>
      <c r="M836" s="25"/>
      <c r="N836" s="25"/>
      <c r="O836" s="74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</row>
    <row r="837">
      <c r="A837" s="25"/>
      <c r="B837" s="25"/>
      <c r="C837" s="25"/>
      <c r="D837" s="25"/>
      <c r="E837" s="25"/>
      <c r="F837" s="74"/>
      <c r="G837" s="76"/>
      <c r="H837" s="76"/>
      <c r="I837" s="76"/>
      <c r="J837" s="25"/>
      <c r="K837" s="25"/>
      <c r="L837" s="76"/>
      <c r="M837" s="25"/>
      <c r="N837" s="25"/>
      <c r="O837" s="74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</row>
    <row r="838">
      <c r="A838" s="25"/>
      <c r="B838" s="25"/>
      <c r="C838" s="25"/>
      <c r="D838" s="25"/>
      <c r="E838" s="25"/>
      <c r="F838" s="74"/>
      <c r="G838" s="76"/>
      <c r="H838" s="76"/>
      <c r="I838" s="76"/>
      <c r="J838" s="25"/>
      <c r="K838" s="25"/>
      <c r="L838" s="76"/>
      <c r="M838" s="25"/>
      <c r="N838" s="25"/>
      <c r="O838" s="74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</row>
    <row r="839">
      <c r="A839" s="25"/>
      <c r="B839" s="25"/>
      <c r="C839" s="25"/>
      <c r="D839" s="25"/>
      <c r="E839" s="25"/>
      <c r="F839" s="74"/>
      <c r="G839" s="76"/>
      <c r="H839" s="76"/>
      <c r="I839" s="76"/>
      <c r="J839" s="25"/>
      <c r="K839" s="25"/>
      <c r="L839" s="76"/>
      <c r="M839" s="25"/>
      <c r="N839" s="25"/>
      <c r="O839" s="74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</row>
    <row r="840">
      <c r="A840" s="25"/>
      <c r="B840" s="25"/>
      <c r="C840" s="25"/>
      <c r="D840" s="25"/>
      <c r="E840" s="25"/>
      <c r="F840" s="74"/>
      <c r="G840" s="76"/>
      <c r="H840" s="76"/>
      <c r="I840" s="76"/>
      <c r="J840" s="25"/>
      <c r="K840" s="25"/>
      <c r="L840" s="76"/>
      <c r="M840" s="25"/>
      <c r="N840" s="25"/>
      <c r="O840" s="74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</row>
    <row r="841">
      <c r="A841" s="25"/>
      <c r="B841" s="25"/>
      <c r="C841" s="25"/>
      <c r="D841" s="25"/>
      <c r="E841" s="25"/>
      <c r="F841" s="74"/>
      <c r="G841" s="76"/>
      <c r="H841" s="76"/>
      <c r="I841" s="76"/>
      <c r="J841" s="25"/>
      <c r="K841" s="25"/>
      <c r="L841" s="76"/>
      <c r="M841" s="25"/>
      <c r="N841" s="25"/>
      <c r="O841" s="74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</row>
    <row r="842">
      <c r="A842" s="25"/>
      <c r="B842" s="25"/>
      <c r="C842" s="25"/>
      <c r="D842" s="25"/>
      <c r="E842" s="25"/>
      <c r="F842" s="74"/>
      <c r="G842" s="76"/>
      <c r="H842" s="76"/>
      <c r="I842" s="76"/>
      <c r="J842" s="25"/>
      <c r="K842" s="25"/>
      <c r="L842" s="76"/>
      <c r="M842" s="25"/>
      <c r="N842" s="25"/>
      <c r="O842" s="74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</row>
    <row r="843">
      <c r="A843" s="25"/>
      <c r="B843" s="25"/>
      <c r="C843" s="25"/>
      <c r="D843" s="25"/>
      <c r="E843" s="25"/>
      <c r="F843" s="74"/>
      <c r="G843" s="76"/>
      <c r="H843" s="76"/>
      <c r="I843" s="76"/>
      <c r="J843" s="25"/>
      <c r="K843" s="25"/>
      <c r="L843" s="76"/>
      <c r="M843" s="25"/>
      <c r="N843" s="25"/>
      <c r="O843" s="74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</row>
    <row r="844">
      <c r="A844" s="25"/>
      <c r="B844" s="25"/>
      <c r="C844" s="25"/>
      <c r="D844" s="25"/>
      <c r="E844" s="25"/>
      <c r="F844" s="74"/>
      <c r="G844" s="76"/>
      <c r="H844" s="76"/>
      <c r="I844" s="76"/>
      <c r="J844" s="25"/>
      <c r="K844" s="25"/>
      <c r="L844" s="76"/>
      <c r="M844" s="25"/>
      <c r="N844" s="25"/>
      <c r="O844" s="74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</row>
    <row r="845">
      <c r="A845" s="25"/>
      <c r="B845" s="25"/>
      <c r="C845" s="25"/>
      <c r="D845" s="25"/>
      <c r="E845" s="25"/>
      <c r="F845" s="74"/>
      <c r="G845" s="76"/>
      <c r="H845" s="76"/>
      <c r="I845" s="76"/>
      <c r="J845" s="25"/>
      <c r="K845" s="25"/>
      <c r="L845" s="76"/>
      <c r="M845" s="25"/>
      <c r="N845" s="25"/>
      <c r="O845" s="74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</row>
    <row r="846">
      <c r="A846" s="25"/>
      <c r="B846" s="25"/>
      <c r="C846" s="25"/>
      <c r="D846" s="25"/>
      <c r="E846" s="25"/>
      <c r="F846" s="74"/>
      <c r="G846" s="76"/>
      <c r="H846" s="76"/>
      <c r="I846" s="76"/>
      <c r="J846" s="25"/>
      <c r="K846" s="25"/>
      <c r="L846" s="76"/>
      <c r="M846" s="25"/>
      <c r="N846" s="25"/>
      <c r="O846" s="74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</row>
    <row r="847">
      <c r="A847" s="25"/>
      <c r="B847" s="25"/>
      <c r="C847" s="25"/>
      <c r="D847" s="25"/>
      <c r="E847" s="25"/>
      <c r="F847" s="74"/>
      <c r="G847" s="76"/>
      <c r="H847" s="76"/>
      <c r="I847" s="76"/>
      <c r="J847" s="25"/>
      <c r="K847" s="25"/>
      <c r="L847" s="76"/>
      <c r="M847" s="25"/>
      <c r="N847" s="25"/>
      <c r="O847" s="74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</row>
    <row r="848">
      <c r="A848" s="25"/>
      <c r="B848" s="25"/>
      <c r="C848" s="25"/>
      <c r="D848" s="25"/>
      <c r="E848" s="25"/>
      <c r="F848" s="74"/>
      <c r="G848" s="76"/>
      <c r="H848" s="76"/>
      <c r="I848" s="76"/>
      <c r="J848" s="25"/>
      <c r="K848" s="25"/>
      <c r="L848" s="76"/>
      <c r="M848" s="25"/>
      <c r="N848" s="25"/>
      <c r="O848" s="74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</row>
    <row r="849">
      <c r="A849" s="25"/>
      <c r="B849" s="25"/>
      <c r="C849" s="25"/>
      <c r="D849" s="25"/>
      <c r="E849" s="25"/>
      <c r="F849" s="74"/>
      <c r="G849" s="76"/>
      <c r="H849" s="76"/>
      <c r="I849" s="76"/>
      <c r="J849" s="25"/>
      <c r="K849" s="25"/>
      <c r="L849" s="76"/>
      <c r="M849" s="25"/>
      <c r="N849" s="25"/>
      <c r="O849" s="74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</row>
    <row r="850">
      <c r="A850" s="25"/>
      <c r="B850" s="25"/>
      <c r="C850" s="25"/>
      <c r="D850" s="25"/>
      <c r="E850" s="25"/>
      <c r="F850" s="74"/>
      <c r="G850" s="76"/>
      <c r="H850" s="76"/>
      <c r="I850" s="76"/>
      <c r="J850" s="25"/>
      <c r="K850" s="25"/>
      <c r="L850" s="76"/>
      <c r="M850" s="25"/>
      <c r="N850" s="25"/>
      <c r="O850" s="74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</row>
    <row r="851">
      <c r="A851" s="25"/>
      <c r="B851" s="25"/>
      <c r="C851" s="25"/>
      <c r="D851" s="25"/>
      <c r="E851" s="25"/>
      <c r="F851" s="74"/>
      <c r="G851" s="76"/>
      <c r="H851" s="76"/>
      <c r="I851" s="76"/>
      <c r="J851" s="25"/>
      <c r="K851" s="25"/>
      <c r="L851" s="76"/>
      <c r="M851" s="25"/>
      <c r="N851" s="25"/>
      <c r="O851" s="74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</row>
    <row r="852">
      <c r="A852" s="25"/>
      <c r="B852" s="25"/>
      <c r="C852" s="25"/>
      <c r="D852" s="25"/>
      <c r="E852" s="25"/>
      <c r="F852" s="74"/>
      <c r="G852" s="76"/>
      <c r="H852" s="76"/>
      <c r="I852" s="76"/>
      <c r="J852" s="25"/>
      <c r="K852" s="25"/>
      <c r="L852" s="76"/>
      <c r="M852" s="25"/>
      <c r="N852" s="25"/>
      <c r="O852" s="74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</row>
    <row r="853">
      <c r="A853" s="25"/>
      <c r="B853" s="25"/>
      <c r="C853" s="25"/>
      <c r="D853" s="25"/>
      <c r="E853" s="25"/>
      <c r="F853" s="74"/>
      <c r="G853" s="76"/>
      <c r="H853" s="76"/>
      <c r="I853" s="76"/>
      <c r="J853" s="25"/>
      <c r="K853" s="25"/>
      <c r="L853" s="76"/>
      <c r="M853" s="25"/>
      <c r="N853" s="25"/>
      <c r="O853" s="74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</row>
    <row r="854">
      <c r="A854" s="25"/>
      <c r="B854" s="25"/>
      <c r="C854" s="25"/>
      <c r="D854" s="25"/>
      <c r="E854" s="25"/>
      <c r="F854" s="74"/>
      <c r="G854" s="76"/>
      <c r="H854" s="76"/>
      <c r="I854" s="76"/>
      <c r="J854" s="25"/>
      <c r="K854" s="25"/>
      <c r="L854" s="76"/>
      <c r="M854" s="25"/>
      <c r="N854" s="25"/>
      <c r="O854" s="74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</row>
    <row r="855">
      <c r="A855" s="25"/>
      <c r="B855" s="25"/>
      <c r="C855" s="25"/>
      <c r="D855" s="25"/>
      <c r="E855" s="25"/>
      <c r="F855" s="74"/>
      <c r="G855" s="76"/>
      <c r="H855" s="76"/>
      <c r="I855" s="76"/>
      <c r="J855" s="25"/>
      <c r="K855" s="25"/>
      <c r="L855" s="76"/>
      <c r="M855" s="25"/>
      <c r="N855" s="25"/>
      <c r="O855" s="74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</row>
    <row r="856">
      <c r="A856" s="25"/>
      <c r="B856" s="25"/>
      <c r="C856" s="25"/>
      <c r="D856" s="25"/>
      <c r="E856" s="25"/>
      <c r="F856" s="74"/>
      <c r="G856" s="76"/>
      <c r="H856" s="76"/>
      <c r="I856" s="76"/>
      <c r="J856" s="25"/>
      <c r="K856" s="25"/>
      <c r="L856" s="76"/>
      <c r="M856" s="25"/>
      <c r="N856" s="25"/>
      <c r="O856" s="74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</row>
    <row r="857">
      <c r="A857" s="25"/>
      <c r="B857" s="25"/>
      <c r="C857" s="25"/>
      <c r="D857" s="25"/>
      <c r="E857" s="25"/>
      <c r="F857" s="74"/>
      <c r="G857" s="76"/>
      <c r="H857" s="76"/>
      <c r="I857" s="76"/>
      <c r="J857" s="25"/>
      <c r="K857" s="25"/>
      <c r="L857" s="76"/>
      <c r="M857" s="25"/>
      <c r="N857" s="25"/>
      <c r="O857" s="74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</row>
    <row r="858">
      <c r="A858" s="25"/>
      <c r="B858" s="25"/>
      <c r="C858" s="25"/>
      <c r="D858" s="25"/>
      <c r="E858" s="25"/>
      <c r="F858" s="74"/>
      <c r="G858" s="76"/>
      <c r="H858" s="76"/>
      <c r="I858" s="76"/>
      <c r="J858" s="25"/>
      <c r="K858" s="25"/>
      <c r="L858" s="76"/>
      <c r="M858" s="25"/>
      <c r="N858" s="25"/>
      <c r="O858" s="74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</row>
    <row r="859">
      <c r="A859" s="25"/>
      <c r="B859" s="25"/>
      <c r="C859" s="25"/>
      <c r="D859" s="25"/>
      <c r="E859" s="25"/>
      <c r="F859" s="74"/>
      <c r="G859" s="76"/>
      <c r="H859" s="76"/>
      <c r="I859" s="76"/>
      <c r="J859" s="25"/>
      <c r="K859" s="25"/>
      <c r="L859" s="76"/>
      <c r="M859" s="25"/>
      <c r="N859" s="25"/>
      <c r="O859" s="74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</row>
    <row r="860">
      <c r="A860" s="25"/>
      <c r="B860" s="25"/>
      <c r="C860" s="25"/>
      <c r="D860" s="25"/>
      <c r="E860" s="25"/>
      <c r="F860" s="74"/>
      <c r="G860" s="76"/>
      <c r="H860" s="76"/>
      <c r="I860" s="76"/>
      <c r="J860" s="25"/>
      <c r="K860" s="25"/>
      <c r="L860" s="76"/>
      <c r="M860" s="25"/>
      <c r="N860" s="25"/>
      <c r="O860" s="74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</row>
    <row r="861">
      <c r="A861" s="25"/>
      <c r="B861" s="25"/>
      <c r="C861" s="25"/>
      <c r="D861" s="25"/>
      <c r="E861" s="25"/>
      <c r="F861" s="74"/>
      <c r="G861" s="76"/>
      <c r="H861" s="76"/>
      <c r="I861" s="76"/>
      <c r="J861" s="25"/>
      <c r="K861" s="25"/>
      <c r="L861" s="76"/>
      <c r="M861" s="25"/>
      <c r="N861" s="25"/>
      <c r="O861" s="74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</row>
    <row r="862">
      <c r="A862" s="25"/>
      <c r="B862" s="25"/>
      <c r="C862" s="25"/>
      <c r="D862" s="25"/>
      <c r="E862" s="25"/>
      <c r="F862" s="74"/>
      <c r="G862" s="76"/>
      <c r="H862" s="76"/>
      <c r="I862" s="76"/>
      <c r="J862" s="25"/>
      <c r="K862" s="25"/>
      <c r="L862" s="76"/>
      <c r="M862" s="25"/>
      <c r="N862" s="25"/>
      <c r="O862" s="74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</row>
    <row r="863">
      <c r="A863" s="25"/>
      <c r="B863" s="25"/>
      <c r="C863" s="25"/>
      <c r="D863" s="25"/>
      <c r="E863" s="25"/>
      <c r="F863" s="74"/>
      <c r="G863" s="76"/>
      <c r="H863" s="76"/>
      <c r="I863" s="76"/>
      <c r="J863" s="25"/>
      <c r="K863" s="25"/>
      <c r="L863" s="76"/>
      <c r="M863" s="25"/>
      <c r="N863" s="25"/>
      <c r="O863" s="74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</row>
    <row r="864">
      <c r="A864" s="25"/>
      <c r="B864" s="25"/>
      <c r="C864" s="25"/>
      <c r="D864" s="25"/>
      <c r="E864" s="25"/>
      <c r="F864" s="74"/>
      <c r="G864" s="76"/>
      <c r="H864" s="76"/>
      <c r="I864" s="76"/>
      <c r="J864" s="25"/>
      <c r="K864" s="25"/>
      <c r="L864" s="76"/>
      <c r="M864" s="25"/>
      <c r="N864" s="25"/>
      <c r="O864" s="74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</row>
    <row r="865">
      <c r="A865" s="25"/>
      <c r="B865" s="25"/>
      <c r="C865" s="25"/>
      <c r="D865" s="25"/>
      <c r="E865" s="25"/>
      <c r="F865" s="74"/>
      <c r="G865" s="76"/>
      <c r="H865" s="76"/>
      <c r="I865" s="76"/>
      <c r="J865" s="25"/>
      <c r="K865" s="25"/>
      <c r="L865" s="76"/>
      <c r="M865" s="25"/>
      <c r="N865" s="25"/>
      <c r="O865" s="74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</row>
    <row r="866">
      <c r="A866" s="25"/>
      <c r="B866" s="25"/>
      <c r="C866" s="25"/>
      <c r="D866" s="25"/>
      <c r="E866" s="25"/>
      <c r="F866" s="74"/>
      <c r="G866" s="76"/>
      <c r="H866" s="76"/>
      <c r="I866" s="76"/>
      <c r="J866" s="25"/>
      <c r="K866" s="25"/>
      <c r="L866" s="76"/>
      <c r="M866" s="25"/>
      <c r="N866" s="25"/>
      <c r="O866" s="74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</row>
    <row r="867">
      <c r="A867" s="25"/>
      <c r="B867" s="25"/>
      <c r="C867" s="25"/>
      <c r="D867" s="25"/>
      <c r="E867" s="25"/>
      <c r="F867" s="74"/>
      <c r="G867" s="76"/>
      <c r="H867" s="76"/>
      <c r="I867" s="76"/>
      <c r="J867" s="25"/>
      <c r="K867" s="25"/>
      <c r="L867" s="76"/>
      <c r="M867" s="25"/>
      <c r="N867" s="25"/>
      <c r="O867" s="74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</row>
    <row r="868">
      <c r="A868" s="25"/>
      <c r="B868" s="25"/>
      <c r="C868" s="25"/>
      <c r="D868" s="25"/>
      <c r="E868" s="25"/>
      <c r="F868" s="74"/>
      <c r="G868" s="76"/>
      <c r="H868" s="76"/>
      <c r="I868" s="76"/>
      <c r="J868" s="25"/>
      <c r="K868" s="25"/>
      <c r="L868" s="76"/>
      <c r="M868" s="25"/>
      <c r="N868" s="25"/>
      <c r="O868" s="74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</row>
    <row r="869">
      <c r="A869" s="25"/>
      <c r="B869" s="25"/>
      <c r="C869" s="25"/>
      <c r="D869" s="25"/>
      <c r="E869" s="25"/>
      <c r="F869" s="74"/>
      <c r="G869" s="76"/>
      <c r="H869" s="76"/>
      <c r="I869" s="76"/>
      <c r="J869" s="25"/>
      <c r="K869" s="25"/>
      <c r="L869" s="76"/>
      <c r="M869" s="25"/>
      <c r="N869" s="25"/>
      <c r="O869" s="74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</row>
    <row r="870">
      <c r="A870" s="25"/>
      <c r="B870" s="25"/>
      <c r="C870" s="25"/>
      <c r="D870" s="25"/>
      <c r="E870" s="25"/>
      <c r="F870" s="74"/>
      <c r="G870" s="76"/>
      <c r="H870" s="76"/>
      <c r="I870" s="76"/>
      <c r="J870" s="25"/>
      <c r="K870" s="25"/>
      <c r="L870" s="76"/>
      <c r="M870" s="25"/>
      <c r="N870" s="25"/>
      <c r="O870" s="74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</row>
    <row r="871">
      <c r="A871" s="25"/>
      <c r="B871" s="25"/>
      <c r="C871" s="25"/>
      <c r="D871" s="25"/>
      <c r="E871" s="25"/>
      <c r="F871" s="74"/>
      <c r="G871" s="76"/>
      <c r="H871" s="76"/>
      <c r="I871" s="76"/>
      <c r="J871" s="25"/>
      <c r="K871" s="25"/>
      <c r="L871" s="76"/>
      <c r="M871" s="25"/>
      <c r="N871" s="25"/>
      <c r="O871" s="74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</row>
    <row r="872">
      <c r="A872" s="25"/>
      <c r="B872" s="25"/>
      <c r="C872" s="25"/>
      <c r="D872" s="25"/>
      <c r="E872" s="25"/>
      <c r="F872" s="74"/>
      <c r="G872" s="76"/>
      <c r="H872" s="76"/>
      <c r="I872" s="76"/>
      <c r="J872" s="25"/>
      <c r="K872" s="25"/>
      <c r="L872" s="76"/>
      <c r="M872" s="25"/>
      <c r="N872" s="25"/>
      <c r="O872" s="74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</row>
    <row r="873">
      <c r="A873" s="25"/>
      <c r="B873" s="25"/>
      <c r="C873" s="25"/>
      <c r="D873" s="25"/>
      <c r="E873" s="25"/>
      <c r="F873" s="74"/>
      <c r="G873" s="76"/>
      <c r="H873" s="76"/>
      <c r="I873" s="76"/>
      <c r="J873" s="25"/>
      <c r="K873" s="25"/>
      <c r="L873" s="76"/>
      <c r="M873" s="25"/>
      <c r="N873" s="25"/>
      <c r="O873" s="74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</row>
    <row r="874">
      <c r="A874" s="25"/>
      <c r="B874" s="25"/>
      <c r="C874" s="25"/>
      <c r="D874" s="25"/>
      <c r="E874" s="25"/>
      <c r="F874" s="74"/>
      <c r="G874" s="76"/>
      <c r="H874" s="76"/>
      <c r="I874" s="76"/>
      <c r="J874" s="25"/>
      <c r="K874" s="25"/>
      <c r="L874" s="76"/>
      <c r="M874" s="25"/>
      <c r="N874" s="25"/>
      <c r="O874" s="74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</row>
    <row r="875">
      <c r="A875" s="25"/>
      <c r="B875" s="25"/>
      <c r="C875" s="25"/>
      <c r="D875" s="25"/>
      <c r="E875" s="25"/>
      <c r="F875" s="74"/>
      <c r="G875" s="76"/>
      <c r="H875" s="76"/>
      <c r="I875" s="76"/>
      <c r="J875" s="25"/>
      <c r="K875" s="25"/>
      <c r="L875" s="76"/>
      <c r="M875" s="25"/>
      <c r="N875" s="25"/>
      <c r="O875" s="74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</row>
    <row r="876">
      <c r="A876" s="25"/>
      <c r="B876" s="25"/>
      <c r="C876" s="25"/>
      <c r="D876" s="25"/>
      <c r="E876" s="25"/>
      <c r="F876" s="74"/>
      <c r="G876" s="76"/>
      <c r="H876" s="76"/>
      <c r="I876" s="76"/>
      <c r="J876" s="25"/>
      <c r="K876" s="25"/>
      <c r="L876" s="76"/>
      <c r="M876" s="25"/>
      <c r="N876" s="25"/>
      <c r="O876" s="74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</row>
    <row r="877">
      <c r="A877" s="25"/>
      <c r="B877" s="25"/>
      <c r="C877" s="25"/>
      <c r="D877" s="25"/>
      <c r="E877" s="25"/>
      <c r="F877" s="74"/>
      <c r="G877" s="76"/>
      <c r="H877" s="76"/>
      <c r="I877" s="76"/>
      <c r="J877" s="25"/>
      <c r="K877" s="25"/>
      <c r="L877" s="76"/>
      <c r="M877" s="25"/>
      <c r="N877" s="25"/>
      <c r="O877" s="74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</row>
    <row r="878">
      <c r="A878" s="25"/>
      <c r="B878" s="25"/>
      <c r="C878" s="25"/>
      <c r="D878" s="25"/>
      <c r="E878" s="25"/>
      <c r="F878" s="74"/>
      <c r="G878" s="76"/>
      <c r="H878" s="76"/>
      <c r="I878" s="76"/>
      <c r="J878" s="25"/>
      <c r="K878" s="25"/>
      <c r="L878" s="76"/>
      <c r="M878" s="25"/>
      <c r="N878" s="25"/>
      <c r="O878" s="74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</row>
    <row r="879">
      <c r="A879" s="25"/>
      <c r="B879" s="25"/>
      <c r="C879" s="25"/>
      <c r="D879" s="25"/>
      <c r="E879" s="25"/>
      <c r="F879" s="74"/>
      <c r="G879" s="76"/>
      <c r="H879" s="76"/>
      <c r="I879" s="76"/>
      <c r="J879" s="25"/>
      <c r="K879" s="25"/>
      <c r="L879" s="76"/>
      <c r="M879" s="25"/>
      <c r="N879" s="25"/>
      <c r="O879" s="74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</row>
    <row r="880">
      <c r="A880" s="25"/>
      <c r="B880" s="25"/>
      <c r="C880" s="25"/>
      <c r="D880" s="25"/>
      <c r="E880" s="25"/>
      <c r="F880" s="74"/>
      <c r="G880" s="76"/>
      <c r="H880" s="76"/>
      <c r="I880" s="76"/>
      <c r="J880" s="25"/>
      <c r="K880" s="25"/>
      <c r="L880" s="76"/>
      <c r="M880" s="25"/>
      <c r="N880" s="25"/>
      <c r="O880" s="74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</row>
    <row r="881">
      <c r="A881" s="25"/>
      <c r="B881" s="25"/>
      <c r="C881" s="25"/>
      <c r="D881" s="25"/>
      <c r="E881" s="25"/>
      <c r="F881" s="74"/>
      <c r="G881" s="76"/>
      <c r="H881" s="76"/>
      <c r="I881" s="76"/>
      <c r="J881" s="25"/>
      <c r="K881" s="25"/>
      <c r="L881" s="76"/>
      <c r="M881" s="25"/>
      <c r="N881" s="25"/>
      <c r="O881" s="74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</row>
    <row r="882">
      <c r="A882" s="25"/>
      <c r="B882" s="25"/>
      <c r="C882" s="25"/>
      <c r="D882" s="25"/>
      <c r="E882" s="25"/>
      <c r="F882" s="74"/>
      <c r="G882" s="76"/>
      <c r="H882" s="76"/>
      <c r="I882" s="76"/>
      <c r="J882" s="25"/>
      <c r="K882" s="25"/>
      <c r="L882" s="76"/>
      <c r="M882" s="25"/>
      <c r="N882" s="25"/>
      <c r="O882" s="74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</row>
    <row r="883">
      <c r="A883" s="25"/>
      <c r="B883" s="25"/>
      <c r="C883" s="25"/>
      <c r="D883" s="25"/>
      <c r="E883" s="25"/>
      <c r="F883" s="74"/>
      <c r="G883" s="76"/>
      <c r="H883" s="76"/>
      <c r="I883" s="76"/>
      <c r="J883" s="25"/>
      <c r="K883" s="25"/>
      <c r="L883" s="76"/>
      <c r="M883" s="25"/>
      <c r="N883" s="25"/>
      <c r="O883" s="74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</row>
    <row r="884">
      <c r="A884" s="25"/>
      <c r="B884" s="25"/>
      <c r="C884" s="25"/>
      <c r="D884" s="25"/>
      <c r="E884" s="25"/>
      <c r="F884" s="74"/>
      <c r="G884" s="76"/>
      <c r="H884" s="76"/>
      <c r="I884" s="76"/>
      <c r="J884" s="25"/>
      <c r="K884" s="25"/>
      <c r="L884" s="76"/>
      <c r="M884" s="25"/>
      <c r="N884" s="25"/>
      <c r="O884" s="74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</row>
    <row r="885">
      <c r="A885" s="25"/>
      <c r="B885" s="25"/>
      <c r="C885" s="25"/>
      <c r="D885" s="25"/>
      <c r="E885" s="25"/>
      <c r="F885" s="74"/>
      <c r="G885" s="76"/>
      <c r="H885" s="76"/>
      <c r="I885" s="76"/>
      <c r="J885" s="25"/>
      <c r="K885" s="25"/>
      <c r="L885" s="76"/>
      <c r="M885" s="25"/>
      <c r="N885" s="25"/>
      <c r="O885" s="74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</row>
    <row r="886">
      <c r="A886" s="25"/>
      <c r="B886" s="25"/>
      <c r="C886" s="25"/>
      <c r="D886" s="25"/>
      <c r="E886" s="25"/>
      <c r="F886" s="74"/>
      <c r="G886" s="76"/>
      <c r="H886" s="76"/>
      <c r="I886" s="76"/>
      <c r="J886" s="25"/>
      <c r="K886" s="25"/>
      <c r="L886" s="76"/>
      <c r="M886" s="25"/>
      <c r="N886" s="25"/>
      <c r="O886" s="74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</row>
    <row r="887">
      <c r="A887" s="25"/>
      <c r="B887" s="25"/>
      <c r="C887" s="25"/>
      <c r="D887" s="25"/>
      <c r="E887" s="25"/>
      <c r="F887" s="74"/>
      <c r="G887" s="76"/>
      <c r="H887" s="76"/>
      <c r="I887" s="76"/>
      <c r="J887" s="25"/>
      <c r="K887" s="25"/>
      <c r="L887" s="76"/>
      <c r="M887" s="25"/>
      <c r="N887" s="25"/>
      <c r="O887" s="74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</row>
    <row r="888">
      <c r="A888" s="25"/>
      <c r="B888" s="25"/>
      <c r="C888" s="25"/>
      <c r="D888" s="25"/>
      <c r="E888" s="25"/>
      <c r="F888" s="74"/>
      <c r="G888" s="76"/>
      <c r="H888" s="76"/>
      <c r="I888" s="76"/>
      <c r="J888" s="25"/>
      <c r="K888" s="25"/>
      <c r="L888" s="76"/>
      <c r="M888" s="25"/>
      <c r="N888" s="25"/>
      <c r="O888" s="74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</row>
    <row r="889">
      <c r="A889" s="25"/>
      <c r="B889" s="25"/>
      <c r="C889" s="25"/>
      <c r="D889" s="25"/>
      <c r="E889" s="25"/>
      <c r="F889" s="74"/>
      <c r="G889" s="76"/>
      <c r="H889" s="76"/>
      <c r="I889" s="76"/>
      <c r="J889" s="25"/>
      <c r="K889" s="25"/>
      <c r="L889" s="76"/>
      <c r="M889" s="25"/>
      <c r="N889" s="25"/>
      <c r="O889" s="74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</row>
    <row r="890">
      <c r="A890" s="25"/>
      <c r="B890" s="25"/>
      <c r="C890" s="25"/>
      <c r="D890" s="25"/>
      <c r="E890" s="25"/>
      <c r="F890" s="74"/>
      <c r="G890" s="76"/>
      <c r="H890" s="76"/>
      <c r="I890" s="76"/>
      <c r="J890" s="25"/>
      <c r="K890" s="25"/>
      <c r="L890" s="76"/>
      <c r="M890" s="25"/>
      <c r="N890" s="25"/>
      <c r="O890" s="74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</row>
    <row r="891">
      <c r="A891" s="25"/>
      <c r="B891" s="25"/>
      <c r="C891" s="25"/>
      <c r="D891" s="25"/>
      <c r="E891" s="25"/>
      <c r="F891" s="74"/>
      <c r="G891" s="76"/>
      <c r="H891" s="76"/>
      <c r="I891" s="76"/>
      <c r="J891" s="25"/>
      <c r="K891" s="25"/>
      <c r="L891" s="76"/>
      <c r="M891" s="25"/>
      <c r="N891" s="25"/>
      <c r="O891" s="74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</row>
    <row r="892">
      <c r="A892" s="25"/>
      <c r="B892" s="25"/>
      <c r="C892" s="25"/>
      <c r="D892" s="25"/>
      <c r="E892" s="25"/>
      <c r="F892" s="74"/>
      <c r="G892" s="76"/>
      <c r="H892" s="76"/>
      <c r="I892" s="76"/>
      <c r="J892" s="25"/>
      <c r="K892" s="25"/>
      <c r="L892" s="76"/>
      <c r="M892" s="25"/>
      <c r="N892" s="25"/>
      <c r="O892" s="74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</row>
    <row r="893">
      <c r="A893" s="25"/>
      <c r="B893" s="25"/>
      <c r="C893" s="25"/>
      <c r="D893" s="25"/>
      <c r="E893" s="25"/>
      <c r="F893" s="74"/>
      <c r="G893" s="76"/>
      <c r="H893" s="76"/>
      <c r="I893" s="76"/>
      <c r="J893" s="25"/>
      <c r="K893" s="25"/>
      <c r="L893" s="76"/>
      <c r="M893" s="25"/>
      <c r="N893" s="25"/>
      <c r="O893" s="74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</row>
    <row r="894">
      <c r="A894" s="25"/>
      <c r="B894" s="25"/>
      <c r="C894" s="25"/>
      <c r="D894" s="25"/>
      <c r="E894" s="25"/>
      <c r="F894" s="74"/>
      <c r="G894" s="76"/>
      <c r="H894" s="76"/>
      <c r="I894" s="76"/>
      <c r="J894" s="25"/>
      <c r="K894" s="25"/>
      <c r="L894" s="76"/>
      <c r="M894" s="25"/>
      <c r="N894" s="25"/>
      <c r="O894" s="74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</row>
    <row r="895">
      <c r="A895" s="25"/>
      <c r="B895" s="25"/>
      <c r="C895" s="25"/>
      <c r="D895" s="25"/>
      <c r="E895" s="25"/>
      <c r="F895" s="74"/>
      <c r="G895" s="76"/>
      <c r="H895" s="76"/>
      <c r="I895" s="76"/>
      <c r="J895" s="25"/>
      <c r="K895" s="25"/>
      <c r="L895" s="76"/>
      <c r="M895" s="25"/>
      <c r="N895" s="25"/>
      <c r="O895" s="74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</row>
    <row r="896">
      <c r="A896" s="25"/>
      <c r="B896" s="25"/>
      <c r="C896" s="25"/>
      <c r="D896" s="25"/>
      <c r="E896" s="25"/>
      <c r="F896" s="74"/>
      <c r="G896" s="76"/>
      <c r="H896" s="76"/>
      <c r="I896" s="76"/>
      <c r="J896" s="25"/>
      <c r="K896" s="25"/>
      <c r="L896" s="76"/>
      <c r="M896" s="25"/>
      <c r="N896" s="25"/>
      <c r="O896" s="74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</row>
    <row r="897">
      <c r="A897" s="25"/>
      <c r="B897" s="25"/>
      <c r="C897" s="25"/>
      <c r="D897" s="25"/>
      <c r="E897" s="25"/>
      <c r="F897" s="74"/>
      <c r="G897" s="76"/>
      <c r="H897" s="76"/>
      <c r="I897" s="76"/>
      <c r="J897" s="25"/>
      <c r="K897" s="25"/>
      <c r="L897" s="76"/>
      <c r="M897" s="25"/>
      <c r="N897" s="25"/>
      <c r="O897" s="74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</row>
    <row r="898">
      <c r="A898" s="25"/>
      <c r="B898" s="25"/>
      <c r="C898" s="25"/>
      <c r="D898" s="25"/>
      <c r="E898" s="25"/>
      <c r="F898" s="74"/>
      <c r="G898" s="76"/>
      <c r="H898" s="76"/>
      <c r="I898" s="76"/>
      <c r="J898" s="25"/>
      <c r="K898" s="25"/>
      <c r="L898" s="76"/>
      <c r="M898" s="25"/>
      <c r="N898" s="25"/>
      <c r="O898" s="74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</row>
    <row r="899">
      <c r="A899" s="25"/>
      <c r="B899" s="25"/>
      <c r="C899" s="25"/>
      <c r="D899" s="25"/>
      <c r="E899" s="25"/>
      <c r="F899" s="74"/>
      <c r="G899" s="76"/>
      <c r="H899" s="76"/>
      <c r="I899" s="76"/>
      <c r="J899" s="25"/>
      <c r="K899" s="25"/>
      <c r="L899" s="76"/>
      <c r="M899" s="25"/>
      <c r="N899" s="25"/>
      <c r="O899" s="74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</row>
    <row r="900">
      <c r="A900" s="25"/>
      <c r="B900" s="25"/>
      <c r="C900" s="25"/>
      <c r="D900" s="25"/>
      <c r="E900" s="25"/>
      <c r="F900" s="74"/>
      <c r="G900" s="76"/>
      <c r="H900" s="76"/>
      <c r="I900" s="76"/>
      <c r="J900" s="25"/>
      <c r="K900" s="25"/>
      <c r="L900" s="76"/>
      <c r="M900" s="25"/>
      <c r="N900" s="25"/>
      <c r="O900" s="74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</row>
    <row r="901">
      <c r="A901" s="25"/>
      <c r="B901" s="25"/>
      <c r="C901" s="25"/>
      <c r="D901" s="25"/>
      <c r="E901" s="25"/>
      <c r="F901" s="74"/>
      <c r="G901" s="76"/>
      <c r="H901" s="76"/>
      <c r="I901" s="76"/>
      <c r="J901" s="25"/>
      <c r="K901" s="25"/>
      <c r="L901" s="76"/>
      <c r="M901" s="25"/>
      <c r="N901" s="25"/>
      <c r="O901" s="74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</row>
    <row r="902">
      <c r="A902" s="25"/>
      <c r="B902" s="25"/>
      <c r="C902" s="25"/>
      <c r="D902" s="25"/>
      <c r="E902" s="25"/>
      <c r="F902" s="74"/>
      <c r="G902" s="76"/>
      <c r="H902" s="76"/>
      <c r="I902" s="76"/>
      <c r="J902" s="25"/>
      <c r="K902" s="25"/>
      <c r="L902" s="76"/>
      <c r="M902" s="25"/>
      <c r="N902" s="25"/>
      <c r="O902" s="74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</row>
    <row r="903">
      <c r="A903" s="25"/>
      <c r="B903" s="25"/>
      <c r="C903" s="25"/>
      <c r="D903" s="25"/>
      <c r="E903" s="25"/>
      <c r="F903" s="74"/>
      <c r="G903" s="76"/>
      <c r="H903" s="76"/>
      <c r="I903" s="76"/>
      <c r="J903" s="25"/>
      <c r="K903" s="25"/>
      <c r="L903" s="76"/>
      <c r="M903" s="25"/>
      <c r="N903" s="25"/>
      <c r="O903" s="74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</row>
    <row r="904">
      <c r="A904" s="25"/>
      <c r="B904" s="25"/>
      <c r="C904" s="25"/>
      <c r="D904" s="25"/>
      <c r="E904" s="25"/>
      <c r="F904" s="74"/>
      <c r="G904" s="76"/>
      <c r="H904" s="76"/>
      <c r="I904" s="76"/>
      <c r="J904" s="25"/>
      <c r="K904" s="25"/>
      <c r="L904" s="76"/>
      <c r="M904" s="25"/>
      <c r="N904" s="25"/>
      <c r="O904" s="74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</row>
    <row r="905">
      <c r="A905" s="25"/>
      <c r="B905" s="25"/>
      <c r="C905" s="25"/>
      <c r="D905" s="25"/>
      <c r="E905" s="25"/>
      <c r="F905" s="74"/>
      <c r="G905" s="76"/>
      <c r="H905" s="76"/>
      <c r="I905" s="76"/>
      <c r="J905" s="25"/>
      <c r="K905" s="25"/>
      <c r="L905" s="76"/>
      <c r="M905" s="25"/>
      <c r="N905" s="25"/>
      <c r="O905" s="74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</row>
    <row r="906">
      <c r="A906" s="25"/>
      <c r="B906" s="25"/>
      <c r="C906" s="25"/>
      <c r="D906" s="25"/>
      <c r="E906" s="25"/>
      <c r="F906" s="74"/>
      <c r="G906" s="76"/>
      <c r="H906" s="76"/>
      <c r="I906" s="76"/>
      <c r="J906" s="25"/>
      <c r="K906" s="25"/>
      <c r="L906" s="76"/>
      <c r="M906" s="25"/>
      <c r="N906" s="25"/>
      <c r="O906" s="74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</row>
    <row r="907">
      <c r="A907" s="25"/>
      <c r="B907" s="25"/>
      <c r="C907" s="25"/>
      <c r="D907" s="25"/>
      <c r="E907" s="25"/>
      <c r="F907" s="74"/>
      <c r="G907" s="76"/>
      <c r="H907" s="76"/>
      <c r="I907" s="76"/>
      <c r="J907" s="25"/>
      <c r="K907" s="25"/>
      <c r="L907" s="76"/>
      <c r="M907" s="25"/>
      <c r="N907" s="25"/>
      <c r="O907" s="74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</row>
    <row r="908">
      <c r="A908" s="25"/>
      <c r="B908" s="25"/>
      <c r="C908" s="25"/>
      <c r="D908" s="25"/>
      <c r="E908" s="25"/>
      <c r="F908" s="74"/>
      <c r="G908" s="76"/>
      <c r="H908" s="76"/>
      <c r="I908" s="76"/>
      <c r="J908" s="25"/>
      <c r="K908" s="25"/>
      <c r="L908" s="76"/>
      <c r="M908" s="25"/>
      <c r="N908" s="25"/>
      <c r="O908" s="74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</row>
    <row r="909">
      <c r="A909" s="25"/>
      <c r="B909" s="25"/>
      <c r="C909" s="25"/>
      <c r="D909" s="25"/>
      <c r="E909" s="25"/>
      <c r="F909" s="74"/>
      <c r="G909" s="76"/>
      <c r="H909" s="76"/>
      <c r="I909" s="76"/>
      <c r="J909" s="25"/>
      <c r="K909" s="25"/>
      <c r="L909" s="76"/>
      <c r="M909" s="25"/>
      <c r="N909" s="25"/>
      <c r="O909" s="74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</row>
    <row r="910">
      <c r="A910" s="25"/>
      <c r="B910" s="25"/>
      <c r="C910" s="25"/>
      <c r="D910" s="25"/>
      <c r="E910" s="25"/>
      <c r="F910" s="74"/>
      <c r="G910" s="76"/>
      <c r="H910" s="76"/>
      <c r="I910" s="76"/>
      <c r="J910" s="25"/>
      <c r="K910" s="25"/>
      <c r="L910" s="76"/>
      <c r="M910" s="25"/>
      <c r="N910" s="25"/>
      <c r="O910" s="74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</row>
    <row r="911">
      <c r="A911" s="25"/>
      <c r="B911" s="25"/>
      <c r="C911" s="25"/>
      <c r="D911" s="25"/>
      <c r="E911" s="25"/>
      <c r="F911" s="74"/>
      <c r="G911" s="76"/>
      <c r="H911" s="76"/>
      <c r="I911" s="76"/>
      <c r="J911" s="25"/>
      <c r="K911" s="25"/>
      <c r="L911" s="76"/>
      <c r="M911" s="25"/>
      <c r="N911" s="25"/>
      <c r="O911" s="74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</row>
    <row r="912">
      <c r="A912" s="25"/>
      <c r="B912" s="25"/>
      <c r="C912" s="25"/>
      <c r="D912" s="25"/>
      <c r="E912" s="25"/>
      <c r="F912" s="74"/>
      <c r="G912" s="76"/>
      <c r="H912" s="76"/>
      <c r="I912" s="76"/>
      <c r="J912" s="25"/>
      <c r="K912" s="25"/>
      <c r="L912" s="76"/>
      <c r="M912" s="25"/>
      <c r="N912" s="25"/>
      <c r="O912" s="74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</row>
    <row r="913">
      <c r="A913" s="25"/>
      <c r="B913" s="25"/>
      <c r="C913" s="25"/>
      <c r="D913" s="25"/>
      <c r="E913" s="25"/>
      <c r="F913" s="74"/>
      <c r="G913" s="76"/>
      <c r="H913" s="76"/>
      <c r="I913" s="76"/>
      <c r="J913" s="25"/>
      <c r="K913" s="25"/>
      <c r="L913" s="76"/>
      <c r="M913" s="25"/>
      <c r="N913" s="25"/>
      <c r="O913" s="74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</row>
    <row r="914">
      <c r="A914" s="25"/>
      <c r="B914" s="25"/>
      <c r="C914" s="25"/>
      <c r="D914" s="25"/>
      <c r="E914" s="25"/>
      <c r="F914" s="74"/>
      <c r="G914" s="76"/>
      <c r="H914" s="76"/>
      <c r="I914" s="76"/>
      <c r="J914" s="25"/>
      <c r="K914" s="25"/>
      <c r="L914" s="76"/>
      <c r="M914" s="25"/>
      <c r="N914" s="25"/>
      <c r="O914" s="74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</row>
    <row r="915">
      <c r="A915" s="25"/>
      <c r="B915" s="25"/>
      <c r="C915" s="25"/>
      <c r="D915" s="25"/>
      <c r="E915" s="25"/>
      <c r="F915" s="74"/>
      <c r="G915" s="76"/>
      <c r="H915" s="76"/>
      <c r="I915" s="76"/>
      <c r="J915" s="25"/>
      <c r="K915" s="25"/>
      <c r="L915" s="76"/>
      <c r="M915" s="25"/>
      <c r="N915" s="25"/>
      <c r="O915" s="74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</row>
    <row r="916">
      <c r="A916" s="25"/>
      <c r="B916" s="25"/>
      <c r="C916" s="25"/>
      <c r="D916" s="25"/>
      <c r="E916" s="25"/>
      <c r="F916" s="74"/>
      <c r="G916" s="76"/>
      <c r="H916" s="76"/>
      <c r="I916" s="76"/>
      <c r="J916" s="25"/>
      <c r="K916" s="25"/>
      <c r="L916" s="76"/>
      <c r="M916" s="25"/>
      <c r="N916" s="25"/>
      <c r="O916" s="74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</row>
    <row r="917">
      <c r="A917" s="25"/>
      <c r="B917" s="25"/>
      <c r="C917" s="25"/>
      <c r="D917" s="25"/>
      <c r="E917" s="25"/>
      <c r="F917" s="74"/>
      <c r="G917" s="76"/>
      <c r="H917" s="76"/>
      <c r="I917" s="76"/>
      <c r="J917" s="25"/>
      <c r="K917" s="25"/>
      <c r="L917" s="76"/>
      <c r="M917" s="25"/>
      <c r="N917" s="25"/>
      <c r="O917" s="74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</row>
    <row r="918">
      <c r="A918" s="25"/>
      <c r="B918" s="25"/>
      <c r="C918" s="25"/>
      <c r="D918" s="25"/>
      <c r="E918" s="25"/>
      <c r="F918" s="74"/>
      <c r="G918" s="76"/>
      <c r="H918" s="76"/>
      <c r="I918" s="76"/>
      <c r="J918" s="25"/>
      <c r="K918" s="25"/>
      <c r="L918" s="76"/>
      <c r="M918" s="25"/>
      <c r="N918" s="25"/>
      <c r="O918" s="74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</row>
    <row r="919">
      <c r="A919" s="25"/>
      <c r="B919" s="25"/>
      <c r="C919" s="25"/>
      <c r="D919" s="25"/>
      <c r="E919" s="25"/>
      <c r="F919" s="74"/>
      <c r="G919" s="76"/>
      <c r="H919" s="76"/>
      <c r="I919" s="76"/>
      <c r="J919" s="25"/>
      <c r="K919" s="25"/>
      <c r="L919" s="76"/>
      <c r="M919" s="25"/>
      <c r="N919" s="25"/>
      <c r="O919" s="74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</row>
    <row r="920">
      <c r="A920" s="25"/>
      <c r="B920" s="25"/>
      <c r="C920" s="25"/>
      <c r="D920" s="25"/>
      <c r="E920" s="25"/>
      <c r="F920" s="74"/>
      <c r="G920" s="76"/>
      <c r="H920" s="76"/>
      <c r="I920" s="76"/>
      <c r="J920" s="25"/>
      <c r="K920" s="25"/>
      <c r="L920" s="76"/>
      <c r="M920" s="25"/>
      <c r="N920" s="25"/>
      <c r="O920" s="74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</row>
    <row r="921">
      <c r="A921" s="25"/>
      <c r="B921" s="25"/>
      <c r="C921" s="25"/>
      <c r="D921" s="25"/>
      <c r="E921" s="25"/>
      <c r="F921" s="74"/>
      <c r="G921" s="76"/>
      <c r="H921" s="76"/>
      <c r="I921" s="76"/>
      <c r="J921" s="25"/>
      <c r="K921" s="25"/>
      <c r="L921" s="76"/>
      <c r="M921" s="25"/>
      <c r="N921" s="25"/>
      <c r="O921" s="74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</row>
    <row r="922">
      <c r="A922" s="25"/>
      <c r="B922" s="25"/>
      <c r="C922" s="25"/>
      <c r="D922" s="25"/>
      <c r="E922" s="25"/>
      <c r="F922" s="74"/>
      <c r="G922" s="76"/>
      <c r="H922" s="76"/>
      <c r="I922" s="76"/>
      <c r="J922" s="25"/>
      <c r="K922" s="25"/>
      <c r="L922" s="76"/>
      <c r="M922" s="25"/>
      <c r="N922" s="25"/>
      <c r="O922" s="74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</row>
    <row r="923">
      <c r="A923" s="25"/>
      <c r="B923" s="25"/>
      <c r="C923" s="25"/>
      <c r="D923" s="25"/>
      <c r="E923" s="25"/>
      <c r="F923" s="74"/>
      <c r="G923" s="76"/>
      <c r="H923" s="76"/>
      <c r="I923" s="76"/>
      <c r="J923" s="25"/>
      <c r="K923" s="25"/>
      <c r="L923" s="76"/>
      <c r="M923" s="25"/>
      <c r="N923" s="25"/>
      <c r="O923" s="74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</row>
    <row r="924">
      <c r="A924" s="25"/>
      <c r="B924" s="25"/>
      <c r="C924" s="25"/>
      <c r="D924" s="25"/>
      <c r="E924" s="25"/>
      <c r="F924" s="74"/>
      <c r="G924" s="76"/>
      <c r="H924" s="76"/>
      <c r="I924" s="76"/>
      <c r="J924" s="25"/>
      <c r="K924" s="25"/>
      <c r="L924" s="76"/>
      <c r="M924" s="25"/>
      <c r="N924" s="25"/>
      <c r="O924" s="74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</row>
    <row r="925">
      <c r="A925" s="25"/>
      <c r="B925" s="25"/>
      <c r="C925" s="25"/>
      <c r="D925" s="25"/>
      <c r="E925" s="25"/>
      <c r="F925" s="74"/>
      <c r="G925" s="76"/>
      <c r="H925" s="76"/>
      <c r="I925" s="76"/>
      <c r="J925" s="25"/>
      <c r="K925" s="25"/>
      <c r="L925" s="76"/>
      <c r="M925" s="25"/>
      <c r="N925" s="25"/>
      <c r="O925" s="74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</row>
    <row r="926">
      <c r="A926" s="25"/>
      <c r="B926" s="25"/>
      <c r="C926" s="25"/>
      <c r="D926" s="25"/>
      <c r="E926" s="25"/>
      <c r="F926" s="74"/>
      <c r="G926" s="76"/>
      <c r="H926" s="76"/>
      <c r="I926" s="76"/>
      <c r="J926" s="25"/>
      <c r="K926" s="25"/>
      <c r="L926" s="76"/>
      <c r="M926" s="25"/>
      <c r="N926" s="25"/>
      <c r="O926" s="74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</row>
    <row r="927">
      <c r="A927" s="25"/>
      <c r="B927" s="25"/>
      <c r="C927" s="25"/>
      <c r="D927" s="25"/>
      <c r="E927" s="25"/>
      <c r="F927" s="74"/>
      <c r="G927" s="76"/>
      <c r="H927" s="76"/>
      <c r="I927" s="76"/>
      <c r="J927" s="25"/>
      <c r="K927" s="25"/>
      <c r="L927" s="76"/>
      <c r="M927" s="25"/>
      <c r="N927" s="25"/>
      <c r="O927" s="74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</row>
    <row r="928">
      <c r="A928" s="25"/>
      <c r="B928" s="25"/>
      <c r="C928" s="25"/>
      <c r="D928" s="25"/>
      <c r="E928" s="25"/>
      <c r="F928" s="74"/>
      <c r="G928" s="76"/>
      <c r="H928" s="76"/>
      <c r="I928" s="76"/>
      <c r="J928" s="25"/>
      <c r="K928" s="25"/>
      <c r="L928" s="76"/>
      <c r="M928" s="25"/>
      <c r="N928" s="25"/>
      <c r="O928" s="74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</row>
    <row r="929">
      <c r="A929" s="25"/>
      <c r="B929" s="25"/>
      <c r="C929" s="25"/>
      <c r="D929" s="25"/>
      <c r="E929" s="25"/>
      <c r="F929" s="74"/>
      <c r="G929" s="76"/>
      <c r="H929" s="76"/>
      <c r="I929" s="76"/>
      <c r="J929" s="25"/>
      <c r="K929" s="25"/>
      <c r="L929" s="76"/>
      <c r="M929" s="25"/>
      <c r="N929" s="25"/>
      <c r="O929" s="74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</row>
    <row r="930">
      <c r="A930" s="25"/>
      <c r="B930" s="25"/>
      <c r="C930" s="25"/>
      <c r="D930" s="25"/>
      <c r="E930" s="25"/>
      <c r="F930" s="74"/>
      <c r="G930" s="76"/>
      <c r="H930" s="76"/>
      <c r="I930" s="76"/>
      <c r="J930" s="25"/>
      <c r="K930" s="25"/>
      <c r="L930" s="76"/>
      <c r="M930" s="25"/>
      <c r="N930" s="25"/>
      <c r="O930" s="74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</row>
    <row r="931">
      <c r="A931" s="25"/>
      <c r="B931" s="25"/>
      <c r="C931" s="25"/>
      <c r="D931" s="25"/>
      <c r="E931" s="25"/>
      <c r="F931" s="74"/>
      <c r="G931" s="76"/>
      <c r="H931" s="76"/>
      <c r="I931" s="76"/>
      <c r="J931" s="25"/>
      <c r="K931" s="25"/>
      <c r="L931" s="76"/>
      <c r="M931" s="25"/>
      <c r="N931" s="25"/>
      <c r="O931" s="74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</row>
    <row r="932">
      <c r="A932" s="25"/>
      <c r="B932" s="25"/>
      <c r="C932" s="25"/>
      <c r="D932" s="25"/>
      <c r="E932" s="25"/>
      <c r="F932" s="74"/>
      <c r="G932" s="76"/>
      <c r="H932" s="76"/>
      <c r="I932" s="76"/>
      <c r="J932" s="25"/>
      <c r="K932" s="25"/>
      <c r="L932" s="76"/>
      <c r="M932" s="25"/>
      <c r="N932" s="25"/>
      <c r="O932" s="74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</row>
    <row r="933">
      <c r="A933" s="25"/>
      <c r="B933" s="25"/>
      <c r="C933" s="25"/>
      <c r="D933" s="25"/>
      <c r="E933" s="25"/>
      <c r="F933" s="74"/>
      <c r="G933" s="76"/>
      <c r="H933" s="76"/>
      <c r="I933" s="76"/>
      <c r="J933" s="25"/>
      <c r="K933" s="25"/>
      <c r="L933" s="76"/>
      <c r="M933" s="25"/>
      <c r="N933" s="25"/>
      <c r="O933" s="74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</row>
    <row r="934">
      <c r="A934" s="25"/>
      <c r="B934" s="25"/>
      <c r="C934" s="25"/>
      <c r="D934" s="25"/>
      <c r="E934" s="25"/>
      <c r="F934" s="74"/>
      <c r="G934" s="76"/>
      <c r="H934" s="76"/>
      <c r="I934" s="76"/>
      <c r="J934" s="25"/>
      <c r="K934" s="25"/>
      <c r="L934" s="76"/>
      <c r="M934" s="25"/>
      <c r="N934" s="25"/>
      <c r="O934" s="74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</row>
    <row r="935">
      <c r="A935" s="25"/>
      <c r="B935" s="25"/>
      <c r="C935" s="25"/>
      <c r="D935" s="25"/>
      <c r="E935" s="25"/>
      <c r="F935" s="74"/>
      <c r="G935" s="76"/>
      <c r="H935" s="76"/>
      <c r="I935" s="76"/>
      <c r="J935" s="25"/>
      <c r="K935" s="25"/>
      <c r="L935" s="76"/>
      <c r="M935" s="25"/>
      <c r="N935" s="25"/>
      <c r="O935" s="74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</row>
    <row r="936">
      <c r="A936" s="25"/>
      <c r="B936" s="25"/>
      <c r="C936" s="25"/>
      <c r="D936" s="25"/>
      <c r="E936" s="25"/>
      <c r="F936" s="74"/>
      <c r="G936" s="76"/>
      <c r="H936" s="76"/>
      <c r="I936" s="76"/>
      <c r="J936" s="25"/>
      <c r="K936" s="25"/>
      <c r="L936" s="76"/>
      <c r="M936" s="25"/>
      <c r="N936" s="25"/>
      <c r="O936" s="74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</row>
    <row r="937">
      <c r="A937" s="25"/>
      <c r="B937" s="25"/>
      <c r="C937" s="25"/>
      <c r="D937" s="25"/>
      <c r="E937" s="25"/>
      <c r="F937" s="74"/>
      <c r="G937" s="76"/>
      <c r="H937" s="76"/>
      <c r="I937" s="76"/>
      <c r="J937" s="25"/>
      <c r="K937" s="25"/>
      <c r="L937" s="76"/>
      <c r="M937" s="25"/>
      <c r="N937" s="25"/>
      <c r="O937" s="74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</row>
    <row r="938">
      <c r="A938" s="25"/>
      <c r="B938" s="25"/>
      <c r="C938" s="25"/>
      <c r="D938" s="25"/>
      <c r="E938" s="25"/>
      <c r="F938" s="74"/>
      <c r="G938" s="76"/>
      <c r="H938" s="76"/>
      <c r="I938" s="76"/>
      <c r="J938" s="25"/>
      <c r="K938" s="25"/>
      <c r="L938" s="76"/>
      <c r="M938" s="25"/>
      <c r="N938" s="25"/>
      <c r="O938" s="74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</row>
    <row r="939">
      <c r="A939" s="25"/>
      <c r="B939" s="25"/>
      <c r="C939" s="25"/>
      <c r="D939" s="25"/>
      <c r="E939" s="25"/>
      <c r="F939" s="74"/>
      <c r="G939" s="76"/>
      <c r="H939" s="76"/>
      <c r="I939" s="76"/>
      <c r="J939" s="25"/>
      <c r="K939" s="25"/>
      <c r="L939" s="76"/>
      <c r="M939" s="25"/>
      <c r="N939" s="25"/>
      <c r="O939" s="74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</row>
    <row r="940">
      <c r="A940" s="25"/>
      <c r="B940" s="25"/>
      <c r="C940" s="25"/>
      <c r="D940" s="25"/>
      <c r="E940" s="25"/>
      <c r="F940" s="74"/>
      <c r="G940" s="76"/>
      <c r="H940" s="76"/>
      <c r="I940" s="76"/>
      <c r="J940" s="25"/>
      <c r="K940" s="25"/>
      <c r="L940" s="76"/>
      <c r="M940" s="25"/>
      <c r="N940" s="25"/>
      <c r="O940" s="74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</row>
    <row r="941">
      <c r="A941" s="25"/>
      <c r="B941" s="25"/>
      <c r="C941" s="25"/>
      <c r="D941" s="25"/>
      <c r="E941" s="25"/>
      <c r="F941" s="74"/>
      <c r="G941" s="76"/>
      <c r="H941" s="76"/>
      <c r="I941" s="76"/>
      <c r="J941" s="25"/>
      <c r="K941" s="25"/>
      <c r="L941" s="76"/>
      <c r="M941" s="25"/>
      <c r="N941" s="25"/>
      <c r="O941" s="74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</row>
    <row r="942">
      <c r="A942" s="25"/>
      <c r="B942" s="25"/>
      <c r="C942" s="25"/>
      <c r="D942" s="25"/>
      <c r="E942" s="25"/>
      <c r="F942" s="74"/>
      <c r="G942" s="76"/>
      <c r="H942" s="76"/>
      <c r="I942" s="76"/>
      <c r="J942" s="25"/>
      <c r="K942" s="25"/>
      <c r="L942" s="76"/>
      <c r="M942" s="25"/>
      <c r="N942" s="25"/>
      <c r="O942" s="74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</row>
    <row r="943">
      <c r="A943" s="25"/>
      <c r="B943" s="25"/>
      <c r="C943" s="25"/>
      <c r="D943" s="25"/>
      <c r="E943" s="25"/>
      <c r="F943" s="74"/>
      <c r="G943" s="76"/>
      <c r="H943" s="76"/>
      <c r="I943" s="76"/>
      <c r="J943" s="25"/>
      <c r="K943" s="25"/>
      <c r="L943" s="76"/>
      <c r="M943" s="25"/>
      <c r="N943" s="25"/>
      <c r="O943" s="74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</row>
    <row r="944">
      <c r="A944" s="25"/>
      <c r="B944" s="25"/>
      <c r="C944" s="25"/>
      <c r="D944" s="25"/>
      <c r="E944" s="25"/>
      <c r="F944" s="74"/>
      <c r="G944" s="76"/>
      <c r="H944" s="76"/>
      <c r="I944" s="76"/>
      <c r="J944" s="25"/>
      <c r="K944" s="25"/>
      <c r="L944" s="76"/>
      <c r="M944" s="25"/>
      <c r="N944" s="25"/>
      <c r="O944" s="74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</row>
    <row r="945">
      <c r="A945" s="25"/>
      <c r="B945" s="25"/>
      <c r="C945" s="25"/>
      <c r="D945" s="25"/>
      <c r="E945" s="25"/>
      <c r="F945" s="74"/>
      <c r="G945" s="76"/>
      <c r="H945" s="76"/>
      <c r="I945" s="76"/>
      <c r="J945" s="25"/>
      <c r="K945" s="25"/>
      <c r="L945" s="76"/>
      <c r="M945" s="25"/>
      <c r="N945" s="25"/>
      <c r="O945" s="74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</row>
    <row r="946">
      <c r="A946" s="25"/>
      <c r="B946" s="25"/>
      <c r="C946" s="25"/>
      <c r="D946" s="25"/>
      <c r="E946" s="25"/>
      <c r="F946" s="74"/>
      <c r="G946" s="76"/>
      <c r="H946" s="76"/>
      <c r="I946" s="76"/>
      <c r="J946" s="25"/>
      <c r="K946" s="25"/>
      <c r="L946" s="76"/>
      <c r="M946" s="25"/>
      <c r="N946" s="25"/>
      <c r="O946" s="74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</row>
    <row r="947">
      <c r="A947" s="25"/>
      <c r="B947" s="25"/>
      <c r="C947" s="25"/>
      <c r="D947" s="25"/>
      <c r="E947" s="25"/>
      <c r="F947" s="74"/>
      <c r="G947" s="76"/>
      <c r="H947" s="76"/>
      <c r="I947" s="76"/>
      <c r="J947" s="25"/>
      <c r="K947" s="25"/>
      <c r="L947" s="76"/>
      <c r="M947" s="25"/>
      <c r="N947" s="25"/>
      <c r="O947" s="74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</row>
    <row r="948">
      <c r="A948" s="25"/>
      <c r="B948" s="25"/>
      <c r="C948" s="25"/>
      <c r="D948" s="25"/>
      <c r="E948" s="25"/>
      <c r="F948" s="74"/>
      <c r="G948" s="76"/>
      <c r="H948" s="76"/>
      <c r="I948" s="76"/>
      <c r="J948" s="25"/>
      <c r="K948" s="25"/>
      <c r="L948" s="76"/>
      <c r="M948" s="25"/>
      <c r="N948" s="25"/>
      <c r="O948" s="74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</row>
    <row r="949">
      <c r="A949" s="25"/>
      <c r="B949" s="25"/>
      <c r="C949" s="25"/>
      <c r="D949" s="25"/>
      <c r="E949" s="25"/>
      <c r="F949" s="74"/>
      <c r="G949" s="76"/>
      <c r="H949" s="76"/>
      <c r="I949" s="76"/>
      <c r="J949" s="25"/>
      <c r="K949" s="25"/>
      <c r="L949" s="76"/>
      <c r="M949" s="25"/>
      <c r="N949" s="25"/>
      <c r="O949" s="74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</row>
    <row r="950">
      <c r="A950" s="25"/>
      <c r="B950" s="25"/>
      <c r="C950" s="25"/>
      <c r="D950" s="25"/>
      <c r="E950" s="25"/>
      <c r="F950" s="74"/>
      <c r="G950" s="76"/>
      <c r="H950" s="76"/>
      <c r="I950" s="76"/>
      <c r="J950" s="25"/>
      <c r="K950" s="25"/>
      <c r="L950" s="76"/>
      <c r="M950" s="25"/>
      <c r="N950" s="25"/>
      <c r="O950" s="74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</row>
    <row r="951">
      <c r="A951" s="25"/>
      <c r="B951" s="25"/>
      <c r="C951" s="25"/>
      <c r="D951" s="25"/>
      <c r="E951" s="25"/>
      <c r="F951" s="74"/>
      <c r="G951" s="76"/>
      <c r="H951" s="76"/>
      <c r="I951" s="76"/>
      <c r="J951" s="25"/>
      <c r="K951" s="25"/>
      <c r="L951" s="76"/>
      <c r="M951" s="25"/>
      <c r="N951" s="25"/>
      <c r="O951" s="74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</row>
    <row r="952">
      <c r="A952" s="25"/>
      <c r="B952" s="25"/>
      <c r="C952" s="25"/>
      <c r="D952" s="25"/>
      <c r="E952" s="25"/>
      <c r="F952" s="74"/>
      <c r="G952" s="76"/>
      <c r="H952" s="76"/>
      <c r="I952" s="76"/>
      <c r="J952" s="25"/>
      <c r="K952" s="25"/>
      <c r="L952" s="76"/>
      <c r="M952" s="25"/>
      <c r="N952" s="25"/>
      <c r="O952" s="74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</row>
    <row r="953">
      <c r="A953" s="25"/>
      <c r="B953" s="25"/>
      <c r="C953" s="25"/>
      <c r="D953" s="25"/>
      <c r="E953" s="25"/>
      <c r="F953" s="74"/>
      <c r="G953" s="76"/>
      <c r="H953" s="76"/>
      <c r="I953" s="76"/>
      <c r="J953" s="25"/>
      <c r="K953" s="25"/>
      <c r="L953" s="76"/>
      <c r="M953" s="25"/>
      <c r="N953" s="25"/>
      <c r="O953" s="74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</row>
    <row r="954">
      <c r="A954" s="25"/>
      <c r="B954" s="25"/>
      <c r="C954" s="25"/>
      <c r="D954" s="25"/>
      <c r="E954" s="25"/>
      <c r="F954" s="74"/>
      <c r="G954" s="76"/>
      <c r="H954" s="76"/>
      <c r="I954" s="76"/>
      <c r="J954" s="25"/>
      <c r="K954" s="25"/>
      <c r="L954" s="76"/>
      <c r="M954" s="25"/>
      <c r="N954" s="25"/>
      <c r="O954" s="74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</row>
    <row r="955">
      <c r="A955" s="25"/>
      <c r="B955" s="25"/>
      <c r="C955" s="25"/>
      <c r="D955" s="25"/>
      <c r="E955" s="25"/>
      <c r="F955" s="74"/>
      <c r="G955" s="76"/>
      <c r="H955" s="76"/>
      <c r="I955" s="76"/>
      <c r="J955" s="25"/>
      <c r="K955" s="25"/>
      <c r="L955" s="76"/>
      <c r="M955" s="25"/>
      <c r="N955" s="25"/>
      <c r="O955" s="74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</row>
    <row r="956">
      <c r="A956" s="25"/>
      <c r="B956" s="25"/>
      <c r="C956" s="25"/>
      <c r="D956" s="25"/>
      <c r="E956" s="25"/>
      <c r="F956" s="74"/>
      <c r="G956" s="76"/>
      <c r="H956" s="76"/>
      <c r="I956" s="76"/>
      <c r="J956" s="25"/>
      <c r="K956" s="25"/>
      <c r="L956" s="76"/>
      <c r="M956" s="25"/>
      <c r="N956" s="25"/>
      <c r="O956" s="74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</row>
    <row r="957">
      <c r="A957" s="25"/>
      <c r="B957" s="25"/>
      <c r="C957" s="25"/>
      <c r="D957" s="25"/>
      <c r="E957" s="25"/>
      <c r="F957" s="74"/>
      <c r="G957" s="76"/>
      <c r="H957" s="76"/>
      <c r="I957" s="76"/>
      <c r="J957" s="25"/>
      <c r="K957" s="25"/>
      <c r="L957" s="76"/>
      <c r="M957" s="25"/>
      <c r="N957" s="25"/>
      <c r="O957" s="74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</row>
    <row r="958">
      <c r="A958" s="25"/>
      <c r="B958" s="25"/>
      <c r="C958" s="25"/>
      <c r="D958" s="25"/>
      <c r="E958" s="25"/>
      <c r="F958" s="74"/>
      <c r="G958" s="76"/>
      <c r="H958" s="76"/>
      <c r="I958" s="76"/>
      <c r="J958" s="25"/>
      <c r="K958" s="25"/>
      <c r="L958" s="76"/>
      <c r="M958" s="25"/>
      <c r="N958" s="25"/>
      <c r="O958" s="74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</row>
    <row r="959">
      <c r="A959" s="25"/>
      <c r="B959" s="25"/>
      <c r="C959" s="25"/>
      <c r="D959" s="25"/>
      <c r="E959" s="25"/>
      <c r="F959" s="74"/>
      <c r="G959" s="76"/>
      <c r="H959" s="76"/>
      <c r="I959" s="76"/>
      <c r="J959" s="25"/>
      <c r="K959" s="25"/>
      <c r="L959" s="76"/>
      <c r="M959" s="25"/>
      <c r="N959" s="25"/>
      <c r="O959" s="74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</row>
    <row r="960">
      <c r="A960" s="25"/>
      <c r="B960" s="25"/>
      <c r="C960" s="25"/>
      <c r="D960" s="25"/>
      <c r="E960" s="25"/>
      <c r="F960" s="74"/>
      <c r="G960" s="76"/>
      <c r="H960" s="76"/>
      <c r="I960" s="76"/>
      <c r="J960" s="25"/>
      <c r="K960" s="25"/>
      <c r="L960" s="76"/>
      <c r="M960" s="25"/>
      <c r="N960" s="25"/>
      <c r="O960" s="74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</row>
    <row r="961">
      <c r="A961" s="25"/>
      <c r="B961" s="25"/>
      <c r="C961" s="25"/>
      <c r="D961" s="25"/>
      <c r="E961" s="25"/>
      <c r="F961" s="74"/>
      <c r="G961" s="76"/>
      <c r="H961" s="76"/>
      <c r="I961" s="76"/>
      <c r="J961" s="25"/>
      <c r="K961" s="25"/>
      <c r="L961" s="76"/>
      <c r="M961" s="25"/>
      <c r="N961" s="25"/>
      <c r="O961" s="74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</row>
    <row r="962">
      <c r="A962" s="25"/>
      <c r="B962" s="25"/>
      <c r="C962" s="25"/>
      <c r="D962" s="25"/>
      <c r="E962" s="25"/>
      <c r="F962" s="74"/>
      <c r="G962" s="76"/>
      <c r="H962" s="76"/>
      <c r="I962" s="76"/>
      <c r="J962" s="25"/>
      <c r="K962" s="25"/>
      <c r="L962" s="76"/>
      <c r="M962" s="25"/>
      <c r="N962" s="25"/>
      <c r="O962" s="74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</row>
    <row r="963">
      <c r="A963" s="25"/>
      <c r="B963" s="25"/>
      <c r="C963" s="25"/>
      <c r="D963" s="25"/>
      <c r="E963" s="25"/>
      <c r="F963" s="74"/>
      <c r="G963" s="76"/>
      <c r="H963" s="76"/>
      <c r="I963" s="76"/>
      <c r="J963" s="25"/>
      <c r="K963" s="25"/>
      <c r="L963" s="76"/>
      <c r="M963" s="25"/>
      <c r="N963" s="25"/>
      <c r="O963" s="74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</row>
    <row r="964">
      <c r="A964" s="25"/>
      <c r="B964" s="25"/>
      <c r="C964" s="25"/>
      <c r="D964" s="25"/>
      <c r="E964" s="25"/>
      <c r="F964" s="74"/>
      <c r="G964" s="76"/>
      <c r="H964" s="76"/>
      <c r="I964" s="76"/>
      <c r="J964" s="25"/>
      <c r="K964" s="25"/>
      <c r="L964" s="76"/>
      <c r="M964" s="25"/>
      <c r="N964" s="25"/>
      <c r="O964" s="74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</row>
    <row r="965">
      <c r="A965" s="25"/>
      <c r="B965" s="25"/>
      <c r="C965" s="25"/>
      <c r="D965" s="25"/>
      <c r="E965" s="25"/>
      <c r="F965" s="74"/>
      <c r="G965" s="76"/>
      <c r="H965" s="76"/>
      <c r="I965" s="76"/>
      <c r="J965" s="25"/>
      <c r="K965" s="25"/>
      <c r="L965" s="76"/>
      <c r="M965" s="25"/>
      <c r="N965" s="25"/>
      <c r="O965" s="74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</row>
    <row r="966">
      <c r="A966" s="25"/>
      <c r="B966" s="25"/>
      <c r="C966" s="25"/>
      <c r="D966" s="25"/>
      <c r="E966" s="25"/>
      <c r="F966" s="74"/>
      <c r="G966" s="76"/>
      <c r="H966" s="76"/>
      <c r="I966" s="76"/>
      <c r="J966" s="25"/>
      <c r="K966" s="25"/>
      <c r="L966" s="76"/>
      <c r="M966" s="25"/>
      <c r="N966" s="25"/>
      <c r="O966" s="74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</row>
    <row r="967">
      <c r="A967" s="25"/>
      <c r="B967" s="25"/>
      <c r="C967" s="25"/>
      <c r="D967" s="25"/>
      <c r="E967" s="25"/>
      <c r="F967" s="74"/>
      <c r="G967" s="76"/>
      <c r="H967" s="76"/>
      <c r="I967" s="76"/>
      <c r="J967" s="25"/>
      <c r="K967" s="25"/>
      <c r="L967" s="76"/>
      <c r="M967" s="25"/>
      <c r="N967" s="25"/>
      <c r="O967" s="74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</row>
    <row r="968">
      <c r="A968" s="25"/>
      <c r="B968" s="25"/>
      <c r="C968" s="25"/>
      <c r="D968" s="25"/>
      <c r="E968" s="25"/>
      <c r="F968" s="74"/>
      <c r="G968" s="76"/>
      <c r="H968" s="76"/>
      <c r="I968" s="76"/>
      <c r="J968" s="25"/>
      <c r="K968" s="25"/>
      <c r="L968" s="76"/>
      <c r="M968" s="25"/>
      <c r="N968" s="25"/>
      <c r="O968" s="74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</row>
    <row r="969">
      <c r="A969" s="25"/>
      <c r="B969" s="25"/>
      <c r="C969" s="25"/>
      <c r="D969" s="25"/>
      <c r="E969" s="25"/>
      <c r="F969" s="74"/>
      <c r="G969" s="76"/>
      <c r="H969" s="76"/>
      <c r="I969" s="76"/>
      <c r="J969" s="25"/>
      <c r="K969" s="25"/>
      <c r="L969" s="76"/>
      <c r="M969" s="25"/>
      <c r="N969" s="25"/>
      <c r="O969" s="74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</row>
    <row r="970">
      <c r="A970" s="25"/>
      <c r="B970" s="25"/>
      <c r="C970" s="25"/>
      <c r="D970" s="25"/>
      <c r="E970" s="25"/>
      <c r="F970" s="74"/>
      <c r="G970" s="76"/>
      <c r="H970" s="76"/>
      <c r="I970" s="76"/>
      <c r="J970" s="25"/>
      <c r="K970" s="25"/>
      <c r="L970" s="76"/>
      <c r="M970" s="25"/>
      <c r="N970" s="25"/>
      <c r="O970" s="74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</row>
    <row r="971">
      <c r="A971" s="25"/>
      <c r="B971" s="25"/>
      <c r="C971" s="25"/>
      <c r="D971" s="25"/>
      <c r="E971" s="25"/>
      <c r="F971" s="74"/>
      <c r="G971" s="76"/>
      <c r="H971" s="76"/>
      <c r="I971" s="76"/>
      <c r="J971" s="25"/>
      <c r="K971" s="25"/>
      <c r="L971" s="76"/>
      <c r="M971" s="25"/>
      <c r="N971" s="25"/>
      <c r="O971" s="74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</row>
    <row r="972">
      <c r="A972" s="25"/>
      <c r="B972" s="25"/>
      <c r="C972" s="25"/>
      <c r="D972" s="25"/>
      <c r="E972" s="25"/>
      <c r="F972" s="74"/>
      <c r="G972" s="76"/>
      <c r="H972" s="76"/>
      <c r="I972" s="76"/>
      <c r="J972" s="25"/>
      <c r="K972" s="25"/>
      <c r="L972" s="76"/>
      <c r="M972" s="25"/>
      <c r="N972" s="25"/>
      <c r="O972" s="74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</row>
    <row r="973">
      <c r="A973" s="25"/>
      <c r="B973" s="25"/>
      <c r="C973" s="25"/>
      <c r="D973" s="25"/>
      <c r="E973" s="25"/>
      <c r="F973" s="74"/>
      <c r="G973" s="76"/>
      <c r="H973" s="76"/>
      <c r="I973" s="76"/>
      <c r="J973" s="25"/>
      <c r="K973" s="25"/>
      <c r="L973" s="76"/>
      <c r="M973" s="25"/>
      <c r="N973" s="25"/>
      <c r="O973" s="74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</row>
    <row r="974">
      <c r="A974" s="25"/>
      <c r="B974" s="25"/>
      <c r="C974" s="25"/>
      <c r="D974" s="25"/>
      <c r="E974" s="25"/>
      <c r="F974" s="74"/>
      <c r="G974" s="76"/>
      <c r="H974" s="76"/>
      <c r="I974" s="76"/>
      <c r="J974" s="25"/>
      <c r="K974" s="25"/>
      <c r="L974" s="76"/>
      <c r="M974" s="25"/>
      <c r="N974" s="25"/>
      <c r="O974" s="74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</row>
    <row r="975">
      <c r="A975" s="25"/>
      <c r="B975" s="25"/>
      <c r="C975" s="25"/>
      <c r="D975" s="25"/>
      <c r="E975" s="25"/>
      <c r="F975" s="74"/>
      <c r="G975" s="76"/>
      <c r="H975" s="76"/>
      <c r="I975" s="76"/>
      <c r="J975" s="25"/>
      <c r="K975" s="25"/>
      <c r="L975" s="76"/>
      <c r="M975" s="25"/>
      <c r="N975" s="25"/>
      <c r="O975" s="74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</row>
    <row r="976">
      <c r="A976" s="25"/>
      <c r="B976" s="25"/>
      <c r="C976" s="25"/>
      <c r="D976" s="25"/>
      <c r="E976" s="25"/>
      <c r="F976" s="74"/>
      <c r="G976" s="76"/>
      <c r="H976" s="76"/>
      <c r="I976" s="76"/>
      <c r="J976" s="25"/>
      <c r="K976" s="25"/>
      <c r="L976" s="76"/>
      <c r="M976" s="25"/>
      <c r="N976" s="25"/>
      <c r="O976" s="74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</row>
    <row r="977">
      <c r="A977" s="25"/>
      <c r="B977" s="25"/>
      <c r="C977" s="25"/>
      <c r="D977" s="25"/>
      <c r="E977" s="25"/>
      <c r="F977" s="74"/>
      <c r="G977" s="76"/>
      <c r="H977" s="76"/>
      <c r="I977" s="76"/>
      <c r="J977" s="25"/>
      <c r="K977" s="25"/>
      <c r="L977" s="76"/>
      <c r="M977" s="25"/>
      <c r="N977" s="25"/>
      <c r="O977" s="74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</row>
    <row r="978">
      <c r="A978" s="25"/>
      <c r="B978" s="25"/>
      <c r="C978" s="25"/>
      <c r="D978" s="25"/>
      <c r="E978" s="25"/>
      <c r="F978" s="74"/>
      <c r="G978" s="76"/>
      <c r="H978" s="76"/>
      <c r="I978" s="76"/>
      <c r="J978" s="25"/>
      <c r="K978" s="25"/>
      <c r="L978" s="76"/>
      <c r="M978" s="25"/>
      <c r="N978" s="25"/>
      <c r="O978" s="74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</row>
    <row r="979">
      <c r="A979" s="25"/>
      <c r="B979" s="25"/>
      <c r="C979" s="25"/>
      <c r="D979" s="25"/>
      <c r="E979" s="25"/>
      <c r="F979" s="74"/>
      <c r="G979" s="76"/>
      <c r="H979" s="76"/>
      <c r="I979" s="76"/>
      <c r="J979" s="25"/>
      <c r="K979" s="25"/>
      <c r="L979" s="76"/>
      <c r="M979" s="25"/>
      <c r="N979" s="25"/>
      <c r="O979" s="74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</row>
    <row r="980">
      <c r="A980" s="25"/>
      <c r="B980" s="25"/>
      <c r="C980" s="25"/>
      <c r="D980" s="25"/>
      <c r="E980" s="25"/>
      <c r="F980" s="74"/>
      <c r="G980" s="76"/>
      <c r="H980" s="76"/>
      <c r="I980" s="76"/>
      <c r="J980" s="25"/>
      <c r="K980" s="25"/>
      <c r="L980" s="76"/>
      <c r="M980" s="25"/>
      <c r="N980" s="25"/>
      <c r="O980" s="74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</row>
    <row r="981">
      <c r="A981" s="25"/>
      <c r="B981" s="25"/>
      <c r="C981" s="25"/>
      <c r="D981" s="25"/>
      <c r="E981" s="25"/>
      <c r="F981" s="74"/>
      <c r="G981" s="76"/>
      <c r="H981" s="76"/>
      <c r="I981" s="76"/>
      <c r="J981" s="25"/>
      <c r="K981" s="25"/>
      <c r="L981" s="76"/>
      <c r="M981" s="25"/>
      <c r="N981" s="25"/>
      <c r="O981" s="74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</row>
    <row r="982">
      <c r="A982" s="25"/>
      <c r="B982" s="25"/>
      <c r="C982" s="25"/>
      <c r="D982" s="25"/>
      <c r="E982" s="25"/>
      <c r="F982" s="74"/>
      <c r="G982" s="76"/>
      <c r="H982" s="76"/>
      <c r="I982" s="76"/>
      <c r="J982" s="25"/>
      <c r="K982" s="25"/>
      <c r="L982" s="76"/>
      <c r="M982" s="25"/>
      <c r="N982" s="25"/>
      <c r="O982" s="74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</row>
    <row r="983">
      <c r="A983" s="25"/>
      <c r="B983" s="25"/>
      <c r="C983" s="25"/>
      <c r="D983" s="25"/>
      <c r="E983" s="25"/>
      <c r="F983" s="74"/>
      <c r="G983" s="76"/>
      <c r="H983" s="76"/>
      <c r="I983" s="76"/>
      <c r="J983" s="25"/>
      <c r="K983" s="25"/>
      <c r="L983" s="76"/>
      <c r="M983" s="25"/>
      <c r="N983" s="25"/>
      <c r="O983" s="74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</row>
    <row r="984">
      <c r="A984" s="25"/>
      <c r="B984" s="25"/>
      <c r="C984" s="25"/>
      <c r="D984" s="25"/>
      <c r="E984" s="25"/>
      <c r="F984" s="74"/>
      <c r="G984" s="76"/>
      <c r="H984" s="76"/>
      <c r="I984" s="76"/>
      <c r="J984" s="25"/>
      <c r="K984" s="25"/>
      <c r="L984" s="76"/>
      <c r="M984" s="25"/>
      <c r="N984" s="25"/>
      <c r="O984" s="74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</row>
    <row r="985">
      <c r="A985" s="25"/>
      <c r="B985" s="25"/>
      <c r="C985" s="25"/>
      <c r="D985" s="25"/>
      <c r="E985" s="25"/>
      <c r="F985" s="74"/>
      <c r="G985" s="76"/>
      <c r="H985" s="76"/>
      <c r="I985" s="76"/>
      <c r="J985" s="25"/>
      <c r="K985" s="25"/>
      <c r="L985" s="76"/>
      <c r="M985" s="25"/>
      <c r="N985" s="25"/>
      <c r="O985" s="74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</row>
    <row r="986">
      <c r="A986" s="25"/>
      <c r="B986" s="25"/>
      <c r="C986" s="25"/>
      <c r="D986" s="25"/>
      <c r="E986" s="25"/>
      <c r="F986" s="74"/>
      <c r="G986" s="76"/>
      <c r="H986" s="76"/>
      <c r="I986" s="76"/>
      <c r="J986" s="25"/>
      <c r="K986" s="25"/>
      <c r="L986" s="76"/>
      <c r="M986" s="25"/>
      <c r="N986" s="25"/>
      <c r="O986" s="74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</row>
  </sheetData>
  <mergeCells count="19">
    <mergeCell ref="O7:O8"/>
    <mergeCell ref="O9:O10"/>
    <mergeCell ref="B7:B8"/>
    <mergeCell ref="C7:C8"/>
    <mergeCell ref="F7:F8"/>
    <mergeCell ref="P7:P8"/>
    <mergeCell ref="B9:B10"/>
    <mergeCell ref="C9:C10"/>
    <mergeCell ref="H9:H10"/>
    <mergeCell ref="P9:P10"/>
    <mergeCell ref="D30:F30"/>
    <mergeCell ref="D31:F31"/>
    <mergeCell ref="F9:F10"/>
    <mergeCell ref="G9:G10"/>
    <mergeCell ref="B16:E16"/>
    <mergeCell ref="B17:B18"/>
    <mergeCell ref="B19:B20"/>
    <mergeCell ref="B28:F28"/>
    <mergeCell ref="D29:F29"/>
  </mergeCells>
  <dataValidations>
    <dataValidation type="list" allowBlank="1" showErrorMessage="1" sqref="G17:G24">
      <formula1>"Hot,Cold"</formula1>
    </dataValidation>
  </dataValidations>
  <hyperlinks>
    <hyperlink r:id="rId1" ref="O3"/>
    <hyperlink r:id="rId2" ref="O4"/>
    <hyperlink r:id="rId3" ref="O6"/>
    <hyperlink r:id="rId4" ref="O7"/>
    <hyperlink r:id="rId5" ref="O9"/>
    <hyperlink r:id="rId6" ref="O12"/>
    <hyperlink r:id="rId7" ref="O13"/>
    <hyperlink r:id="rId8" ref="O14"/>
    <hyperlink r:id="rId9" ref="O20"/>
    <hyperlink r:id="rId10" ref="O22"/>
    <hyperlink r:id="rId11" ref="O24"/>
  </hyperlinks>
  <drawing r:id="rId1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.0"/>
    <col customWidth="1" min="3" max="3" width="12.13"/>
    <col customWidth="1" hidden="1" min="4" max="4" width="24.5"/>
    <col customWidth="1" hidden="1" min="5" max="5" width="29.63"/>
    <col customWidth="1" min="6" max="6" width="53.13"/>
    <col customWidth="1" min="10" max="10" width="39.25"/>
    <col customWidth="1" min="11" max="11" width="39.88"/>
    <col customWidth="1" min="12" max="12" width="31.38"/>
  </cols>
  <sheetData>
    <row r="1" ht="40.5" customHeight="1">
      <c r="A1" s="19"/>
    </row>
    <row r="2">
      <c r="A2" s="19"/>
      <c r="B2" s="129" t="s">
        <v>20</v>
      </c>
      <c r="C2" s="356" t="s">
        <v>22</v>
      </c>
      <c r="D2" s="129" t="s">
        <v>24</v>
      </c>
      <c r="E2" s="129" t="s">
        <v>26</v>
      </c>
      <c r="F2" s="357" t="s">
        <v>28</v>
      </c>
      <c r="G2" s="357" t="s">
        <v>552</v>
      </c>
      <c r="H2" s="358" t="s">
        <v>33</v>
      </c>
      <c r="I2" s="358" t="s">
        <v>36</v>
      </c>
      <c r="J2" s="359" t="s">
        <v>553</v>
      </c>
      <c r="K2" s="360" t="s">
        <v>326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>
      <c r="A3" s="19"/>
      <c r="B3" s="361">
        <v>1.0</v>
      </c>
      <c r="C3" s="361" t="str">
        <f t="shared" ref="C3:C11" si="1">IF(ISNUMBER(B3), "P12" &amp; TEXT(B3, "00"), "")</f>
        <v>P1201</v>
      </c>
      <c r="D3" s="362" t="s">
        <v>554</v>
      </c>
      <c r="E3" s="362" t="s">
        <v>554</v>
      </c>
      <c r="F3" s="284" t="str">
        <f t="shared" ref="F3:F5" si="2">CONCATENATE(E3," - ",D3)</f>
        <v>Chicken Nuggets - Chicken Nuggets</v>
      </c>
      <c r="G3" s="363"/>
      <c r="H3" s="364">
        <v>9.9</v>
      </c>
      <c r="I3" s="285">
        <f t="shared" ref="I3:I14" si="3">LET(v,H3*1.15,
i,INT(v),
d,v-i,
IF(d&lt;=0.2,
i-0.1,
IF(d&lt;=0.7,
i+0.5,
i+0.9)))
</f>
        <v>11.5</v>
      </c>
      <c r="J3" s="365" t="s">
        <v>555</v>
      </c>
      <c r="K3" s="366" t="s">
        <v>556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>
      <c r="A4" s="19"/>
      <c r="B4" s="361">
        <v>2.0</v>
      </c>
      <c r="C4" s="361" t="str">
        <f t="shared" si="1"/>
        <v>P1202</v>
      </c>
      <c r="D4" s="362" t="s">
        <v>557</v>
      </c>
      <c r="E4" s="362" t="s">
        <v>557</v>
      </c>
      <c r="F4" s="284" t="str">
        <f t="shared" si="2"/>
        <v>Bò bía ngọt - Bò bía ngọt</v>
      </c>
      <c r="G4" s="361" t="s">
        <v>558</v>
      </c>
      <c r="H4" s="364">
        <v>7.9</v>
      </c>
      <c r="I4" s="285">
        <f t="shared" si="3"/>
        <v>8.9</v>
      </c>
      <c r="J4" s="365" t="s">
        <v>559</v>
      </c>
      <c r="K4" s="366" t="s">
        <v>560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>
      <c r="A5" s="19"/>
      <c r="B5" s="361">
        <v>3.0</v>
      </c>
      <c r="C5" s="361" t="str">
        <f t="shared" si="1"/>
        <v>P1203</v>
      </c>
      <c r="D5" s="362" t="s">
        <v>561</v>
      </c>
      <c r="E5" s="362" t="s">
        <v>562</v>
      </c>
      <c r="F5" s="284" t="str">
        <f t="shared" si="2"/>
        <v>Pork Sausages - Lạp xưởng</v>
      </c>
      <c r="G5" s="361" t="s">
        <v>563</v>
      </c>
      <c r="H5" s="364">
        <v>14.5</v>
      </c>
      <c r="I5" s="285">
        <f t="shared" si="3"/>
        <v>16.5</v>
      </c>
      <c r="J5" s="365" t="s">
        <v>564</v>
      </c>
      <c r="K5" s="366" t="s">
        <v>565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>
      <c r="A6" s="19"/>
      <c r="B6" s="361">
        <v>4.0</v>
      </c>
      <c r="C6" s="361" t="str">
        <f t="shared" si="1"/>
        <v>P1204</v>
      </c>
      <c r="D6" s="362" t="s">
        <v>566</v>
      </c>
      <c r="E6" s="362" t="s">
        <v>567</v>
      </c>
      <c r="F6" s="367" t="s">
        <v>568</v>
      </c>
      <c r="G6" s="361" t="s">
        <v>569</v>
      </c>
      <c r="H6" s="368">
        <v>9.9</v>
      </c>
      <c r="I6" s="285">
        <f t="shared" si="3"/>
        <v>11.5</v>
      </c>
      <c r="J6" s="365" t="s">
        <v>570</v>
      </c>
      <c r="K6" s="366" t="s">
        <v>571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>
      <c r="A7" s="19"/>
      <c r="B7" s="361">
        <v>5.0</v>
      </c>
      <c r="C7" s="361" t="str">
        <f t="shared" si="1"/>
        <v>P1205</v>
      </c>
      <c r="D7" s="362" t="s">
        <v>572</v>
      </c>
      <c r="E7" s="362" t="s">
        <v>573</v>
      </c>
      <c r="F7" s="284" t="str">
        <f t="shared" ref="F7:F8" si="4">CONCATENATE(E7," - ",D7)</f>
        <v>FISH BALLS MAYO - Cá Viên Mayo</v>
      </c>
      <c r="G7" s="361" t="s">
        <v>574</v>
      </c>
      <c r="H7" s="368">
        <v>13.9</v>
      </c>
      <c r="I7" s="285">
        <f t="shared" si="3"/>
        <v>15.9</v>
      </c>
      <c r="J7" s="365" t="s">
        <v>575</v>
      </c>
      <c r="K7" s="366" t="s">
        <v>576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>
      <c r="A8" s="19"/>
      <c r="B8" s="361">
        <v>6.0</v>
      </c>
      <c r="C8" s="361" t="str">
        <f t="shared" si="1"/>
        <v>P1206</v>
      </c>
      <c r="D8" s="362" t="s">
        <v>577</v>
      </c>
      <c r="E8" s="362" t="s">
        <v>578</v>
      </c>
      <c r="F8" s="284" t="str">
        <f t="shared" si="4"/>
        <v>POTATO PRAWN - Tôm Cuộn Khoai Tây</v>
      </c>
      <c r="G8" s="361" t="s">
        <v>579</v>
      </c>
      <c r="H8" s="368">
        <v>12.5</v>
      </c>
      <c r="I8" s="285">
        <f t="shared" si="3"/>
        <v>14.5</v>
      </c>
      <c r="J8" s="365" t="s">
        <v>580</v>
      </c>
      <c r="K8" s="366" t="s">
        <v>581</v>
      </c>
      <c r="L8" s="36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>
      <c r="A9" s="19"/>
      <c r="B9" s="361">
        <v>7.0</v>
      </c>
      <c r="C9" s="361" t="str">
        <f t="shared" si="1"/>
        <v>P1207</v>
      </c>
      <c r="D9" s="362" t="s">
        <v>582</v>
      </c>
      <c r="E9" s="362" t="s">
        <v>583</v>
      </c>
      <c r="F9" s="367" t="s">
        <v>584</v>
      </c>
      <c r="G9" s="361" t="s">
        <v>585</v>
      </c>
      <c r="H9" s="368">
        <v>9.9</v>
      </c>
      <c r="I9" s="285">
        <f t="shared" si="3"/>
        <v>11.5</v>
      </c>
      <c r="J9" s="365" t="s">
        <v>586</v>
      </c>
      <c r="K9" s="366" t="s">
        <v>581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>
      <c r="A10" s="19"/>
      <c r="B10" s="361">
        <v>8.0</v>
      </c>
      <c r="C10" s="361" t="str">
        <f t="shared" si="1"/>
        <v>P1208</v>
      </c>
      <c r="D10" s="362" t="s">
        <v>587</v>
      </c>
      <c r="E10" s="362" t="s">
        <v>588</v>
      </c>
      <c r="F10" s="284" t="str">
        <f t="shared" ref="F10:F14" si="5">CONCATENATE(E10," - ",D10)</f>
        <v>Vietnamese Spicy Rice Paper - Bánh tráng trộn</v>
      </c>
      <c r="G10" s="363"/>
      <c r="H10" s="364">
        <v>16.0</v>
      </c>
      <c r="I10" s="285">
        <f t="shared" si="3"/>
        <v>18.5</v>
      </c>
      <c r="J10" s="365" t="s">
        <v>589</v>
      </c>
      <c r="K10" s="366" t="s">
        <v>590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>
      <c r="A11" s="19"/>
      <c r="B11" s="370">
        <v>9.0</v>
      </c>
      <c r="C11" s="370" t="str">
        <f t="shared" si="1"/>
        <v>P1209</v>
      </c>
      <c r="D11" s="362" t="s">
        <v>591</v>
      </c>
      <c r="E11" s="362" t="s">
        <v>592</v>
      </c>
      <c r="F11" s="284" t="str">
        <f t="shared" si="5"/>
        <v>Vietnamese Rice Paper Rolls - Bánh tráng cuốn bơ</v>
      </c>
      <c r="G11" s="361" t="s">
        <v>593</v>
      </c>
      <c r="H11" s="364">
        <v>17.0</v>
      </c>
      <c r="I11" s="371">
        <f t="shared" si="3"/>
        <v>19.5</v>
      </c>
      <c r="J11" s="372" t="s">
        <v>594</v>
      </c>
      <c r="K11" s="366" t="s">
        <v>595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>
      <c r="A12" s="19"/>
      <c r="B12" s="373"/>
      <c r="C12" s="373"/>
      <c r="D12" s="362" t="s">
        <v>591</v>
      </c>
      <c r="E12" s="362" t="s">
        <v>592</v>
      </c>
      <c r="F12" s="284" t="str">
        <f t="shared" si="5"/>
        <v>Vietnamese Rice Paper Rolls - Bánh tráng cuốn bơ</v>
      </c>
      <c r="G12" s="361" t="s">
        <v>558</v>
      </c>
      <c r="H12" s="364">
        <v>19.0</v>
      </c>
      <c r="I12" s="371">
        <f t="shared" si="3"/>
        <v>21.9</v>
      </c>
      <c r="J12" s="373"/>
      <c r="K12" s="366" t="s">
        <v>595</v>
      </c>
      <c r="L12" s="15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>
      <c r="A13" s="19"/>
      <c r="B13" s="361">
        <v>10.0</v>
      </c>
      <c r="C13" s="361" t="str">
        <f t="shared" ref="C13:C29" si="6">IF(ISNUMBER(B13), "P12" &amp; TEXT(B13, "00"), "")</f>
        <v>P1210</v>
      </c>
      <c r="D13" s="362" t="s">
        <v>596</v>
      </c>
      <c r="E13" s="374" t="s">
        <v>597</v>
      </c>
      <c r="F13" s="284" t="str">
        <f t="shared" si="5"/>
        <v>FRIED COMBO - COMBO CHIÊN</v>
      </c>
      <c r="G13" s="361"/>
      <c r="H13" s="364">
        <v>27.4</v>
      </c>
      <c r="I13" s="285">
        <f t="shared" si="3"/>
        <v>31.5</v>
      </c>
      <c r="J13" s="365" t="s">
        <v>598</v>
      </c>
      <c r="K13" s="366" t="s">
        <v>599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>
      <c r="A14" s="19"/>
      <c r="B14" s="361">
        <v>11.0</v>
      </c>
      <c r="C14" s="361" t="str">
        <f t="shared" si="6"/>
        <v>P1211</v>
      </c>
      <c r="D14" s="362" t="s">
        <v>600</v>
      </c>
      <c r="E14" s="374" t="s">
        <v>601</v>
      </c>
      <c r="F14" s="284" t="str">
        <f t="shared" si="5"/>
        <v>RICE PAPERS COMBO - COMBO BÁNH TRÁNG</v>
      </c>
      <c r="G14" s="361"/>
      <c r="H14" s="364">
        <v>31.9</v>
      </c>
      <c r="I14" s="285">
        <f t="shared" si="3"/>
        <v>36.5</v>
      </c>
      <c r="J14" s="365" t="s">
        <v>602</v>
      </c>
      <c r="K14" s="366" t="s">
        <v>603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>
      <c r="A15" s="19"/>
      <c r="B15" s="375"/>
      <c r="C15" s="375" t="str">
        <f t="shared" si="6"/>
        <v/>
      </c>
      <c r="D15" s="376"/>
      <c r="E15" s="377"/>
      <c r="F15" s="378"/>
      <c r="G15" s="375"/>
      <c r="H15" s="379"/>
      <c r="I15" s="380"/>
      <c r="J15" s="381"/>
      <c r="K15" s="381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>
      <c r="A16" s="19"/>
      <c r="B16" s="361">
        <v>12.0</v>
      </c>
      <c r="C16" s="361" t="str">
        <f t="shared" si="6"/>
        <v>P1212</v>
      </c>
      <c r="D16" s="362" t="s">
        <v>604</v>
      </c>
      <c r="E16" s="362" t="s">
        <v>604</v>
      </c>
      <c r="F16" s="284" t="str">
        <f t="shared" ref="F16:F20" si="7">CONCATENATE(E16," - ",D16)</f>
        <v>FISH &amp; CHIPS - FISH &amp; CHIPS</v>
      </c>
      <c r="G16" s="361"/>
      <c r="H16" s="364">
        <v>15.0</v>
      </c>
      <c r="I16" s="285">
        <f t="shared" ref="I16:I22" si="8">LET(v,H16*1.15,
i,INT(v),
d,v-i,
IF(d&lt;=0.2,
i-0.1,
IF(d&lt;=0.7,
i+0.5,
i+0.9)))
</f>
        <v>17.5</v>
      </c>
      <c r="J16" s="365" t="s">
        <v>605</v>
      </c>
      <c r="K16" s="366" t="s">
        <v>606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>
      <c r="A17" s="19"/>
      <c r="B17" s="361">
        <v>13.0</v>
      </c>
      <c r="C17" s="361" t="str">
        <f t="shared" si="6"/>
        <v>P1213</v>
      </c>
      <c r="D17" s="362" t="s">
        <v>607</v>
      </c>
      <c r="E17" s="362" t="s">
        <v>608</v>
      </c>
      <c r="F17" s="284" t="str">
        <f t="shared" si="7"/>
        <v>POTATO - Khoai tây chiên</v>
      </c>
      <c r="G17" s="363"/>
      <c r="H17" s="368">
        <v>8.9</v>
      </c>
      <c r="I17" s="285">
        <f t="shared" si="8"/>
        <v>10.5</v>
      </c>
      <c r="J17" s="382" t="s">
        <v>196</v>
      </c>
      <c r="K17" s="383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>
      <c r="A18" s="19"/>
      <c r="B18" s="361">
        <v>14.0</v>
      </c>
      <c r="C18" s="361" t="str">
        <f t="shared" si="6"/>
        <v>P1214</v>
      </c>
      <c r="D18" s="362" t="s">
        <v>609</v>
      </c>
      <c r="E18" s="362" t="s">
        <v>610</v>
      </c>
      <c r="F18" s="284" t="str">
        <f t="shared" si="7"/>
        <v>SWEET POTATO - khoai lang chiên</v>
      </c>
      <c r="G18" s="363"/>
      <c r="H18" s="368">
        <v>11.9</v>
      </c>
      <c r="I18" s="285">
        <f t="shared" si="8"/>
        <v>13.5</v>
      </c>
      <c r="K18" s="383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>
      <c r="A19" s="19"/>
      <c r="B19" s="361">
        <v>15.0</v>
      </c>
      <c r="C19" s="361" t="str">
        <f t="shared" si="6"/>
        <v>P1215</v>
      </c>
      <c r="D19" s="362" t="s">
        <v>607</v>
      </c>
      <c r="E19" s="362" t="s">
        <v>611</v>
      </c>
      <c r="F19" s="284" t="str">
        <f t="shared" si="7"/>
        <v>Wedgeds - Khoai tây chiên</v>
      </c>
      <c r="G19" s="363"/>
      <c r="H19" s="368">
        <v>11.0</v>
      </c>
      <c r="I19" s="285">
        <f t="shared" si="8"/>
        <v>12.5</v>
      </c>
      <c r="K19" s="383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>
      <c r="A20" s="19"/>
      <c r="B20" s="361">
        <v>16.0</v>
      </c>
      <c r="C20" s="361" t="str">
        <f t="shared" si="6"/>
        <v>P1216</v>
      </c>
      <c r="D20" s="384"/>
      <c r="E20" s="362" t="s">
        <v>612</v>
      </c>
      <c r="F20" s="284" t="str">
        <f t="shared" si="7"/>
        <v>MINI CHURROS - </v>
      </c>
      <c r="G20" s="361" t="s">
        <v>613</v>
      </c>
      <c r="H20" s="368">
        <v>11.9</v>
      </c>
      <c r="I20" s="285">
        <f t="shared" si="8"/>
        <v>13.5</v>
      </c>
      <c r="K20" s="366" t="s">
        <v>614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>
      <c r="A21" s="19"/>
      <c r="B21" s="361">
        <v>17.0</v>
      </c>
      <c r="C21" s="361" t="str">
        <f t="shared" si="6"/>
        <v>P1217</v>
      </c>
      <c r="D21" s="384"/>
      <c r="E21" s="374" t="s">
        <v>615</v>
      </c>
      <c r="F21" s="385" t="s">
        <v>615</v>
      </c>
      <c r="G21" s="363"/>
      <c r="H21" s="368">
        <v>21.9</v>
      </c>
      <c r="I21" s="285">
        <f t="shared" si="8"/>
        <v>24.9</v>
      </c>
      <c r="J21" s="365" t="s">
        <v>616</v>
      </c>
      <c r="K21" s="366" t="s">
        <v>617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>
      <c r="A22" s="19"/>
      <c r="B22" s="361">
        <v>18.0</v>
      </c>
      <c r="C22" s="361" t="str">
        <f t="shared" si="6"/>
        <v>P1218</v>
      </c>
      <c r="D22" s="384"/>
      <c r="E22" s="374" t="s">
        <v>618</v>
      </c>
      <c r="F22" s="385" t="s">
        <v>618</v>
      </c>
      <c r="G22" s="363"/>
      <c r="H22" s="368">
        <v>18.9</v>
      </c>
      <c r="I22" s="285">
        <f t="shared" si="8"/>
        <v>21.9</v>
      </c>
      <c r="J22" s="365" t="s">
        <v>619</v>
      </c>
      <c r="K22" s="366" t="s">
        <v>620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>
      <c r="A23" s="19"/>
      <c r="B23" s="386"/>
      <c r="C23" s="386" t="str">
        <f t="shared" si="6"/>
        <v/>
      </c>
      <c r="D23" s="387"/>
      <c r="E23" s="377"/>
      <c r="F23" s="378"/>
      <c r="G23" s="386"/>
      <c r="H23" s="388"/>
      <c r="I23" s="380"/>
      <c r="J23" s="389"/>
      <c r="K23" s="381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>
      <c r="A24" s="19"/>
      <c r="B24" s="361">
        <v>19.0</v>
      </c>
      <c r="C24" s="361" t="str">
        <f t="shared" si="6"/>
        <v>P1219</v>
      </c>
      <c r="D24" s="390" t="s">
        <v>621</v>
      </c>
      <c r="E24" s="362" t="s">
        <v>622</v>
      </c>
      <c r="F24" s="284" t="str">
        <f t="shared" ref="F24:F29" si="9">CONCATENATE(E24," - ",D24)</f>
        <v>Lemongrass Babyclamps - Nghêu Hấp Xả</v>
      </c>
      <c r="G24" s="361"/>
      <c r="H24" s="368">
        <v>18.5</v>
      </c>
      <c r="I24" s="285">
        <f t="shared" ref="I24:I29" si="10">LET(v,H24*1.15,
i,INT(v),
d,v-i,
IF(d&lt;=0.2,
i-0.1,
IF(d&lt;=0.7,
i+0.5,
i+0.9)))
</f>
        <v>21.5</v>
      </c>
      <c r="J24" s="365" t="s">
        <v>623</v>
      </c>
      <c r="K24" s="391" t="s">
        <v>624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>
      <c r="A25" s="19"/>
      <c r="B25" s="370">
        <v>20.0</v>
      </c>
      <c r="C25" s="370" t="str">
        <f t="shared" si="6"/>
        <v>P1220</v>
      </c>
      <c r="D25" s="392" t="s">
        <v>625</v>
      </c>
      <c r="E25" s="370" t="s">
        <v>626</v>
      </c>
      <c r="F25" s="393" t="str">
        <f t="shared" si="9"/>
        <v>Tomyum Babyclamps - Nghêu Hấp Thái</v>
      </c>
      <c r="G25" s="370"/>
      <c r="H25" s="394">
        <v>18.5</v>
      </c>
      <c r="I25" s="395">
        <f t="shared" si="10"/>
        <v>21.5</v>
      </c>
      <c r="J25" s="372" t="s">
        <v>627</v>
      </c>
      <c r="K25" s="382" t="s">
        <v>628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>
      <c r="A26" s="19"/>
      <c r="B26" s="361">
        <v>21.0</v>
      </c>
      <c r="C26" s="6" t="str">
        <f t="shared" si="6"/>
        <v>P1221</v>
      </c>
      <c r="D26" s="396" t="s">
        <v>629</v>
      </c>
      <c r="E26" s="396" t="s">
        <v>630</v>
      </c>
      <c r="F26" s="397" t="str">
        <f t="shared" si="9"/>
        <v>DIMSIM - XÍU MẠI</v>
      </c>
      <c r="G26" s="396" t="s">
        <v>579</v>
      </c>
      <c r="H26" s="398">
        <v>8.4</v>
      </c>
      <c r="I26" s="399">
        <f t="shared" si="10"/>
        <v>9.5</v>
      </c>
      <c r="J26" s="400" t="s">
        <v>631</v>
      </c>
      <c r="K26" s="401" t="s">
        <v>632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>
      <c r="A27" s="19"/>
      <c r="B27" s="370">
        <v>22.0</v>
      </c>
      <c r="C27" s="6" t="str">
        <f t="shared" si="6"/>
        <v>P1222</v>
      </c>
      <c r="D27" s="396" t="s">
        <v>633</v>
      </c>
      <c r="E27" s="396" t="s">
        <v>634</v>
      </c>
      <c r="F27" s="397" t="str">
        <f t="shared" si="9"/>
        <v>HAR GOW - HÁ CẢO</v>
      </c>
      <c r="G27" s="396" t="s">
        <v>579</v>
      </c>
      <c r="H27" s="398">
        <v>8.4</v>
      </c>
      <c r="I27" s="399">
        <f t="shared" si="10"/>
        <v>9.5</v>
      </c>
      <c r="J27" s="400" t="s">
        <v>635</v>
      </c>
      <c r="K27" s="401" t="s">
        <v>632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>
      <c r="A28" s="19"/>
      <c r="B28" s="361">
        <v>23.0</v>
      </c>
      <c r="C28" s="6" t="str">
        <f t="shared" si="6"/>
        <v>P1223</v>
      </c>
      <c r="D28" s="402" t="s">
        <v>636</v>
      </c>
      <c r="E28" s="402" t="s">
        <v>637</v>
      </c>
      <c r="F28" s="397" t="str">
        <f t="shared" si="9"/>
        <v>Special Grilled Rice Paper - Bánh Tráng Nướng Đà Lạt</v>
      </c>
      <c r="G28" s="397"/>
      <c r="H28" s="403">
        <v>15.0</v>
      </c>
      <c r="I28" s="399">
        <f t="shared" si="10"/>
        <v>17.5</v>
      </c>
      <c r="J28" s="400" t="s">
        <v>638</v>
      </c>
      <c r="K28" s="404" t="s">
        <v>639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>
      <c r="A29" s="19"/>
      <c r="B29" s="370">
        <v>24.0</v>
      </c>
      <c r="C29" s="6" t="str">
        <f t="shared" si="6"/>
        <v>P1224</v>
      </c>
      <c r="D29" s="405" t="s">
        <v>640</v>
      </c>
      <c r="E29" s="405" t="s">
        <v>641</v>
      </c>
      <c r="F29" s="397" t="str">
        <f t="shared" si="9"/>
        <v>Grilled Bread w Chilli Salt - Bánh Mì Nướng Muối Ớt</v>
      </c>
      <c r="G29" s="397"/>
      <c r="H29" s="403">
        <v>16.5</v>
      </c>
      <c r="I29" s="399">
        <f t="shared" si="10"/>
        <v>18.9</v>
      </c>
      <c r="J29" s="400" t="s">
        <v>642</v>
      </c>
      <c r="K29" s="404" t="s">
        <v>643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>
      <c r="A30" s="19"/>
      <c r="B30" s="397"/>
      <c r="C30" s="397"/>
      <c r="D30" s="397"/>
      <c r="E30" s="406"/>
      <c r="F30" s="397"/>
      <c r="G30" s="397"/>
      <c r="H30" s="407"/>
      <c r="I30" s="397"/>
      <c r="J30" s="408"/>
      <c r="K30" s="40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>
      <c r="A31" s="19"/>
      <c r="B31" s="397"/>
      <c r="C31" s="397"/>
      <c r="D31" s="397"/>
      <c r="E31" s="405"/>
      <c r="F31" s="397"/>
      <c r="G31" s="397"/>
      <c r="H31" s="407"/>
      <c r="I31" s="397"/>
      <c r="J31" s="408"/>
      <c r="K31" s="40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>
      <c r="A32" s="19"/>
      <c r="B32" s="397"/>
      <c r="C32" s="397"/>
      <c r="D32" s="397"/>
      <c r="E32" s="397"/>
      <c r="F32" s="397"/>
      <c r="G32" s="397"/>
      <c r="H32" s="407"/>
      <c r="I32" s="397"/>
      <c r="J32" s="408"/>
      <c r="K32" s="40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>
      <c r="A33" s="19"/>
      <c r="B33" s="397"/>
      <c r="C33" s="397"/>
      <c r="D33" s="397"/>
      <c r="E33" s="397"/>
      <c r="F33" s="397"/>
      <c r="G33" s="397"/>
      <c r="H33" s="407"/>
      <c r="I33" s="397"/>
      <c r="J33" s="408"/>
      <c r="K33" s="40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>
      <c r="A34" s="19"/>
      <c r="B34" s="397"/>
      <c r="C34" s="397"/>
      <c r="D34" s="397"/>
      <c r="E34" s="397"/>
      <c r="F34" s="397"/>
      <c r="G34" s="397"/>
      <c r="H34" s="407"/>
      <c r="I34" s="397"/>
      <c r="J34" s="408"/>
      <c r="K34" s="40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>
      <c r="A35" s="19"/>
      <c r="B35" s="19"/>
      <c r="C35" s="19"/>
      <c r="D35" s="19"/>
      <c r="E35" s="19"/>
      <c r="F35" s="19"/>
      <c r="G35" s="19"/>
      <c r="H35" s="409"/>
      <c r="I35" s="19"/>
      <c r="J35" s="410"/>
      <c r="K35" s="410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>
      <c r="A36" s="19"/>
      <c r="B36" s="19"/>
      <c r="C36" s="19"/>
      <c r="D36" s="19"/>
      <c r="E36" s="19"/>
      <c r="F36" s="19"/>
      <c r="G36" s="19"/>
      <c r="H36" s="409"/>
      <c r="I36" s="19"/>
      <c r="J36" s="410"/>
      <c r="K36" s="410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>
      <c r="A37" s="19"/>
      <c r="B37" s="19"/>
      <c r="C37" s="19"/>
      <c r="D37" s="19"/>
      <c r="E37" s="19"/>
      <c r="F37" s="19"/>
      <c r="G37" s="19"/>
      <c r="H37" s="409"/>
      <c r="I37" s="19"/>
      <c r="J37" s="410"/>
      <c r="K37" s="410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>
      <c r="A38" s="19"/>
      <c r="B38" s="19"/>
      <c r="C38" s="19"/>
      <c r="D38" s="19"/>
      <c r="E38" s="19"/>
      <c r="F38" s="19"/>
      <c r="G38" s="19"/>
      <c r="H38" s="409"/>
      <c r="I38" s="19"/>
      <c r="J38" s="410"/>
      <c r="K38" s="410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>
      <c r="A39" s="19"/>
      <c r="B39" s="19"/>
      <c r="C39" s="19"/>
      <c r="D39" s="19"/>
      <c r="E39" s="19"/>
      <c r="F39" s="19"/>
      <c r="G39" s="19"/>
      <c r="H39" s="409"/>
      <c r="I39" s="19"/>
      <c r="J39" s="410"/>
      <c r="K39" s="410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>
      <c r="A40" s="19"/>
      <c r="B40" s="19"/>
      <c r="C40" s="19"/>
      <c r="D40" s="19"/>
      <c r="E40" s="19"/>
      <c r="F40" s="19"/>
      <c r="G40" s="19"/>
      <c r="H40" s="409"/>
      <c r="I40" s="19"/>
      <c r="J40" s="410"/>
      <c r="K40" s="410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>
      <c r="A41" s="19"/>
      <c r="B41" s="19"/>
      <c r="C41" s="19"/>
      <c r="D41" s="19"/>
      <c r="E41" s="19"/>
      <c r="F41" s="19"/>
      <c r="G41" s="19"/>
      <c r="H41" s="409"/>
      <c r="I41" s="19"/>
      <c r="J41" s="410"/>
      <c r="K41" s="410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>
      <c r="A42" s="19"/>
      <c r="B42" s="19"/>
      <c r="C42" s="19"/>
      <c r="D42" s="19"/>
      <c r="E42" s="19"/>
      <c r="F42" s="19"/>
      <c r="G42" s="19"/>
      <c r="H42" s="409"/>
      <c r="I42" s="19"/>
      <c r="J42" s="410"/>
      <c r="K42" s="410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>
      <c r="A43" s="19"/>
      <c r="B43" s="19"/>
      <c r="C43" s="19"/>
      <c r="D43" s="19"/>
      <c r="E43" s="19"/>
      <c r="F43" s="19"/>
      <c r="G43" s="19"/>
      <c r="H43" s="409"/>
      <c r="I43" s="19"/>
      <c r="J43" s="410"/>
      <c r="K43" s="410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>
      <c r="A44" s="19"/>
      <c r="B44" s="19"/>
      <c r="C44" s="19"/>
      <c r="D44" s="19"/>
      <c r="E44" s="19"/>
      <c r="F44" s="19"/>
      <c r="G44" s="19"/>
      <c r="H44" s="409"/>
      <c r="I44" s="19"/>
      <c r="J44" s="410"/>
      <c r="K44" s="410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>
      <c r="A45" s="19"/>
      <c r="B45" s="19"/>
      <c r="C45" s="19"/>
      <c r="D45" s="19"/>
      <c r="E45" s="19"/>
      <c r="F45" s="19"/>
      <c r="G45" s="19"/>
      <c r="H45" s="409"/>
      <c r="I45" s="19"/>
      <c r="J45" s="410"/>
      <c r="K45" s="410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>
      <c r="A46" s="19"/>
      <c r="B46" s="19"/>
      <c r="C46" s="19"/>
      <c r="D46" s="19"/>
      <c r="E46" s="19"/>
      <c r="F46" s="19"/>
      <c r="G46" s="19"/>
      <c r="H46" s="409"/>
      <c r="I46" s="19"/>
      <c r="J46" s="410"/>
      <c r="K46" s="410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>
      <c r="A47" s="19"/>
      <c r="B47" s="19"/>
      <c r="C47" s="19"/>
      <c r="D47" s="19"/>
      <c r="E47" s="19"/>
      <c r="F47" s="19"/>
      <c r="G47" s="19"/>
      <c r="H47" s="409"/>
      <c r="I47" s="19"/>
      <c r="J47" s="410"/>
      <c r="K47" s="410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>
      <c r="A48" s="19"/>
      <c r="B48" s="19"/>
      <c r="C48" s="19"/>
      <c r="D48" s="19"/>
      <c r="E48" s="19"/>
      <c r="F48" s="19"/>
      <c r="G48" s="19"/>
      <c r="H48" s="409"/>
      <c r="I48" s="19"/>
      <c r="J48" s="410"/>
      <c r="K48" s="410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>
      <c r="A49" s="19"/>
      <c r="B49" s="19"/>
      <c r="C49" s="19"/>
      <c r="D49" s="19"/>
      <c r="E49" s="19"/>
      <c r="F49" s="19"/>
      <c r="G49" s="19"/>
      <c r="H49" s="409"/>
      <c r="I49" s="19"/>
      <c r="J49" s="410"/>
      <c r="K49" s="410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>
      <c r="A50" s="19"/>
      <c r="B50" s="19"/>
      <c r="C50" s="19"/>
      <c r="D50" s="19"/>
      <c r="E50" s="19"/>
      <c r="F50" s="19"/>
      <c r="G50" s="19"/>
      <c r="H50" s="409"/>
      <c r="I50" s="19"/>
      <c r="J50" s="410"/>
      <c r="K50" s="410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>
      <c r="A51" s="19"/>
      <c r="B51" s="19"/>
      <c r="C51" s="19"/>
      <c r="D51" s="19"/>
      <c r="E51" s="19"/>
      <c r="F51" s="19"/>
      <c r="G51" s="19"/>
      <c r="H51" s="409"/>
      <c r="I51" s="19"/>
      <c r="J51" s="410"/>
      <c r="K51" s="410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>
      <c r="A52" s="19"/>
      <c r="B52" s="19"/>
      <c r="C52" s="19"/>
      <c r="D52" s="19"/>
      <c r="E52" s="19"/>
      <c r="F52" s="19"/>
      <c r="G52" s="19"/>
      <c r="H52" s="409"/>
      <c r="I52" s="19"/>
      <c r="J52" s="410"/>
      <c r="K52" s="410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>
      <c r="A53" s="19"/>
      <c r="B53" s="19"/>
      <c r="C53" s="19"/>
      <c r="D53" s="19"/>
      <c r="E53" s="19"/>
      <c r="F53" s="19"/>
      <c r="G53" s="19"/>
      <c r="H53" s="409"/>
      <c r="I53" s="19"/>
      <c r="J53" s="410"/>
      <c r="K53" s="410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>
      <c r="A54" s="19"/>
      <c r="B54" s="19"/>
      <c r="C54" s="19"/>
      <c r="D54" s="19"/>
      <c r="E54" s="19"/>
      <c r="F54" s="19"/>
      <c r="G54" s="19"/>
      <c r="H54" s="409"/>
      <c r="I54" s="19"/>
      <c r="J54" s="410"/>
      <c r="K54" s="410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>
      <c r="A55" s="19"/>
      <c r="B55" s="19"/>
      <c r="C55" s="19"/>
      <c r="D55" s="19"/>
      <c r="E55" s="19"/>
      <c r="F55" s="19"/>
      <c r="G55" s="19"/>
      <c r="H55" s="409"/>
      <c r="I55" s="19"/>
      <c r="J55" s="410"/>
      <c r="K55" s="410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>
      <c r="A56" s="19"/>
      <c r="B56" s="19"/>
      <c r="C56" s="19"/>
      <c r="D56" s="19"/>
      <c r="E56" s="19"/>
      <c r="F56" s="19"/>
      <c r="G56" s="19"/>
      <c r="H56" s="409"/>
      <c r="I56" s="19"/>
      <c r="J56" s="410"/>
      <c r="K56" s="410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>
      <c r="A57" s="19"/>
      <c r="B57" s="19"/>
      <c r="C57" s="19"/>
      <c r="D57" s="19"/>
      <c r="E57" s="19"/>
      <c r="F57" s="19"/>
      <c r="G57" s="19"/>
      <c r="H57" s="409"/>
      <c r="I57" s="19"/>
      <c r="J57" s="410"/>
      <c r="K57" s="410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>
      <c r="A58" s="19"/>
      <c r="B58" s="19"/>
      <c r="C58" s="19"/>
      <c r="D58" s="19"/>
      <c r="E58" s="19"/>
      <c r="F58" s="19"/>
      <c r="G58" s="19"/>
      <c r="H58" s="409"/>
      <c r="I58" s="19"/>
      <c r="J58" s="410"/>
      <c r="K58" s="410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>
      <c r="A59" s="19"/>
      <c r="B59" s="19"/>
      <c r="C59" s="19"/>
      <c r="D59" s="19"/>
      <c r="E59" s="19"/>
      <c r="F59" s="19"/>
      <c r="G59" s="19"/>
      <c r="H59" s="409"/>
      <c r="I59" s="19"/>
      <c r="J59" s="410"/>
      <c r="K59" s="410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>
      <c r="A60" s="19"/>
      <c r="B60" s="19"/>
      <c r="C60" s="19"/>
      <c r="D60" s="19"/>
      <c r="E60" s="19"/>
      <c r="F60" s="19"/>
      <c r="G60" s="19"/>
      <c r="H60" s="409"/>
      <c r="I60" s="19"/>
      <c r="J60" s="410"/>
      <c r="K60" s="410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>
      <c r="A61" s="19"/>
      <c r="B61" s="19"/>
      <c r="C61" s="19"/>
      <c r="D61" s="19"/>
      <c r="E61" s="19"/>
      <c r="F61" s="19"/>
      <c r="G61" s="19"/>
      <c r="H61" s="409"/>
      <c r="I61" s="19"/>
      <c r="J61" s="410"/>
      <c r="K61" s="410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>
      <c r="A62" s="19"/>
      <c r="B62" s="19"/>
      <c r="C62" s="19"/>
      <c r="D62" s="19"/>
      <c r="E62" s="19"/>
      <c r="F62" s="19"/>
      <c r="G62" s="19"/>
      <c r="H62" s="409"/>
      <c r="I62" s="19"/>
      <c r="J62" s="410"/>
      <c r="K62" s="410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>
      <c r="A63" s="19"/>
      <c r="B63" s="19"/>
      <c r="C63" s="19"/>
      <c r="D63" s="19"/>
      <c r="E63" s="19"/>
      <c r="F63" s="19"/>
      <c r="G63" s="19"/>
      <c r="H63" s="409"/>
      <c r="I63" s="19"/>
      <c r="J63" s="410"/>
      <c r="K63" s="410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>
      <c r="A64" s="19"/>
      <c r="B64" s="19"/>
      <c r="C64" s="19"/>
      <c r="D64" s="19"/>
      <c r="E64" s="19"/>
      <c r="F64" s="19"/>
      <c r="G64" s="19"/>
      <c r="H64" s="409"/>
      <c r="I64" s="19"/>
      <c r="J64" s="410"/>
      <c r="K64" s="410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>
      <c r="A65" s="19"/>
      <c r="B65" s="19"/>
      <c r="C65" s="19"/>
      <c r="D65" s="19"/>
      <c r="E65" s="19"/>
      <c r="F65" s="19"/>
      <c r="G65" s="19"/>
      <c r="H65" s="409"/>
      <c r="I65" s="19"/>
      <c r="J65" s="410"/>
      <c r="K65" s="410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>
      <c r="A66" s="19"/>
      <c r="B66" s="19"/>
      <c r="C66" s="19"/>
      <c r="D66" s="19"/>
      <c r="E66" s="19"/>
      <c r="F66" s="19"/>
      <c r="G66" s="19"/>
      <c r="H66" s="409"/>
      <c r="I66" s="19"/>
      <c r="J66" s="410"/>
      <c r="K66" s="410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>
      <c r="A67" s="19"/>
      <c r="B67" s="19"/>
      <c r="C67" s="19"/>
      <c r="D67" s="19"/>
      <c r="E67" s="19"/>
      <c r="F67" s="19"/>
      <c r="G67" s="19"/>
      <c r="H67" s="409"/>
      <c r="I67" s="19"/>
      <c r="J67" s="410"/>
      <c r="K67" s="410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>
      <c r="A68" s="19"/>
      <c r="B68" s="19"/>
      <c r="C68" s="19"/>
      <c r="D68" s="19"/>
      <c r="E68" s="19"/>
      <c r="F68" s="19"/>
      <c r="G68" s="19"/>
      <c r="H68" s="409"/>
      <c r="I68" s="19"/>
      <c r="J68" s="410"/>
      <c r="K68" s="410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>
      <c r="A69" s="19"/>
      <c r="B69" s="19"/>
      <c r="C69" s="19"/>
      <c r="D69" s="19"/>
      <c r="E69" s="19"/>
      <c r="F69" s="19"/>
      <c r="G69" s="19"/>
      <c r="H69" s="409"/>
      <c r="I69" s="19"/>
      <c r="J69" s="410"/>
      <c r="K69" s="410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>
      <c r="A70" s="19"/>
      <c r="B70" s="19"/>
      <c r="C70" s="19"/>
      <c r="D70" s="19"/>
      <c r="E70" s="19"/>
      <c r="F70" s="19"/>
      <c r="G70" s="19"/>
      <c r="H70" s="409"/>
      <c r="I70" s="19"/>
      <c r="J70" s="410"/>
      <c r="K70" s="410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>
      <c r="A71" s="19"/>
      <c r="B71" s="19"/>
      <c r="C71" s="19"/>
      <c r="D71" s="19"/>
      <c r="E71" s="19"/>
      <c r="F71" s="19"/>
      <c r="G71" s="19"/>
      <c r="H71" s="409"/>
      <c r="I71" s="19"/>
      <c r="J71" s="410"/>
      <c r="K71" s="410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>
      <c r="A72" s="19"/>
      <c r="B72" s="19"/>
      <c r="C72" s="19"/>
      <c r="D72" s="19"/>
      <c r="E72" s="19"/>
      <c r="F72" s="19"/>
      <c r="G72" s="19"/>
      <c r="H72" s="409"/>
      <c r="I72" s="19"/>
      <c r="J72" s="410"/>
      <c r="K72" s="410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>
      <c r="A73" s="19"/>
      <c r="B73" s="19"/>
      <c r="C73" s="19"/>
      <c r="D73" s="19"/>
      <c r="E73" s="19"/>
      <c r="F73" s="19"/>
      <c r="G73" s="19"/>
      <c r="H73" s="409"/>
      <c r="I73" s="19"/>
      <c r="J73" s="410"/>
      <c r="K73" s="410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>
      <c r="A74" s="19"/>
      <c r="B74" s="19"/>
      <c r="C74" s="19"/>
      <c r="D74" s="19"/>
      <c r="E74" s="19"/>
      <c r="F74" s="19"/>
      <c r="G74" s="19"/>
      <c r="H74" s="409"/>
      <c r="I74" s="19"/>
      <c r="J74" s="410"/>
      <c r="K74" s="410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>
      <c r="A75" s="19"/>
      <c r="B75" s="19"/>
      <c r="C75" s="19"/>
      <c r="D75" s="19"/>
      <c r="E75" s="19"/>
      <c r="F75" s="19"/>
      <c r="G75" s="19"/>
      <c r="H75" s="409"/>
      <c r="I75" s="19"/>
      <c r="J75" s="410"/>
      <c r="K75" s="410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>
      <c r="A76" s="19"/>
      <c r="B76" s="19"/>
      <c r="C76" s="19"/>
      <c r="D76" s="19"/>
      <c r="E76" s="19"/>
      <c r="F76" s="19"/>
      <c r="G76" s="19"/>
      <c r="H76" s="409"/>
      <c r="I76" s="19"/>
      <c r="J76" s="410"/>
      <c r="K76" s="410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>
      <c r="A77" s="19"/>
      <c r="B77" s="19"/>
      <c r="C77" s="19"/>
      <c r="D77" s="19"/>
      <c r="E77" s="19"/>
      <c r="F77" s="19"/>
      <c r="G77" s="19"/>
      <c r="H77" s="409"/>
      <c r="I77" s="19"/>
      <c r="J77" s="410"/>
      <c r="K77" s="410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>
      <c r="A78" s="19"/>
      <c r="B78" s="19"/>
      <c r="C78" s="19"/>
      <c r="D78" s="19"/>
      <c r="E78" s="19"/>
      <c r="F78" s="19"/>
      <c r="G78" s="19"/>
      <c r="H78" s="409"/>
      <c r="I78" s="19"/>
      <c r="J78" s="410"/>
      <c r="K78" s="410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>
      <c r="A79" s="19"/>
      <c r="B79" s="19"/>
      <c r="C79" s="19"/>
      <c r="D79" s="19"/>
      <c r="E79" s="19"/>
      <c r="F79" s="19"/>
      <c r="G79" s="19"/>
      <c r="H79" s="409"/>
      <c r="I79" s="19"/>
      <c r="J79" s="410"/>
      <c r="K79" s="410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>
      <c r="A80" s="19"/>
      <c r="B80" s="19"/>
      <c r="C80" s="19"/>
      <c r="D80" s="19"/>
      <c r="E80" s="19"/>
      <c r="F80" s="19"/>
      <c r="G80" s="19"/>
      <c r="H80" s="409"/>
      <c r="I80" s="19"/>
      <c r="J80" s="410"/>
      <c r="K80" s="410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>
      <c r="A81" s="19"/>
      <c r="B81" s="19"/>
      <c r="C81" s="19"/>
      <c r="D81" s="19"/>
      <c r="E81" s="19"/>
      <c r="F81" s="19"/>
      <c r="G81" s="19"/>
      <c r="H81" s="409"/>
      <c r="I81" s="19"/>
      <c r="J81" s="410"/>
      <c r="K81" s="410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>
      <c r="A82" s="19"/>
      <c r="B82" s="19"/>
      <c r="C82" s="19"/>
      <c r="D82" s="19"/>
      <c r="E82" s="19"/>
      <c r="F82" s="19"/>
      <c r="G82" s="19"/>
      <c r="H82" s="409"/>
      <c r="I82" s="19"/>
      <c r="J82" s="410"/>
      <c r="K82" s="410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>
      <c r="A83" s="19"/>
      <c r="B83" s="19"/>
      <c r="C83" s="19"/>
      <c r="D83" s="19"/>
      <c r="E83" s="19"/>
      <c r="F83" s="19"/>
      <c r="G83" s="19"/>
      <c r="H83" s="409"/>
      <c r="I83" s="19"/>
      <c r="J83" s="410"/>
      <c r="K83" s="410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>
      <c r="A84" s="19"/>
      <c r="B84" s="19"/>
      <c r="C84" s="19"/>
      <c r="D84" s="19"/>
      <c r="E84" s="19"/>
      <c r="F84" s="19"/>
      <c r="G84" s="19"/>
      <c r="H84" s="409"/>
      <c r="I84" s="19"/>
      <c r="J84" s="410"/>
      <c r="K84" s="410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>
      <c r="A85" s="19"/>
      <c r="B85" s="19"/>
      <c r="C85" s="19"/>
      <c r="D85" s="19"/>
      <c r="E85" s="19"/>
      <c r="F85" s="19"/>
      <c r="G85" s="19"/>
      <c r="H85" s="409"/>
      <c r="I85" s="19"/>
      <c r="J85" s="410"/>
      <c r="K85" s="410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>
      <c r="A86" s="19"/>
      <c r="B86" s="19"/>
      <c r="C86" s="19"/>
      <c r="D86" s="19"/>
      <c r="E86" s="19"/>
      <c r="F86" s="19"/>
      <c r="G86" s="19"/>
      <c r="H86" s="409"/>
      <c r="I86" s="19"/>
      <c r="J86" s="410"/>
      <c r="K86" s="410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>
      <c r="A87" s="19"/>
      <c r="B87" s="19"/>
      <c r="C87" s="19"/>
      <c r="D87" s="19"/>
      <c r="E87" s="19"/>
      <c r="F87" s="19"/>
      <c r="G87" s="19"/>
      <c r="H87" s="409"/>
      <c r="I87" s="19"/>
      <c r="J87" s="410"/>
      <c r="K87" s="410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>
      <c r="A88" s="19"/>
      <c r="B88" s="19"/>
      <c r="C88" s="19"/>
      <c r="D88" s="19"/>
      <c r="E88" s="19"/>
      <c r="F88" s="19"/>
      <c r="G88" s="19"/>
      <c r="H88" s="409"/>
      <c r="I88" s="19"/>
      <c r="J88" s="410"/>
      <c r="K88" s="410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>
      <c r="A89" s="19"/>
      <c r="B89" s="19"/>
      <c r="C89" s="19"/>
      <c r="D89" s="19"/>
      <c r="E89" s="19"/>
      <c r="F89" s="19"/>
      <c r="G89" s="19"/>
      <c r="H89" s="409"/>
      <c r="I89" s="19"/>
      <c r="J89" s="410"/>
      <c r="K89" s="410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>
      <c r="A90" s="19"/>
      <c r="B90" s="19"/>
      <c r="C90" s="19"/>
      <c r="D90" s="19"/>
      <c r="E90" s="19"/>
      <c r="F90" s="19"/>
      <c r="G90" s="19"/>
      <c r="H90" s="409"/>
      <c r="I90" s="19"/>
      <c r="J90" s="410"/>
      <c r="K90" s="410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>
      <c r="A91" s="19"/>
      <c r="B91" s="19"/>
      <c r="C91" s="19"/>
      <c r="D91" s="19"/>
      <c r="E91" s="19"/>
      <c r="F91" s="19"/>
      <c r="G91" s="19"/>
      <c r="H91" s="409"/>
      <c r="I91" s="19"/>
      <c r="J91" s="410"/>
      <c r="K91" s="410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>
      <c r="A92" s="19"/>
      <c r="B92" s="19"/>
      <c r="C92" s="19"/>
      <c r="D92" s="19"/>
      <c r="E92" s="19"/>
      <c r="F92" s="19"/>
      <c r="G92" s="19"/>
      <c r="H92" s="409"/>
      <c r="I92" s="19"/>
      <c r="J92" s="410"/>
      <c r="K92" s="410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>
      <c r="A93" s="19"/>
      <c r="B93" s="19"/>
      <c r="C93" s="19"/>
      <c r="D93" s="19"/>
      <c r="E93" s="19"/>
      <c r="F93" s="19"/>
      <c r="G93" s="19"/>
      <c r="H93" s="409"/>
      <c r="I93" s="19"/>
      <c r="J93" s="410"/>
      <c r="K93" s="410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>
      <c r="A94" s="19"/>
      <c r="B94" s="19"/>
      <c r="C94" s="19"/>
      <c r="D94" s="19"/>
      <c r="E94" s="19"/>
      <c r="F94" s="19"/>
      <c r="G94" s="19"/>
      <c r="H94" s="409"/>
      <c r="I94" s="19"/>
      <c r="J94" s="410"/>
      <c r="K94" s="410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>
      <c r="A95" s="19"/>
      <c r="B95" s="19"/>
      <c r="C95" s="19"/>
      <c r="D95" s="19"/>
      <c r="E95" s="19"/>
      <c r="F95" s="19"/>
      <c r="G95" s="19"/>
      <c r="H95" s="409"/>
      <c r="I95" s="19"/>
      <c r="J95" s="410"/>
      <c r="K95" s="410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>
      <c r="A96" s="19"/>
      <c r="B96" s="19"/>
      <c r="C96" s="19"/>
      <c r="D96" s="19"/>
      <c r="E96" s="19"/>
      <c r="F96" s="19"/>
      <c r="G96" s="19"/>
      <c r="H96" s="409"/>
      <c r="I96" s="19"/>
      <c r="J96" s="410"/>
      <c r="K96" s="410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>
      <c r="A97" s="19"/>
      <c r="B97" s="19"/>
      <c r="C97" s="19"/>
      <c r="D97" s="19"/>
      <c r="E97" s="19"/>
      <c r="F97" s="19"/>
      <c r="G97" s="19"/>
      <c r="H97" s="409"/>
      <c r="I97" s="19"/>
      <c r="J97" s="410"/>
      <c r="K97" s="410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>
      <c r="A98" s="19"/>
      <c r="B98" s="19"/>
      <c r="C98" s="19"/>
      <c r="D98" s="19"/>
      <c r="E98" s="19"/>
      <c r="F98" s="19"/>
      <c r="G98" s="19"/>
      <c r="H98" s="409"/>
      <c r="I98" s="19"/>
      <c r="J98" s="410"/>
      <c r="K98" s="410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>
      <c r="A99" s="19"/>
      <c r="B99" s="19"/>
      <c r="C99" s="19"/>
      <c r="D99" s="19"/>
      <c r="E99" s="19"/>
      <c r="F99" s="19"/>
      <c r="G99" s="19"/>
      <c r="H99" s="409"/>
      <c r="I99" s="19"/>
      <c r="J99" s="410"/>
      <c r="K99" s="410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>
      <c r="A100" s="19"/>
      <c r="B100" s="19"/>
      <c r="C100" s="19"/>
      <c r="D100" s="19"/>
      <c r="E100" s="19"/>
      <c r="F100" s="19"/>
      <c r="G100" s="19"/>
      <c r="H100" s="409"/>
      <c r="I100" s="19"/>
      <c r="J100" s="410"/>
      <c r="K100" s="410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>
      <c r="A101" s="19"/>
      <c r="B101" s="19"/>
      <c r="C101" s="19"/>
      <c r="D101" s="19"/>
      <c r="E101" s="19"/>
      <c r="F101" s="19"/>
      <c r="G101" s="19"/>
      <c r="H101" s="409"/>
      <c r="I101" s="19"/>
      <c r="J101" s="410"/>
      <c r="K101" s="410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>
      <c r="A102" s="19"/>
      <c r="B102" s="19"/>
      <c r="C102" s="19"/>
      <c r="D102" s="19"/>
      <c r="E102" s="19"/>
      <c r="F102" s="19"/>
      <c r="G102" s="19"/>
      <c r="H102" s="409"/>
      <c r="I102" s="19"/>
      <c r="J102" s="410"/>
      <c r="K102" s="410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>
      <c r="A103" s="19"/>
      <c r="B103" s="19"/>
      <c r="C103" s="19"/>
      <c r="D103" s="19"/>
      <c r="E103" s="19"/>
      <c r="F103" s="19"/>
      <c r="G103" s="19"/>
      <c r="H103" s="409"/>
      <c r="I103" s="19"/>
      <c r="J103" s="410"/>
      <c r="K103" s="410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>
      <c r="A104" s="19"/>
      <c r="B104" s="19"/>
      <c r="C104" s="19"/>
      <c r="D104" s="19"/>
      <c r="E104" s="19"/>
      <c r="F104" s="19"/>
      <c r="G104" s="19"/>
      <c r="H104" s="409"/>
      <c r="I104" s="19"/>
      <c r="J104" s="410"/>
      <c r="K104" s="410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>
      <c r="A105" s="19"/>
      <c r="B105" s="19"/>
      <c r="C105" s="19"/>
      <c r="D105" s="19"/>
      <c r="E105" s="19"/>
      <c r="F105" s="19"/>
      <c r="G105" s="19"/>
      <c r="H105" s="409"/>
      <c r="I105" s="19"/>
      <c r="J105" s="410"/>
      <c r="K105" s="410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>
      <c r="A106" s="19"/>
      <c r="B106" s="19"/>
      <c r="C106" s="19"/>
      <c r="D106" s="19"/>
      <c r="E106" s="19"/>
      <c r="F106" s="19"/>
      <c r="G106" s="19"/>
      <c r="H106" s="409"/>
      <c r="I106" s="19"/>
      <c r="J106" s="410"/>
      <c r="K106" s="410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>
      <c r="A107" s="19"/>
      <c r="B107" s="19"/>
      <c r="C107" s="19"/>
      <c r="D107" s="19"/>
      <c r="E107" s="19"/>
      <c r="F107" s="19"/>
      <c r="G107" s="19"/>
      <c r="H107" s="409"/>
      <c r="I107" s="19"/>
      <c r="J107" s="410"/>
      <c r="K107" s="410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>
      <c r="A108" s="19"/>
      <c r="B108" s="19"/>
      <c r="C108" s="19"/>
      <c r="D108" s="19"/>
      <c r="E108" s="19"/>
      <c r="F108" s="19"/>
      <c r="G108" s="19"/>
      <c r="H108" s="409"/>
      <c r="I108" s="19"/>
      <c r="J108" s="410"/>
      <c r="K108" s="410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>
      <c r="A109" s="19"/>
      <c r="B109" s="19"/>
      <c r="C109" s="19"/>
      <c r="D109" s="19"/>
      <c r="E109" s="19"/>
      <c r="F109" s="19"/>
      <c r="G109" s="19"/>
      <c r="H109" s="409"/>
      <c r="I109" s="19"/>
      <c r="J109" s="410"/>
      <c r="K109" s="410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>
      <c r="A110" s="19"/>
      <c r="B110" s="19"/>
      <c r="C110" s="19"/>
      <c r="D110" s="19"/>
      <c r="E110" s="19"/>
      <c r="F110" s="19"/>
      <c r="G110" s="19"/>
      <c r="H110" s="409"/>
      <c r="I110" s="19"/>
      <c r="J110" s="410"/>
      <c r="K110" s="410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>
      <c r="A111" s="19"/>
      <c r="B111" s="19"/>
      <c r="C111" s="19"/>
      <c r="D111" s="19"/>
      <c r="E111" s="19"/>
      <c r="F111" s="19"/>
      <c r="G111" s="19"/>
      <c r="H111" s="409"/>
      <c r="I111" s="19"/>
      <c r="J111" s="410"/>
      <c r="K111" s="410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>
      <c r="A112" s="19"/>
      <c r="B112" s="19"/>
      <c r="C112" s="19"/>
      <c r="D112" s="19"/>
      <c r="E112" s="19"/>
      <c r="F112" s="19"/>
      <c r="G112" s="19"/>
      <c r="H112" s="409"/>
      <c r="I112" s="19"/>
      <c r="J112" s="410"/>
      <c r="K112" s="410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>
      <c r="A113" s="19"/>
      <c r="B113" s="19"/>
      <c r="C113" s="19"/>
      <c r="D113" s="19"/>
      <c r="E113" s="19"/>
      <c r="F113" s="19"/>
      <c r="G113" s="19"/>
      <c r="H113" s="409"/>
      <c r="I113" s="19"/>
      <c r="J113" s="410"/>
      <c r="K113" s="410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>
      <c r="A114" s="19"/>
      <c r="B114" s="19"/>
      <c r="C114" s="19"/>
      <c r="D114" s="19"/>
      <c r="E114" s="19"/>
      <c r="F114" s="19"/>
      <c r="G114" s="19"/>
      <c r="H114" s="409"/>
      <c r="I114" s="19"/>
      <c r="J114" s="410"/>
      <c r="K114" s="410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>
      <c r="A115" s="19"/>
      <c r="B115" s="19"/>
      <c r="C115" s="19"/>
      <c r="D115" s="19"/>
      <c r="E115" s="19"/>
      <c r="F115" s="19"/>
      <c r="G115" s="19"/>
      <c r="H115" s="409"/>
      <c r="I115" s="19"/>
      <c r="J115" s="410"/>
      <c r="K115" s="410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>
      <c r="A116" s="19"/>
      <c r="B116" s="19"/>
      <c r="C116" s="19"/>
      <c r="D116" s="19"/>
      <c r="E116" s="19"/>
      <c r="F116" s="19"/>
      <c r="G116" s="19"/>
      <c r="H116" s="409"/>
      <c r="I116" s="19"/>
      <c r="J116" s="410"/>
      <c r="K116" s="410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>
      <c r="A117" s="19"/>
      <c r="B117" s="19"/>
      <c r="C117" s="19"/>
      <c r="D117" s="19"/>
      <c r="E117" s="19"/>
      <c r="F117" s="19"/>
      <c r="G117" s="19"/>
      <c r="H117" s="409"/>
      <c r="I117" s="19"/>
      <c r="J117" s="410"/>
      <c r="K117" s="410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>
      <c r="A118" s="19"/>
      <c r="B118" s="19"/>
      <c r="C118" s="19"/>
      <c r="D118" s="19"/>
      <c r="E118" s="19"/>
      <c r="F118" s="19"/>
      <c r="G118" s="19"/>
      <c r="H118" s="409"/>
      <c r="I118" s="19"/>
      <c r="J118" s="410"/>
      <c r="K118" s="410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>
      <c r="A119" s="19"/>
      <c r="B119" s="19"/>
      <c r="C119" s="19"/>
      <c r="D119" s="19"/>
      <c r="E119" s="19"/>
      <c r="F119" s="19"/>
      <c r="G119" s="19"/>
      <c r="H119" s="409"/>
      <c r="I119" s="19"/>
      <c r="J119" s="410"/>
      <c r="K119" s="410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>
      <c r="A120" s="19"/>
      <c r="B120" s="19"/>
      <c r="C120" s="19"/>
      <c r="D120" s="19"/>
      <c r="E120" s="19"/>
      <c r="F120" s="19"/>
      <c r="G120" s="19"/>
      <c r="H120" s="409"/>
      <c r="I120" s="19"/>
      <c r="J120" s="410"/>
      <c r="K120" s="410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>
      <c r="A121" s="19"/>
      <c r="B121" s="19"/>
      <c r="C121" s="19"/>
      <c r="D121" s="19"/>
      <c r="E121" s="19"/>
      <c r="F121" s="19"/>
      <c r="G121" s="19"/>
      <c r="H121" s="409"/>
      <c r="I121" s="19"/>
      <c r="J121" s="410"/>
      <c r="K121" s="410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>
      <c r="A122" s="19"/>
      <c r="B122" s="19"/>
      <c r="C122" s="19"/>
      <c r="D122" s="19"/>
      <c r="E122" s="19"/>
      <c r="F122" s="19"/>
      <c r="G122" s="19"/>
      <c r="H122" s="409"/>
      <c r="I122" s="19"/>
      <c r="J122" s="410"/>
      <c r="K122" s="410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>
      <c r="A123" s="19"/>
      <c r="B123" s="19"/>
      <c r="C123" s="19"/>
      <c r="D123" s="19"/>
      <c r="E123" s="19"/>
      <c r="F123" s="19"/>
      <c r="G123" s="19"/>
      <c r="H123" s="409"/>
      <c r="I123" s="19"/>
      <c r="J123" s="410"/>
      <c r="K123" s="410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>
      <c r="A124" s="19"/>
      <c r="B124" s="19"/>
      <c r="C124" s="19"/>
      <c r="D124" s="19"/>
      <c r="E124" s="19"/>
      <c r="F124" s="19"/>
      <c r="G124" s="19"/>
      <c r="H124" s="409"/>
      <c r="I124" s="19"/>
      <c r="J124" s="410"/>
      <c r="K124" s="410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>
      <c r="A125" s="19"/>
      <c r="B125" s="19"/>
      <c r="C125" s="19"/>
      <c r="D125" s="19"/>
      <c r="E125" s="19"/>
      <c r="F125" s="19"/>
      <c r="G125" s="19"/>
      <c r="H125" s="409"/>
      <c r="I125" s="19"/>
      <c r="J125" s="410"/>
      <c r="K125" s="410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>
      <c r="A126" s="19"/>
      <c r="B126" s="19"/>
      <c r="C126" s="19"/>
      <c r="D126" s="19"/>
      <c r="E126" s="19"/>
      <c r="F126" s="19"/>
      <c r="G126" s="19"/>
      <c r="H126" s="409"/>
      <c r="I126" s="19"/>
      <c r="J126" s="410"/>
      <c r="K126" s="410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>
      <c r="A127" s="19"/>
      <c r="B127" s="19"/>
      <c r="C127" s="19"/>
      <c r="D127" s="19"/>
      <c r="E127" s="19"/>
      <c r="F127" s="19"/>
      <c r="G127" s="19"/>
      <c r="H127" s="409"/>
      <c r="I127" s="19"/>
      <c r="J127" s="410"/>
      <c r="K127" s="410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>
      <c r="A128" s="19"/>
      <c r="B128" s="19"/>
      <c r="C128" s="19"/>
      <c r="D128" s="19"/>
      <c r="E128" s="19"/>
      <c r="F128" s="19"/>
      <c r="G128" s="19"/>
      <c r="H128" s="409"/>
      <c r="I128" s="19"/>
      <c r="J128" s="410"/>
      <c r="K128" s="410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>
      <c r="A129" s="19"/>
      <c r="B129" s="19"/>
      <c r="C129" s="19"/>
      <c r="D129" s="19"/>
      <c r="E129" s="19"/>
      <c r="F129" s="19"/>
      <c r="G129" s="19"/>
      <c r="H129" s="409"/>
      <c r="I129" s="19"/>
      <c r="J129" s="410"/>
      <c r="K129" s="410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>
      <c r="A130" s="19"/>
      <c r="B130" s="19"/>
      <c r="C130" s="19"/>
      <c r="D130" s="19"/>
      <c r="E130" s="19"/>
      <c r="F130" s="19"/>
      <c r="G130" s="19"/>
      <c r="H130" s="409"/>
      <c r="I130" s="19"/>
      <c r="J130" s="410"/>
      <c r="K130" s="410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>
      <c r="A131" s="19"/>
      <c r="B131" s="19"/>
      <c r="C131" s="19"/>
      <c r="D131" s="19"/>
      <c r="E131" s="19"/>
      <c r="F131" s="19"/>
      <c r="G131" s="19"/>
      <c r="H131" s="409"/>
      <c r="I131" s="19"/>
      <c r="J131" s="410"/>
      <c r="K131" s="410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>
      <c r="A132" s="19"/>
      <c r="B132" s="19"/>
      <c r="C132" s="19"/>
      <c r="D132" s="19"/>
      <c r="E132" s="19"/>
      <c r="F132" s="19"/>
      <c r="G132" s="19"/>
      <c r="H132" s="409"/>
      <c r="I132" s="19"/>
      <c r="J132" s="410"/>
      <c r="K132" s="410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>
      <c r="A133" s="19"/>
      <c r="B133" s="19"/>
      <c r="C133" s="19"/>
      <c r="D133" s="19"/>
      <c r="E133" s="19"/>
      <c r="F133" s="19"/>
      <c r="G133" s="19"/>
      <c r="H133" s="409"/>
      <c r="I133" s="19"/>
      <c r="J133" s="410"/>
      <c r="K133" s="410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>
      <c r="A134" s="19"/>
      <c r="B134" s="19"/>
      <c r="C134" s="19"/>
      <c r="D134" s="19"/>
      <c r="E134" s="19"/>
      <c r="F134" s="19"/>
      <c r="G134" s="19"/>
      <c r="H134" s="409"/>
      <c r="I134" s="19"/>
      <c r="J134" s="410"/>
      <c r="K134" s="410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>
      <c r="A135" s="19"/>
      <c r="B135" s="19"/>
      <c r="C135" s="19"/>
      <c r="D135" s="19"/>
      <c r="E135" s="19"/>
      <c r="F135" s="19"/>
      <c r="G135" s="19"/>
      <c r="H135" s="409"/>
      <c r="I135" s="19"/>
      <c r="J135" s="410"/>
      <c r="K135" s="410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>
      <c r="A136" s="19"/>
      <c r="B136" s="19"/>
      <c r="C136" s="19"/>
      <c r="D136" s="19"/>
      <c r="E136" s="19"/>
      <c r="F136" s="19"/>
      <c r="G136" s="19"/>
      <c r="H136" s="409"/>
      <c r="I136" s="19"/>
      <c r="J136" s="410"/>
      <c r="K136" s="410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>
      <c r="A137" s="19"/>
      <c r="B137" s="19"/>
      <c r="C137" s="19"/>
      <c r="D137" s="19"/>
      <c r="E137" s="19"/>
      <c r="F137" s="19"/>
      <c r="G137" s="19"/>
      <c r="H137" s="409"/>
      <c r="I137" s="19"/>
      <c r="J137" s="410"/>
      <c r="K137" s="410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>
      <c r="A138" s="19"/>
      <c r="B138" s="19"/>
      <c r="C138" s="19"/>
      <c r="D138" s="19"/>
      <c r="E138" s="19"/>
      <c r="F138" s="19"/>
      <c r="G138" s="19"/>
      <c r="H138" s="409"/>
      <c r="I138" s="19"/>
      <c r="J138" s="410"/>
      <c r="K138" s="410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>
      <c r="A139" s="19"/>
      <c r="B139" s="19"/>
      <c r="C139" s="19"/>
      <c r="D139" s="19"/>
      <c r="E139" s="19"/>
      <c r="F139" s="19"/>
      <c r="G139" s="19"/>
      <c r="H139" s="409"/>
      <c r="I139" s="19"/>
      <c r="J139" s="410"/>
      <c r="K139" s="410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>
      <c r="A140" s="19"/>
      <c r="B140" s="19"/>
      <c r="C140" s="19"/>
      <c r="D140" s="19"/>
      <c r="E140" s="19"/>
      <c r="F140" s="19"/>
      <c r="G140" s="19"/>
      <c r="H140" s="409"/>
      <c r="I140" s="19"/>
      <c r="J140" s="410"/>
      <c r="K140" s="410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>
      <c r="A141" s="19"/>
      <c r="B141" s="19"/>
      <c r="C141" s="19"/>
      <c r="D141" s="19"/>
      <c r="E141" s="19"/>
      <c r="F141" s="19"/>
      <c r="G141" s="19"/>
      <c r="H141" s="409"/>
      <c r="I141" s="19"/>
      <c r="J141" s="410"/>
      <c r="K141" s="410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>
      <c r="A142" s="19"/>
      <c r="B142" s="19"/>
      <c r="C142" s="19"/>
      <c r="D142" s="19"/>
      <c r="E142" s="19"/>
      <c r="F142" s="19"/>
      <c r="G142" s="19"/>
      <c r="H142" s="409"/>
      <c r="I142" s="19"/>
      <c r="J142" s="410"/>
      <c r="K142" s="410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>
      <c r="A143" s="19"/>
      <c r="B143" s="19"/>
      <c r="C143" s="19"/>
      <c r="D143" s="19"/>
      <c r="E143" s="19"/>
      <c r="F143" s="19"/>
      <c r="G143" s="19"/>
      <c r="H143" s="409"/>
      <c r="I143" s="19"/>
      <c r="J143" s="410"/>
      <c r="K143" s="410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>
      <c r="A144" s="19"/>
      <c r="B144" s="19"/>
      <c r="C144" s="19"/>
      <c r="D144" s="19"/>
      <c r="E144" s="19"/>
      <c r="F144" s="19"/>
      <c r="G144" s="19"/>
      <c r="H144" s="409"/>
      <c r="I144" s="19"/>
      <c r="J144" s="410"/>
      <c r="K144" s="410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>
      <c r="A145" s="19"/>
      <c r="B145" s="19"/>
      <c r="C145" s="19"/>
      <c r="D145" s="19"/>
      <c r="E145" s="19"/>
      <c r="F145" s="19"/>
      <c r="G145" s="19"/>
      <c r="H145" s="409"/>
      <c r="I145" s="19"/>
      <c r="J145" s="410"/>
      <c r="K145" s="410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>
      <c r="A146" s="19"/>
      <c r="B146" s="19"/>
      <c r="C146" s="19"/>
      <c r="D146" s="19"/>
      <c r="E146" s="19"/>
      <c r="F146" s="19"/>
      <c r="G146" s="19"/>
      <c r="H146" s="409"/>
      <c r="I146" s="19"/>
      <c r="J146" s="410"/>
      <c r="K146" s="410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>
      <c r="A147" s="19"/>
      <c r="B147" s="19"/>
      <c r="C147" s="19"/>
      <c r="D147" s="19"/>
      <c r="E147" s="19"/>
      <c r="F147" s="19"/>
      <c r="G147" s="19"/>
      <c r="H147" s="409"/>
      <c r="I147" s="19"/>
      <c r="J147" s="410"/>
      <c r="K147" s="410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>
      <c r="A148" s="19"/>
      <c r="B148" s="19"/>
      <c r="C148" s="19"/>
      <c r="D148" s="19"/>
      <c r="E148" s="19"/>
      <c r="F148" s="19"/>
      <c r="G148" s="19"/>
      <c r="H148" s="409"/>
      <c r="I148" s="19"/>
      <c r="J148" s="410"/>
      <c r="K148" s="410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>
      <c r="A149" s="19"/>
      <c r="B149" s="19"/>
      <c r="C149" s="19"/>
      <c r="D149" s="19"/>
      <c r="E149" s="19"/>
      <c r="F149" s="19"/>
      <c r="G149" s="19"/>
      <c r="H149" s="409"/>
      <c r="I149" s="19"/>
      <c r="J149" s="410"/>
      <c r="K149" s="410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>
      <c r="A150" s="19"/>
      <c r="B150" s="19"/>
      <c r="C150" s="19"/>
      <c r="D150" s="19"/>
      <c r="E150" s="19"/>
      <c r="F150" s="19"/>
      <c r="G150" s="19"/>
      <c r="H150" s="409"/>
      <c r="I150" s="19"/>
      <c r="J150" s="410"/>
      <c r="K150" s="410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>
      <c r="A151" s="19"/>
      <c r="B151" s="19"/>
      <c r="C151" s="19"/>
      <c r="D151" s="19"/>
      <c r="E151" s="19"/>
      <c r="F151" s="19"/>
      <c r="G151" s="19"/>
      <c r="H151" s="409"/>
      <c r="I151" s="19"/>
      <c r="J151" s="410"/>
      <c r="K151" s="410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>
      <c r="A152" s="19"/>
      <c r="B152" s="19"/>
      <c r="C152" s="19"/>
      <c r="D152" s="19"/>
      <c r="E152" s="19"/>
      <c r="F152" s="19"/>
      <c r="G152" s="19"/>
      <c r="H152" s="409"/>
      <c r="I152" s="19"/>
      <c r="J152" s="410"/>
      <c r="K152" s="410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>
      <c r="A153" s="19"/>
      <c r="B153" s="19"/>
      <c r="C153" s="19"/>
      <c r="D153" s="19"/>
      <c r="E153" s="19"/>
      <c r="F153" s="19"/>
      <c r="G153" s="19"/>
      <c r="H153" s="409"/>
      <c r="I153" s="19"/>
      <c r="J153" s="410"/>
      <c r="K153" s="410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>
      <c r="A154" s="19"/>
      <c r="B154" s="19"/>
      <c r="C154" s="19"/>
      <c r="D154" s="19"/>
      <c r="E154" s="19"/>
      <c r="F154" s="19"/>
      <c r="G154" s="19"/>
      <c r="H154" s="409"/>
      <c r="I154" s="19"/>
      <c r="J154" s="410"/>
      <c r="K154" s="410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>
      <c r="A155" s="19"/>
      <c r="B155" s="19"/>
      <c r="C155" s="19"/>
      <c r="D155" s="19"/>
      <c r="E155" s="19"/>
      <c r="F155" s="19"/>
      <c r="G155" s="19"/>
      <c r="H155" s="409"/>
      <c r="I155" s="19"/>
      <c r="J155" s="410"/>
      <c r="K155" s="410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>
      <c r="A156" s="19"/>
      <c r="B156" s="19"/>
      <c r="C156" s="19"/>
      <c r="D156" s="19"/>
      <c r="E156" s="19"/>
      <c r="F156" s="19"/>
      <c r="G156" s="19"/>
      <c r="H156" s="409"/>
      <c r="I156" s="19"/>
      <c r="J156" s="410"/>
      <c r="K156" s="410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>
      <c r="A157" s="19"/>
      <c r="B157" s="19"/>
      <c r="C157" s="19"/>
      <c r="D157" s="19"/>
      <c r="E157" s="19"/>
      <c r="F157" s="19"/>
      <c r="G157" s="19"/>
      <c r="H157" s="409"/>
      <c r="I157" s="19"/>
      <c r="J157" s="410"/>
      <c r="K157" s="410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>
      <c r="A158" s="19"/>
      <c r="B158" s="19"/>
      <c r="C158" s="19"/>
      <c r="D158" s="19"/>
      <c r="E158" s="19"/>
      <c r="F158" s="19"/>
      <c r="G158" s="19"/>
      <c r="H158" s="409"/>
      <c r="I158" s="19"/>
      <c r="J158" s="410"/>
      <c r="K158" s="410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>
      <c r="A159" s="19"/>
      <c r="B159" s="19"/>
      <c r="C159" s="19"/>
      <c r="D159" s="19"/>
      <c r="E159" s="19"/>
      <c r="F159" s="19"/>
      <c r="G159" s="19"/>
      <c r="H159" s="409"/>
      <c r="I159" s="19"/>
      <c r="J159" s="410"/>
      <c r="K159" s="410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>
      <c r="A160" s="19"/>
      <c r="B160" s="19"/>
      <c r="C160" s="19"/>
      <c r="D160" s="19"/>
      <c r="E160" s="19"/>
      <c r="F160" s="19"/>
      <c r="G160" s="19"/>
      <c r="H160" s="409"/>
      <c r="I160" s="19"/>
      <c r="J160" s="410"/>
      <c r="K160" s="410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>
      <c r="A161" s="19"/>
      <c r="B161" s="19"/>
      <c r="C161" s="19"/>
      <c r="D161" s="19"/>
      <c r="E161" s="19"/>
      <c r="F161" s="19"/>
      <c r="G161" s="19"/>
      <c r="H161" s="409"/>
      <c r="I161" s="19"/>
      <c r="J161" s="410"/>
      <c r="K161" s="410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>
      <c r="A162" s="19"/>
      <c r="B162" s="19"/>
      <c r="C162" s="19"/>
      <c r="D162" s="19"/>
      <c r="E162" s="19"/>
      <c r="F162" s="19"/>
      <c r="G162" s="19"/>
      <c r="H162" s="409"/>
      <c r="I162" s="19"/>
      <c r="J162" s="410"/>
      <c r="K162" s="410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>
      <c r="A163" s="19"/>
      <c r="B163" s="19"/>
      <c r="C163" s="19"/>
      <c r="D163" s="19"/>
      <c r="E163" s="19"/>
      <c r="F163" s="19"/>
      <c r="G163" s="19"/>
      <c r="H163" s="409"/>
      <c r="I163" s="19"/>
      <c r="J163" s="410"/>
      <c r="K163" s="410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>
      <c r="A164" s="19"/>
      <c r="B164" s="19"/>
      <c r="C164" s="19"/>
      <c r="D164" s="19"/>
      <c r="E164" s="19"/>
      <c r="F164" s="19"/>
      <c r="G164" s="19"/>
      <c r="H164" s="409"/>
      <c r="I164" s="19"/>
      <c r="J164" s="410"/>
      <c r="K164" s="410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>
      <c r="A165" s="19"/>
      <c r="B165" s="19"/>
      <c r="C165" s="19"/>
      <c r="D165" s="19"/>
      <c r="E165" s="19"/>
      <c r="F165" s="19"/>
      <c r="G165" s="19"/>
      <c r="H165" s="409"/>
      <c r="I165" s="19"/>
      <c r="J165" s="410"/>
      <c r="K165" s="410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>
      <c r="A166" s="19"/>
      <c r="B166" s="19"/>
      <c r="C166" s="19"/>
      <c r="D166" s="19"/>
      <c r="E166" s="19"/>
      <c r="F166" s="19"/>
      <c r="G166" s="19"/>
      <c r="H166" s="409"/>
      <c r="I166" s="19"/>
      <c r="J166" s="410"/>
      <c r="K166" s="410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>
      <c r="A167" s="19"/>
      <c r="B167" s="19"/>
      <c r="C167" s="19"/>
      <c r="D167" s="19"/>
      <c r="E167" s="19"/>
      <c r="F167" s="19"/>
      <c r="G167" s="19"/>
      <c r="H167" s="409"/>
      <c r="I167" s="19"/>
      <c r="J167" s="410"/>
      <c r="K167" s="410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>
      <c r="A168" s="19"/>
      <c r="B168" s="19"/>
      <c r="C168" s="19"/>
      <c r="D168" s="19"/>
      <c r="E168" s="19"/>
      <c r="F168" s="19"/>
      <c r="G168" s="19"/>
      <c r="H168" s="409"/>
      <c r="I168" s="19"/>
      <c r="J168" s="410"/>
      <c r="K168" s="410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>
      <c r="A169" s="19"/>
      <c r="B169" s="19"/>
      <c r="C169" s="19"/>
      <c r="D169" s="19"/>
      <c r="E169" s="19"/>
      <c r="F169" s="19"/>
      <c r="G169" s="19"/>
      <c r="H169" s="409"/>
      <c r="I169" s="19"/>
      <c r="J169" s="410"/>
      <c r="K169" s="410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>
      <c r="A170" s="19"/>
      <c r="B170" s="19"/>
      <c r="C170" s="19"/>
      <c r="D170" s="19"/>
      <c r="E170" s="19"/>
      <c r="F170" s="19"/>
      <c r="G170" s="19"/>
      <c r="H170" s="409"/>
      <c r="I170" s="19"/>
      <c r="J170" s="410"/>
      <c r="K170" s="410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>
      <c r="A171" s="19"/>
      <c r="B171" s="19"/>
      <c r="C171" s="19"/>
      <c r="D171" s="19"/>
      <c r="E171" s="19"/>
      <c r="F171" s="19"/>
      <c r="G171" s="19"/>
      <c r="H171" s="409"/>
      <c r="I171" s="19"/>
      <c r="J171" s="410"/>
      <c r="K171" s="410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>
      <c r="A172" s="19"/>
      <c r="B172" s="19"/>
      <c r="C172" s="19"/>
      <c r="D172" s="19"/>
      <c r="E172" s="19"/>
      <c r="F172" s="19"/>
      <c r="G172" s="19"/>
      <c r="H172" s="409"/>
      <c r="I172" s="19"/>
      <c r="J172" s="410"/>
      <c r="K172" s="410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>
      <c r="A173" s="19"/>
      <c r="B173" s="19"/>
      <c r="C173" s="19"/>
      <c r="D173" s="19"/>
      <c r="E173" s="19"/>
      <c r="F173" s="19"/>
      <c r="G173" s="19"/>
      <c r="H173" s="409"/>
      <c r="I173" s="19"/>
      <c r="J173" s="410"/>
      <c r="K173" s="410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>
      <c r="A174" s="19"/>
      <c r="B174" s="19"/>
      <c r="C174" s="19"/>
      <c r="D174" s="19"/>
      <c r="E174" s="19"/>
      <c r="F174" s="19"/>
      <c r="G174" s="19"/>
      <c r="H174" s="409"/>
      <c r="I174" s="19"/>
      <c r="J174" s="410"/>
      <c r="K174" s="410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>
      <c r="A175" s="19"/>
      <c r="B175" s="19"/>
      <c r="C175" s="19"/>
      <c r="D175" s="19"/>
      <c r="E175" s="19"/>
      <c r="F175" s="19"/>
      <c r="G175" s="19"/>
      <c r="H175" s="409"/>
      <c r="I175" s="19"/>
      <c r="J175" s="410"/>
      <c r="K175" s="410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>
      <c r="A176" s="19"/>
      <c r="B176" s="19"/>
      <c r="C176" s="19"/>
      <c r="D176" s="19"/>
      <c r="E176" s="19"/>
      <c r="F176" s="19"/>
      <c r="G176" s="19"/>
      <c r="H176" s="409"/>
      <c r="I176" s="19"/>
      <c r="J176" s="410"/>
      <c r="K176" s="410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>
      <c r="A177" s="19"/>
      <c r="B177" s="19"/>
      <c r="C177" s="19"/>
      <c r="D177" s="19"/>
      <c r="E177" s="19"/>
      <c r="F177" s="19"/>
      <c r="G177" s="19"/>
      <c r="H177" s="409"/>
      <c r="I177" s="19"/>
      <c r="J177" s="410"/>
      <c r="K177" s="410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>
      <c r="A178" s="19"/>
      <c r="B178" s="19"/>
      <c r="C178" s="19"/>
      <c r="D178" s="19"/>
      <c r="E178" s="19"/>
      <c r="F178" s="19"/>
      <c r="G178" s="19"/>
      <c r="H178" s="409"/>
      <c r="I178" s="19"/>
      <c r="J178" s="410"/>
      <c r="K178" s="410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>
      <c r="A179" s="19"/>
      <c r="B179" s="19"/>
      <c r="C179" s="19"/>
      <c r="D179" s="19"/>
      <c r="E179" s="19"/>
      <c r="F179" s="19"/>
      <c r="G179" s="19"/>
      <c r="H179" s="409"/>
      <c r="I179" s="19"/>
      <c r="J179" s="410"/>
      <c r="K179" s="410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>
      <c r="A180" s="19"/>
      <c r="B180" s="19"/>
      <c r="C180" s="19"/>
      <c r="D180" s="19"/>
      <c r="E180" s="19"/>
      <c r="F180" s="19"/>
      <c r="G180" s="19"/>
      <c r="H180" s="409"/>
      <c r="I180" s="19"/>
      <c r="J180" s="410"/>
      <c r="K180" s="410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>
      <c r="A181" s="19"/>
      <c r="B181" s="19"/>
      <c r="C181" s="19"/>
      <c r="D181" s="19"/>
      <c r="E181" s="19"/>
      <c r="F181" s="19"/>
      <c r="G181" s="19"/>
      <c r="H181" s="409"/>
      <c r="I181" s="19"/>
      <c r="J181" s="410"/>
      <c r="K181" s="410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>
      <c r="A182" s="19"/>
      <c r="B182" s="19"/>
      <c r="C182" s="19"/>
      <c r="D182" s="19"/>
      <c r="E182" s="19"/>
      <c r="F182" s="19"/>
      <c r="G182" s="19"/>
      <c r="H182" s="409"/>
      <c r="I182" s="19"/>
      <c r="J182" s="410"/>
      <c r="K182" s="410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>
      <c r="A183" s="19"/>
      <c r="B183" s="19"/>
      <c r="C183" s="19"/>
      <c r="D183" s="19"/>
      <c r="E183" s="19"/>
      <c r="F183" s="19"/>
      <c r="G183" s="19"/>
      <c r="H183" s="409"/>
      <c r="I183" s="19"/>
      <c r="J183" s="410"/>
      <c r="K183" s="410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>
      <c r="A184" s="19"/>
      <c r="B184" s="19"/>
      <c r="C184" s="19"/>
      <c r="D184" s="19"/>
      <c r="E184" s="19"/>
      <c r="F184" s="19"/>
      <c r="G184" s="19"/>
      <c r="H184" s="409"/>
      <c r="I184" s="19"/>
      <c r="J184" s="410"/>
      <c r="K184" s="410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>
      <c r="A185" s="19"/>
      <c r="B185" s="19"/>
      <c r="C185" s="19"/>
      <c r="D185" s="19"/>
      <c r="E185" s="19"/>
      <c r="F185" s="19"/>
      <c r="G185" s="19"/>
      <c r="H185" s="409"/>
      <c r="I185" s="19"/>
      <c r="J185" s="410"/>
      <c r="K185" s="410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>
      <c r="A186" s="19"/>
      <c r="B186" s="19"/>
      <c r="C186" s="19"/>
      <c r="D186" s="19"/>
      <c r="E186" s="19"/>
      <c r="F186" s="19"/>
      <c r="G186" s="19"/>
      <c r="H186" s="409"/>
      <c r="I186" s="19"/>
      <c r="J186" s="410"/>
      <c r="K186" s="410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>
      <c r="A187" s="19"/>
      <c r="B187" s="19"/>
      <c r="C187" s="19"/>
      <c r="D187" s="19"/>
      <c r="E187" s="19"/>
      <c r="F187" s="19"/>
      <c r="G187" s="19"/>
      <c r="H187" s="409"/>
      <c r="I187" s="19"/>
      <c r="J187" s="410"/>
      <c r="K187" s="410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>
      <c r="A188" s="19"/>
      <c r="B188" s="19"/>
      <c r="C188" s="19"/>
      <c r="D188" s="19"/>
      <c r="E188" s="19"/>
      <c r="F188" s="19"/>
      <c r="G188" s="19"/>
      <c r="H188" s="409"/>
      <c r="I188" s="19"/>
      <c r="J188" s="410"/>
      <c r="K188" s="410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>
      <c r="A189" s="19"/>
      <c r="B189" s="19"/>
      <c r="C189" s="19"/>
      <c r="D189" s="19"/>
      <c r="E189" s="19"/>
      <c r="F189" s="19"/>
      <c r="G189" s="19"/>
      <c r="H189" s="409"/>
      <c r="I189" s="19"/>
      <c r="J189" s="410"/>
      <c r="K189" s="410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>
      <c r="A190" s="19"/>
      <c r="B190" s="19"/>
      <c r="C190" s="19"/>
      <c r="D190" s="19"/>
      <c r="E190" s="19"/>
      <c r="F190" s="19"/>
      <c r="G190" s="19"/>
      <c r="H190" s="409"/>
      <c r="I190" s="19"/>
      <c r="J190" s="410"/>
      <c r="K190" s="410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>
      <c r="A191" s="19"/>
      <c r="B191" s="19"/>
      <c r="C191" s="19"/>
      <c r="D191" s="19"/>
      <c r="E191" s="19"/>
      <c r="F191" s="19"/>
      <c r="G191" s="19"/>
      <c r="H191" s="409"/>
      <c r="I191" s="19"/>
      <c r="J191" s="410"/>
      <c r="K191" s="410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>
      <c r="A192" s="19"/>
      <c r="B192" s="19"/>
      <c r="C192" s="19"/>
      <c r="D192" s="19"/>
      <c r="E192" s="19"/>
      <c r="F192" s="19"/>
      <c r="G192" s="19"/>
      <c r="H192" s="409"/>
      <c r="I192" s="19"/>
      <c r="J192" s="410"/>
      <c r="K192" s="410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>
      <c r="A193" s="19"/>
      <c r="B193" s="19"/>
      <c r="C193" s="19"/>
      <c r="D193" s="19"/>
      <c r="E193" s="19"/>
      <c r="F193" s="19"/>
      <c r="G193" s="19"/>
      <c r="H193" s="409"/>
      <c r="I193" s="19"/>
      <c r="J193" s="410"/>
      <c r="K193" s="410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>
      <c r="A194" s="19"/>
      <c r="B194" s="19"/>
      <c r="C194" s="19"/>
      <c r="D194" s="19"/>
      <c r="E194" s="19"/>
      <c r="F194" s="19"/>
      <c r="G194" s="19"/>
      <c r="H194" s="409"/>
      <c r="I194" s="19"/>
      <c r="J194" s="410"/>
      <c r="K194" s="410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>
      <c r="A195" s="19"/>
      <c r="B195" s="19"/>
      <c r="C195" s="19"/>
      <c r="D195" s="19"/>
      <c r="E195" s="19"/>
      <c r="F195" s="19"/>
      <c r="G195" s="19"/>
      <c r="H195" s="409"/>
      <c r="I195" s="19"/>
      <c r="J195" s="410"/>
      <c r="K195" s="410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>
      <c r="A196" s="19"/>
      <c r="B196" s="19"/>
      <c r="C196" s="19"/>
      <c r="D196" s="19"/>
      <c r="E196" s="19"/>
      <c r="F196" s="19"/>
      <c r="G196" s="19"/>
      <c r="H196" s="409"/>
      <c r="I196" s="19"/>
      <c r="J196" s="410"/>
      <c r="K196" s="410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>
      <c r="A197" s="19"/>
      <c r="B197" s="19"/>
      <c r="C197" s="19"/>
      <c r="D197" s="19"/>
      <c r="E197" s="19"/>
      <c r="F197" s="19"/>
      <c r="G197" s="19"/>
      <c r="H197" s="409"/>
      <c r="I197" s="19"/>
      <c r="J197" s="410"/>
      <c r="K197" s="410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>
      <c r="A198" s="19"/>
      <c r="B198" s="19"/>
      <c r="C198" s="19"/>
      <c r="D198" s="19"/>
      <c r="E198" s="19"/>
      <c r="F198" s="19"/>
      <c r="G198" s="19"/>
      <c r="H198" s="409"/>
      <c r="I198" s="19"/>
      <c r="J198" s="410"/>
      <c r="K198" s="410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>
      <c r="A199" s="19"/>
      <c r="B199" s="19"/>
      <c r="C199" s="19"/>
      <c r="D199" s="19"/>
      <c r="E199" s="19"/>
      <c r="F199" s="19"/>
      <c r="G199" s="19"/>
      <c r="H199" s="409"/>
      <c r="I199" s="19"/>
      <c r="J199" s="410"/>
      <c r="K199" s="410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>
      <c r="A200" s="19"/>
      <c r="B200" s="19"/>
      <c r="C200" s="19"/>
      <c r="D200" s="19"/>
      <c r="E200" s="19"/>
      <c r="F200" s="19"/>
      <c r="G200" s="19"/>
      <c r="H200" s="409"/>
      <c r="I200" s="19"/>
      <c r="J200" s="410"/>
      <c r="K200" s="410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>
      <c r="A201" s="19"/>
      <c r="B201" s="19"/>
      <c r="C201" s="19"/>
      <c r="D201" s="19"/>
      <c r="E201" s="19"/>
      <c r="F201" s="19"/>
      <c r="G201" s="19"/>
      <c r="H201" s="409"/>
      <c r="I201" s="19"/>
      <c r="J201" s="410"/>
      <c r="K201" s="410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>
      <c r="A202" s="19"/>
      <c r="B202" s="19"/>
      <c r="C202" s="19"/>
      <c r="D202" s="19"/>
      <c r="E202" s="19"/>
      <c r="F202" s="19"/>
      <c r="G202" s="19"/>
      <c r="H202" s="409"/>
      <c r="I202" s="19"/>
      <c r="J202" s="410"/>
      <c r="K202" s="410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>
      <c r="A203" s="19"/>
      <c r="B203" s="19"/>
      <c r="C203" s="19"/>
      <c r="D203" s="19"/>
      <c r="E203" s="19"/>
      <c r="F203" s="19"/>
      <c r="G203" s="19"/>
      <c r="H203" s="409"/>
      <c r="I203" s="19"/>
      <c r="J203" s="410"/>
      <c r="K203" s="410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>
      <c r="A204" s="19"/>
      <c r="B204" s="19"/>
      <c r="C204" s="19"/>
      <c r="D204" s="19"/>
      <c r="E204" s="19"/>
      <c r="F204" s="19"/>
      <c r="G204" s="19"/>
      <c r="H204" s="409"/>
      <c r="I204" s="19"/>
      <c r="J204" s="410"/>
      <c r="K204" s="410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>
      <c r="A205" s="19"/>
      <c r="B205" s="19"/>
      <c r="C205" s="19"/>
      <c r="D205" s="19"/>
      <c r="E205" s="19"/>
      <c r="F205" s="19"/>
      <c r="G205" s="19"/>
      <c r="H205" s="409"/>
      <c r="I205" s="19"/>
      <c r="J205" s="410"/>
      <c r="K205" s="410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>
      <c r="A206" s="19"/>
      <c r="B206" s="19"/>
      <c r="C206" s="19"/>
      <c r="D206" s="19"/>
      <c r="E206" s="19"/>
      <c r="F206" s="19"/>
      <c r="G206" s="19"/>
      <c r="H206" s="409"/>
      <c r="I206" s="19"/>
      <c r="J206" s="410"/>
      <c r="K206" s="410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>
      <c r="A207" s="19"/>
      <c r="B207" s="19"/>
      <c r="C207" s="19"/>
      <c r="D207" s="19"/>
      <c r="E207" s="19"/>
      <c r="F207" s="19"/>
      <c r="G207" s="19"/>
      <c r="H207" s="409"/>
      <c r="I207" s="19"/>
      <c r="J207" s="410"/>
      <c r="K207" s="410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>
      <c r="A208" s="19"/>
      <c r="B208" s="19"/>
      <c r="C208" s="19"/>
      <c r="D208" s="19"/>
      <c r="E208" s="19"/>
      <c r="F208" s="19"/>
      <c r="G208" s="19"/>
      <c r="H208" s="409"/>
      <c r="I208" s="19"/>
      <c r="J208" s="410"/>
      <c r="K208" s="410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>
      <c r="A209" s="19"/>
      <c r="B209" s="19"/>
      <c r="C209" s="19"/>
      <c r="D209" s="19"/>
      <c r="E209" s="19"/>
      <c r="F209" s="19"/>
      <c r="G209" s="19"/>
      <c r="H209" s="409"/>
      <c r="I209" s="19"/>
      <c r="J209" s="410"/>
      <c r="K209" s="410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>
      <c r="A210" s="19"/>
      <c r="B210" s="19"/>
      <c r="C210" s="19"/>
      <c r="D210" s="19"/>
      <c r="E210" s="19"/>
      <c r="F210" s="19"/>
      <c r="G210" s="19"/>
      <c r="H210" s="409"/>
      <c r="I210" s="19"/>
      <c r="J210" s="410"/>
      <c r="K210" s="410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>
      <c r="A211" s="19"/>
      <c r="B211" s="19"/>
      <c r="C211" s="19"/>
      <c r="D211" s="19"/>
      <c r="E211" s="19"/>
      <c r="F211" s="19"/>
      <c r="G211" s="19"/>
      <c r="H211" s="409"/>
      <c r="I211" s="19"/>
      <c r="J211" s="410"/>
      <c r="K211" s="410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>
      <c r="A212" s="19"/>
      <c r="B212" s="19"/>
      <c r="C212" s="19"/>
      <c r="D212" s="19"/>
      <c r="E212" s="19"/>
      <c r="F212" s="19"/>
      <c r="G212" s="19"/>
      <c r="H212" s="409"/>
      <c r="I212" s="19"/>
      <c r="J212" s="410"/>
      <c r="K212" s="410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>
      <c r="A213" s="19"/>
      <c r="B213" s="19"/>
      <c r="C213" s="19"/>
      <c r="D213" s="19"/>
      <c r="E213" s="19"/>
      <c r="F213" s="19"/>
      <c r="G213" s="19"/>
      <c r="H213" s="409"/>
      <c r="I213" s="19"/>
      <c r="J213" s="410"/>
      <c r="K213" s="410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>
      <c r="A214" s="19"/>
      <c r="B214" s="19"/>
      <c r="C214" s="19"/>
      <c r="D214" s="19"/>
      <c r="E214" s="19"/>
      <c r="F214" s="19"/>
      <c r="G214" s="19"/>
      <c r="H214" s="409"/>
      <c r="I214" s="19"/>
      <c r="J214" s="410"/>
      <c r="K214" s="410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>
      <c r="A215" s="19"/>
      <c r="B215" s="19"/>
      <c r="C215" s="19"/>
      <c r="D215" s="19"/>
      <c r="E215" s="19"/>
      <c r="F215" s="19"/>
      <c r="G215" s="19"/>
      <c r="H215" s="409"/>
      <c r="I215" s="19"/>
      <c r="J215" s="410"/>
      <c r="K215" s="410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>
      <c r="A216" s="19"/>
      <c r="B216" s="19"/>
      <c r="C216" s="19"/>
      <c r="D216" s="19"/>
      <c r="E216" s="19"/>
      <c r="F216" s="19"/>
      <c r="G216" s="19"/>
      <c r="H216" s="409"/>
      <c r="I216" s="19"/>
      <c r="J216" s="410"/>
      <c r="K216" s="410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>
      <c r="A217" s="19"/>
      <c r="B217" s="19"/>
      <c r="C217" s="19"/>
      <c r="D217" s="19"/>
      <c r="E217" s="19"/>
      <c r="F217" s="19"/>
      <c r="G217" s="19"/>
      <c r="H217" s="409"/>
      <c r="I217" s="19"/>
      <c r="J217" s="410"/>
      <c r="K217" s="410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>
      <c r="A218" s="19"/>
      <c r="B218" s="19"/>
      <c r="C218" s="19"/>
      <c r="D218" s="19"/>
      <c r="E218" s="19"/>
      <c r="F218" s="19"/>
      <c r="G218" s="19"/>
      <c r="H218" s="409"/>
      <c r="I218" s="19"/>
      <c r="J218" s="410"/>
      <c r="K218" s="410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>
      <c r="A219" s="19"/>
      <c r="B219" s="19"/>
      <c r="C219" s="19"/>
      <c r="D219" s="19"/>
      <c r="E219" s="19"/>
      <c r="F219" s="19"/>
      <c r="G219" s="19"/>
      <c r="H219" s="409"/>
      <c r="I219" s="19"/>
      <c r="J219" s="410"/>
      <c r="K219" s="410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>
      <c r="A220" s="19"/>
      <c r="B220" s="19"/>
      <c r="C220" s="19"/>
      <c r="D220" s="19"/>
      <c r="E220" s="19"/>
      <c r="F220" s="19"/>
      <c r="G220" s="19"/>
      <c r="H220" s="409"/>
      <c r="I220" s="19"/>
      <c r="J220" s="410"/>
      <c r="K220" s="410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>
      <c r="A221" s="19"/>
      <c r="B221" s="19"/>
      <c r="C221" s="19"/>
      <c r="D221" s="19"/>
      <c r="E221" s="19"/>
      <c r="F221" s="19"/>
      <c r="G221" s="19"/>
      <c r="H221" s="409"/>
      <c r="I221" s="19"/>
      <c r="J221" s="410"/>
      <c r="K221" s="410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>
      <c r="A222" s="19"/>
      <c r="B222" s="19"/>
      <c r="C222" s="19"/>
      <c r="D222" s="19"/>
      <c r="E222" s="19"/>
      <c r="F222" s="19"/>
      <c r="G222" s="19"/>
      <c r="H222" s="409"/>
      <c r="I222" s="19"/>
      <c r="J222" s="410"/>
      <c r="K222" s="410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>
      <c r="A223" s="19"/>
      <c r="B223" s="19"/>
      <c r="C223" s="19"/>
      <c r="D223" s="19"/>
      <c r="E223" s="19"/>
      <c r="F223" s="19"/>
      <c r="G223" s="19"/>
      <c r="H223" s="409"/>
      <c r="I223" s="19"/>
      <c r="J223" s="410"/>
      <c r="K223" s="410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>
      <c r="A224" s="19"/>
      <c r="B224" s="19"/>
      <c r="C224" s="19"/>
      <c r="D224" s="19"/>
      <c r="E224" s="19"/>
      <c r="F224" s="19"/>
      <c r="G224" s="19"/>
      <c r="H224" s="409"/>
      <c r="I224" s="19"/>
      <c r="J224" s="410"/>
      <c r="K224" s="410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>
      <c r="A225" s="19"/>
      <c r="B225" s="19"/>
      <c r="C225" s="19"/>
      <c r="D225" s="19"/>
      <c r="E225" s="19"/>
      <c r="F225" s="19"/>
      <c r="G225" s="19"/>
      <c r="H225" s="409"/>
      <c r="I225" s="19"/>
      <c r="J225" s="410"/>
      <c r="K225" s="410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>
      <c r="A226" s="19"/>
      <c r="B226" s="19"/>
      <c r="C226" s="19"/>
      <c r="D226" s="19"/>
      <c r="E226" s="19"/>
      <c r="F226" s="19"/>
      <c r="G226" s="19"/>
      <c r="H226" s="409"/>
      <c r="I226" s="19"/>
      <c r="J226" s="410"/>
      <c r="K226" s="410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>
      <c r="A227" s="19"/>
      <c r="B227" s="19"/>
      <c r="C227" s="19"/>
      <c r="D227" s="19"/>
      <c r="E227" s="19"/>
      <c r="F227" s="19"/>
      <c r="G227" s="19"/>
      <c r="H227" s="409"/>
      <c r="I227" s="19"/>
      <c r="J227" s="410"/>
      <c r="K227" s="410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>
      <c r="A228" s="19"/>
      <c r="B228" s="19"/>
      <c r="C228" s="19"/>
      <c r="D228" s="19"/>
      <c r="E228" s="19"/>
      <c r="F228" s="19"/>
      <c r="G228" s="19"/>
      <c r="H228" s="409"/>
      <c r="I228" s="19"/>
      <c r="J228" s="410"/>
      <c r="K228" s="410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>
      <c r="A229" s="19"/>
      <c r="B229" s="19"/>
      <c r="C229" s="19"/>
      <c r="D229" s="19"/>
      <c r="E229" s="19"/>
      <c r="F229" s="19"/>
      <c r="G229" s="19"/>
      <c r="H229" s="409"/>
      <c r="I229" s="19"/>
      <c r="J229" s="410"/>
      <c r="K229" s="410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>
      <c r="A230" s="19"/>
      <c r="B230" s="19"/>
      <c r="C230" s="19"/>
      <c r="D230" s="19"/>
      <c r="E230" s="19"/>
      <c r="F230" s="19"/>
      <c r="G230" s="19"/>
      <c r="H230" s="409"/>
      <c r="I230" s="19"/>
      <c r="J230" s="410"/>
      <c r="K230" s="410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>
      <c r="A231" s="19"/>
      <c r="B231" s="19"/>
      <c r="C231" s="19"/>
      <c r="D231" s="19"/>
      <c r="E231" s="19"/>
      <c r="F231" s="19"/>
      <c r="G231" s="19"/>
      <c r="H231" s="409"/>
      <c r="I231" s="19"/>
      <c r="J231" s="410"/>
      <c r="K231" s="410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>
      <c r="A232" s="19"/>
      <c r="B232" s="19"/>
      <c r="C232" s="19"/>
      <c r="D232" s="19"/>
      <c r="E232" s="19"/>
      <c r="F232" s="19"/>
      <c r="G232" s="19"/>
      <c r="H232" s="409"/>
      <c r="I232" s="19"/>
      <c r="J232" s="410"/>
      <c r="K232" s="410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>
      <c r="A233" s="19"/>
      <c r="B233" s="19"/>
      <c r="C233" s="19"/>
      <c r="D233" s="19"/>
      <c r="E233" s="19"/>
      <c r="F233" s="19"/>
      <c r="G233" s="19"/>
      <c r="H233" s="409"/>
      <c r="I233" s="19"/>
      <c r="J233" s="410"/>
      <c r="K233" s="410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>
      <c r="A234" s="19"/>
      <c r="B234" s="19"/>
      <c r="C234" s="19"/>
      <c r="D234" s="19"/>
      <c r="E234" s="19"/>
      <c r="F234" s="19"/>
      <c r="G234" s="19"/>
      <c r="H234" s="409"/>
      <c r="I234" s="19"/>
      <c r="J234" s="410"/>
      <c r="K234" s="410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>
      <c r="A235" s="19"/>
      <c r="B235" s="19"/>
      <c r="C235" s="19"/>
      <c r="D235" s="19"/>
      <c r="E235" s="19"/>
      <c r="F235" s="19"/>
      <c r="G235" s="19"/>
      <c r="H235" s="409"/>
      <c r="I235" s="19"/>
      <c r="J235" s="410"/>
      <c r="K235" s="410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>
      <c r="A236" s="19"/>
      <c r="B236" s="19"/>
      <c r="C236" s="19"/>
      <c r="D236" s="19"/>
      <c r="E236" s="19"/>
      <c r="F236" s="19"/>
      <c r="G236" s="19"/>
      <c r="H236" s="409"/>
      <c r="I236" s="19"/>
      <c r="J236" s="410"/>
      <c r="K236" s="410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>
      <c r="A237" s="19"/>
      <c r="B237" s="19"/>
      <c r="C237" s="19"/>
      <c r="D237" s="19"/>
      <c r="E237" s="19"/>
      <c r="F237" s="19"/>
      <c r="G237" s="19"/>
      <c r="H237" s="409"/>
      <c r="I237" s="19"/>
      <c r="J237" s="410"/>
      <c r="K237" s="410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>
      <c r="A238" s="19"/>
      <c r="B238" s="19"/>
      <c r="C238" s="19"/>
      <c r="D238" s="19"/>
      <c r="E238" s="19"/>
      <c r="F238" s="19"/>
      <c r="G238" s="19"/>
      <c r="H238" s="409"/>
      <c r="I238" s="19"/>
      <c r="J238" s="410"/>
      <c r="K238" s="410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>
      <c r="A239" s="19"/>
      <c r="B239" s="19"/>
      <c r="C239" s="19"/>
      <c r="D239" s="19"/>
      <c r="E239" s="19"/>
      <c r="F239" s="19"/>
      <c r="G239" s="19"/>
      <c r="H239" s="409"/>
      <c r="I239" s="19"/>
      <c r="J239" s="410"/>
      <c r="K239" s="410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>
      <c r="A240" s="19"/>
      <c r="B240" s="19"/>
      <c r="C240" s="19"/>
      <c r="D240" s="19"/>
      <c r="E240" s="19"/>
      <c r="F240" s="19"/>
      <c r="G240" s="19"/>
      <c r="H240" s="409"/>
      <c r="I240" s="19"/>
      <c r="J240" s="410"/>
      <c r="K240" s="410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>
      <c r="A241" s="19"/>
      <c r="B241" s="19"/>
      <c r="C241" s="19"/>
      <c r="D241" s="19"/>
      <c r="E241" s="19"/>
      <c r="F241" s="19"/>
      <c r="G241" s="19"/>
      <c r="H241" s="409"/>
      <c r="I241" s="19"/>
      <c r="J241" s="410"/>
      <c r="K241" s="410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>
      <c r="A242" s="19"/>
      <c r="B242" s="19"/>
      <c r="C242" s="19"/>
      <c r="D242" s="19"/>
      <c r="E242" s="19"/>
      <c r="F242" s="19"/>
      <c r="G242" s="19"/>
      <c r="H242" s="409"/>
      <c r="I242" s="19"/>
      <c r="J242" s="410"/>
      <c r="K242" s="410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>
      <c r="A243" s="19"/>
      <c r="B243" s="19"/>
      <c r="C243" s="19"/>
      <c r="D243" s="19"/>
      <c r="E243" s="19"/>
      <c r="F243" s="19"/>
      <c r="G243" s="19"/>
      <c r="H243" s="409"/>
      <c r="I243" s="19"/>
      <c r="J243" s="410"/>
      <c r="K243" s="410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>
      <c r="A244" s="19"/>
      <c r="B244" s="19"/>
      <c r="C244" s="19"/>
      <c r="D244" s="19"/>
      <c r="E244" s="19"/>
      <c r="F244" s="19"/>
      <c r="G244" s="19"/>
      <c r="H244" s="409"/>
      <c r="I244" s="19"/>
      <c r="J244" s="410"/>
      <c r="K244" s="410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>
      <c r="A245" s="19"/>
      <c r="B245" s="19"/>
      <c r="C245" s="19"/>
      <c r="D245" s="19"/>
      <c r="E245" s="19"/>
      <c r="F245" s="19"/>
      <c r="G245" s="19"/>
      <c r="H245" s="409"/>
      <c r="I245" s="19"/>
      <c r="J245" s="410"/>
      <c r="K245" s="410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>
      <c r="A246" s="19"/>
      <c r="B246" s="19"/>
      <c r="C246" s="19"/>
      <c r="D246" s="19"/>
      <c r="E246" s="19"/>
      <c r="F246" s="19"/>
      <c r="G246" s="19"/>
      <c r="H246" s="409"/>
      <c r="I246" s="19"/>
      <c r="J246" s="410"/>
      <c r="K246" s="410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>
      <c r="A247" s="19"/>
      <c r="B247" s="19"/>
      <c r="C247" s="19"/>
      <c r="D247" s="19"/>
      <c r="E247" s="19"/>
      <c r="F247" s="19"/>
      <c r="G247" s="19"/>
      <c r="H247" s="409"/>
      <c r="I247" s="19"/>
      <c r="J247" s="410"/>
      <c r="K247" s="410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>
      <c r="A248" s="19"/>
      <c r="B248" s="19"/>
      <c r="C248" s="19"/>
      <c r="D248" s="19"/>
      <c r="E248" s="19"/>
      <c r="F248" s="19"/>
      <c r="G248" s="19"/>
      <c r="H248" s="409"/>
      <c r="I248" s="19"/>
      <c r="J248" s="410"/>
      <c r="K248" s="410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>
      <c r="A249" s="19"/>
      <c r="B249" s="19"/>
      <c r="C249" s="19"/>
      <c r="D249" s="19"/>
      <c r="E249" s="19"/>
      <c r="F249" s="19"/>
      <c r="G249" s="19"/>
      <c r="H249" s="409"/>
      <c r="I249" s="19"/>
      <c r="J249" s="410"/>
      <c r="K249" s="410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>
      <c r="A250" s="19"/>
      <c r="B250" s="19"/>
      <c r="C250" s="19"/>
      <c r="D250" s="19"/>
      <c r="E250" s="19"/>
      <c r="F250" s="19"/>
      <c r="G250" s="19"/>
      <c r="H250" s="409"/>
      <c r="I250" s="19"/>
      <c r="J250" s="410"/>
      <c r="K250" s="410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>
      <c r="A251" s="19"/>
      <c r="B251" s="19"/>
      <c r="C251" s="19"/>
      <c r="D251" s="19"/>
      <c r="E251" s="19"/>
      <c r="F251" s="19"/>
      <c r="G251" s="19"/>
      <c r="H251" s="409"/>
      <c r="I251" s="19"/>
      <c r="J251" s="410"/>
      <c r="K251" s="410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>
      <c r="A252" s="19"/>
      <c r="B252" s="19"/>
      <c r="C252" s="19"/>
      <c r="D252" s="19"/>
      <c r="E252" s="19"/>
      <c r="F252" s="19"/>
      <c r="G252" s="19"/>
      <c r="H252" s="409"/>
      <c r="I252" s="19"/>
      <c r="J252" s="410"/>
      <c r="K252" s="410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>
      <c r="A253" s="19"/>
      <c r="B253" s="19"/>
      <c r="C253" s="19"/>
      <c r="D253" s="19"/>
      <c r="E253" s="19"/>
      <c r="F253" s="19"/>
      <c r="G253" s="19"/>
      <c r="H253" s="409"/>
      <c r="I253" s="19"/>
      <c r="J253" s="410"/>
      <c r="K253" s="410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>
      <c r="A254" s="19"/>
      <c r="B254" s="19"/>
      <c r="C254" s="19"/>
      <c r="D254" s="19"/>
      <c r="E254" s="19"/>
      <c r="F254" s="19"/>
      <c r="G254" s="19"/>
      <c r="H254" s="409"/>
      <c r="I254" s="19"/>
      <c r="J254" s="410"/>
      <c r="K254" s="410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>
      <c r="A255" s="19"/>
      <c r="B255" s="19"/>
      <c r="C255" s="19"/>
      <c r="D255" s="19"/>
      <c r="E255" s="19"/>
      <c r="F255" s="19"/>
      <c r="G255" s="19"/>
      <c r="H255" s="409"/>
      <c r="I255" s="19"/>
      <c r="J255" s="410"/>
      <c r="K255" s="410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>
      <c r="A256" s="19"/>
      <c r="B256" s="19"/>
      <c r="C256" s="19"/>
      <c r="D256" s="19"/>
      <c r="E256" s="19"/>
      <c r="F256" s="19"/>
      <c r="G256" s="19"/>
      <c r="H256" s="409"/>
      <c r="I256" s="19"/>
      <c r="J256" s="410"/>
      <c r="K256" s="410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>
      <c r="A257" s="19"/>
      <c r="B257" s="19"/>
      <c r="C257" s="19"/>
      <c r="D257" s="19"/>
      <c r="E257" s="19"/>
      <c r="F257" s="19"/>
      <c r="G257" s="19"/>
      <c r="H257" s="409"/>
      <c r="I257" s="19"/>
      <c r="J257" s="410"/>
      <c r="K257" s="410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>
      <c r="A258" s="19"/>
      <c r="B258" s="19"/>
      <c r="C258" s="19"/>
      <c r="D258" s="19"/>
      <c r="E258" s="19"/>
      <c r="F258" s="19"/>
      <c r="G258" s="19"/>
      <c r="H258" s="409"/>
      <c r="I258" s="19"/>
      <c r="J258" s="410"/>
      <c r="K258" s="410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>
      <c r="A259" s="19"/>
      <c r="B259" s="19"/>
      <c r="C259" s="19"/>
      <c r="D259" s="19"/>
      <c r="E259" s="19"/>
      <c r="F259" s="19"/>
      <c r="G259" s="19"/>
      <c r="H259" s="409"/>
      <c r="I259" s="19"/>
      <c r="J259" s="410"/>
      <c r="K259" s="410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>
      <c r="A260" s="19"/>
      <c r="B260" s="19"/>
      <c r="C260" s="19"/>
      <c r="D260" s="19"/>
      <c r="E260" s="19"/>
      <c r="F260" s="19"/>
      <c r="G260" s="19"/>
      <c r="H260" s="409"/>
      <c r="I260" s="19"/>
      <c r="J260" s="410"/>
      <c r="K260" s="410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>
      <c r="A261" s="19"/>
      <c r="B261" s="19"/>
      <c r="C261" s="19"/>
      <c r="D261" s="19"/>
      <c r="E261" s="19"/>
      <c r="F261" s="19"/>
      <c r="G261" s="19"/>
      <c r="H261" s="409"/>
      <c r="I261" s="19"/>
      <c r="J261" s="410"/>
      <c r="K261" s="410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>
      <c r="A262" s="19"/>
      <c r="B262" s="19"/>
      <c r="C262" s="19"/>
      <c r="D262" s="19"/>
      <c r="E262" s="19"/>
      <c r="F262" s="19"/>
      <c r="G262" s="19"/>
      <c r="H262" s="409"/>
      <c r="I262" s="19"/>
      <c r="J262" s="410"/>
      <c r="K262" s="410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>
      <c r="A263" s="19"/>
      <c r="B263" s="19"/>
      <c r="C263" s="19"/>
      <c r="D263" s="19"/>
      <c r="E263" s="19"/>
      <c r="F263" s="19"/>
      <c r="G263" s="19"/>
      <c r="H263" s="409"/>
      <c r="I263" s="19"/>
      <c r="J263" s="410"/>
      <c r="K263" s="410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>
      <c r="A264" s="19"/>
      <c r="B264" s="19"/>
      <c r="C264" s="19"/>
      <c r="D264" s="19"/>
      <c r="E264" s="19"/>
      <c r="F264" s="19"/>
      <c r="G264" s="19"/>
      <c r="H264" s="409"/>
      <c r="I264" s="19"/>
      <c r="J264" s="410"/>
      <c r="K264" s="410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>
      <c r="A265" s="19"/>
      <c r="B265" s="19"/>
      <c r="C265" s="19"/>
      <c r="D265" s="19"/>
      <c r="E265" s="19"/>
      <c r="F265" s="19"/>
      <c r="G265" s="19"/>
      <c r="H265" s="409"/>
      <c r="I265" s="19"/>
      <c r="J265" s="410"/>
      <c r="K265" s="410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>
      <c r="A266" s="19"/>
      <c r="B266" s="19"/>
      <c r="C266" s="19"/>
      <c r="D266" s="19"/>
      <c r="E266" s="19"/>
      <c r="F266" s="19"/>
      <c r="G266" s="19"/>
      <c r="H266" s="409"/>
      <c r="I266" s="19"/>
      <c r="J266" s="410"/>
      <c r="K266" s="410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>
      <c r="A267" s="19"/>
      <c r="B267" s="19"/>
      <c r="C267" s="19"/>
      <c r="D267" s="19"/>
      <c r="E267" s="19"/>
      <c r="F267" s="19"/>
      <c r="G267" s="19"/>
      <c r="H267" s="409"/>
      <c r="I267" s="19"/>
      <c r="J267" s="410"/>
      <c r="K267" s="410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>
      <c r="A268" s="19"/>
      <c r="B268" s="19"/>
      <c r="C268" s="19"/>
      <c r="D268" s="19"/>
      <c r="E268" s="19"/>
      <c r="F268" s="19"/>
      <c r="G268" s="19"/>
      <c r="H268" s="409"/>
      <c r="I268" s="19"/>
      <c r="J268" s="410"/>
      <c r="K268" s="410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>
      <c r="A269" s="19"/>
      <c r="B269" s="19"/>
      <c r="C269" s="19"/>
      <c r="D269" s="19"/>
      <c r="E269" s="19"/>
      <c r="F269" s="19"/>
      <c r="G269" s="19"/>
      <c r="H269" s="409"/>
      <c r="I269" s="19"/>
      <c r="J269" s="410"/>
      <c r="K269" s="410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>
      <c r="A270" s="19"/>
      <c r="B270" s="19"/>
      <c r="C270" s="19"/>
      <c r="D270" s="19"/>
      <c r="E270" s="19"/>
      <c r="F270" s="19"/>
      <c r="G270" s="19"/>
      <c r="H270" s="409"/>
      <c r="I270" s="19"/>
      <c r="J270" s="410"/>
      <c r="K270" s="410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>
      <c r="A271" s="19"/>
      <c r="B271" s="19"/>
      <c r="C271" s="19"/>
      <c r="D271" s="19"/>
      <c r="E271" s="19"/>
      <c r="F271" s="19"/>
      <c r="G271" s="19"/>
      <c r="H271" s="409"/>
      <c r="I271" s="19"/>
      <c r="J271" s="410"/>
      <c r="K271" s="410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>
      <c r="A272" s="19"/>
      <c r="B272" s="19"/>
      <c r="C272" s="19"/>
      <c r="D272" s="19"/>
      <c r="E272" s="19"/>
      <c r="F272" s="19"/>
      <c r="G272" s="19"/>
      <c r="H272" s="409"/>
      <c r="I272" s="19"/>
      <c r="J272" s="410"/>
      <c r="K272" s="410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>
      <c r="A273" s="19"/>
      <c r="B273" s="19"/>
      <c r="C273" s="19"/>
      <c r="D273" s="19"/>
      <c r="E273" s="19"/>
      <c r="F273" s="19"/>
      <c r="G273" s="19"/>
      <c r="H273" s="409"/>
      <c r="I273" s="19"/>
      <c r="J273" s="410"/>
      <c r="K273" s="410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>
      <c r="A274" s="19"/>
      <c r="B274" s="19"/>
      <c r="C274" s="19"/>
      <c r="D274" s="19"/>
      <c r="E274" s="19"/>
      <c r="F274" s="19"/>
      <c r="G274" s="19"/>
      <c r="H274" s="409"/>
      <c r="I274" s="19"/>
      <c r="J274" s="410"/>
      <c r="K274" s="410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>
      <c r="A275" s="19"/>
      <c r="B275" s="19"/>
      <c r="C275" s="19"/>
      <c r="D275" s="19"/>
      <c r="E275" s="19"/>
      <c r="F275" s="19"/>
      <c r="G275" s="19"/>
      <c r="H275" s="409"/>
      <c r="I275" s="19"/>
      <c r="J275" s="410"/>
      <c r="K275" s="410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>
      <c r="A276" s="19"/>
      <c r="B276" s="19"/>
      <c r="C276" s="19"/>
      <c r="D276" s="19"/>
      <c r="E276" s="19"/>
      <c r="F276" s="19"/>
      <c r="G276" s="19"/>
      <c r="H276" s="409"/>
      <c r="I276" s="19"/>
      <c r="J276" s="410"/>
      <c r="K276" s="410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>
      <c r="A277" s="19"/>
      <c r="B277" s="19"/>
      <c r="C277" s="19"/>
      <c r="D277" s="19"/>
      <c r="E277" s="19"/>
      <c r="F277" s="19"/>
      <c r="G277" s="19"/>
      <c r="H277" s="409"/>
      <c r="I277" s="19"/>
      <c r="J277" s="410"/>
      <c r="K277" s="410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>
      <c r="A278" s="19"/>
      <c r="B278" s="19"/>
      <c r="C278" s="19"/>
      <c r="D278" s="19"/>
      <c r="E278" s="19"/>
      <c r="F278" s="19"/>
      <c r="G278" s="19"/>
      <c r="H278" s="409"/>
      <c r="I278" s="19"/>
      <c r="J278" s="410"/>
      <c r="K278" s="410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>
      <c r="A279" s="19"/>
      <c r="B279" s="19"/>
      <c r="C279" s="19"/>
      <c r="D279" s="19"/>
      <c r="E279" s="19"/>
      <c r="F279" s="19"/>
      <c r="G279" s="19"/>
      <c r="H279" s="409"/>
      <c r="I279" s="19"/>
      <c r="J279" s="410"/>
      <c r="K279" s="410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>
      <c r="A280" s="19"/>
      <c r="B280" s="19"/>
      <c r="C280" s="19"/>
      <c r="D280" s="19"/>
      <c r="E280" s="19"/>
      <c r="F280" s="19"/>
      <c r="G280" s="19"/>
      <c r="H280" s="409"/>
      <c r="I280" s="19"/>
      <c r="J280" s="410"/>
      <c r="K280" s="410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>
      <c r="A281" s="19"/>
      <c r="B281" s="19"/>
      <c r="C281" s="19"/>
      <c r="D281" s="19"/>
      <c r="E281" s="19"/>
      <c r="F281" s="19"/>
      <c r="G281" s="19"/>
      <c r="H281" s="409"/>
      <c r="I281" s="19"/>
      <c r="J281" s="410"/>
      <c r="K281" s="410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>
      <c r="A282" s="19"/>
      <c r="B282" s="19"/>
      <c r="C282" s="19"/>
      <c r="D282" s="19"/>
      <c r="E282" s="19"/>
      <c r="F282" s="19"/>
      <c r="G282" s="19"/>
      <c r="H282" s="409"/>
      <c r="I282" s="19"/>
      <c r="J282" s="410"/>
      <c r="K282" s="410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>
      <c r="A283" s="19"/>
      <c r="B283" s="19"/>
      <c r="C283" s="19"/>
      <c r="D283" s="19"/>
      <c r="E283" s="19"/>
      <c r="F283" s="19"/>
      <c r="G283" s="19"/>
      <c r="H283" s="409"/>
      <c r="I283" s="19"/>
      <c r="J283" s="410"/>
      <c r="K283" s="410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>
      <c r="A284" s="19"/>
      <c r="B284" s="19"/>
      <c r="C284" s="19"/>
      <c r="D284" s="19"/>
      <c r="E284" s="19"/>
      <c r="F284" s="19"/>
      <c r="G284" s="19"/>
      <c r="H284" s="409"/>
      <c r="I284" s="19"/>
      <c r="J284" s="410"/>
      <c r="K284" s="410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>
      <c r="A285" s="19"/>
      <c r="B285" s="19"/>
      <c r="C285" s="19"/>
      <c r="D285" s="19"/>
      <c r="E285" s="19"/>
      <c r="F285" s="19"/>
      <c r="G285" s="19"/>
      <c r="H285" s="409"/>
      <c r="I285" s="19"/>
      <c r="J285" s="410"/>
      <c r="K285" s="410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>
      <c r="A286" s="19"/>
      <c r="B286" s="19"/>
      <c r="C286" s="19"/>
      <c r="D286" s="19"/>
      <c r="E286" s="19"/>
      <c r="F286" s="19"/>
      <c r="G286" s="19"/>
      <c r="H286" s="409"/>
      <c r="I286" s="19"/>
      <c r="J286" s="410"/>
      <c r="K286" s="410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>
      <c r="A287" s="19"/>
      <c r="B287" s="19"/>
      <c r="C287" s="19"/>
      <c r="D287" s="19"/>
      <c r="E287" s="19"/>
      <c r="F287" s="19"/>
      <c r="G287" s="19"/>
      <c r="H287" s="409"/>
      <c r="I287" s="19"/>
      <c r="J287" s="410"/>
      <c r="K287" s="410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>
      <c r="A288" s="19"/>
      <c r="B288" s="19"/>
      <c r="C288" s="19"/>
      <c r="D288" s="19"/>
      <c r="E288" s="19"/>
      <c r="F288" s="19"/>
      <c r="G288" s="19"/>
      <c r="H288" s="409"/>
      <c r="I288" s="19"/>
      <c r="J288" s="410"/>
      <c r="K288" s="410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>
      <c r="A289" s="19"/>
      <c r="B289" s="19"/>
      <c r="C289" s="19"/>
      <c r="D289" s="19"/>
      <c r="E289" s="19"/>
      <c r="F289" s="19"/>
      <c r="G289" s="19"/>
      <c r="H289" s="409"/>
      <c r="I289" s="19"/>
      <c r="J289" s="410"/>
      <c r="K289" s="410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>
      <c r="A290" s="19"/>
      <c r="B290" s="19"/>
      <c r="C290" s="19"/>
      <c r="D290" s="19"/>
      <c r="E290" s="19"/>
      <c r="F290" s="19"/>
      <c r="G290" s="19"/>
      <c r="H290" s="409"/>
      <c r="I290" s="19"/>
      <c r="J290" s="410"/>
      <c r="K290" s="410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>
      <c r="A291" s="19"/>
      <c r="B291" s="19"/>
      <c r="C291" s="19"/>
      <c r="D291" s="19"/>
      <c r="E291" s="19"/>
      <c r="F291" s="19"/>
      <c r="G291" s="19"/>
      <c r="H291" s="409"/>
      <c r="I291" s="19"/>
      <c r="J291" s="410"/>
      <c r="K291" s="410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>
      <c r="A292" s="19"/>
      <c r="B292" s="19"/>
      <c r="C292" s="19"/>
      <c r="D292" s="19"/>
      <c r="E292" s="19"/>
      <c r="F292" s="19"/>
      <c r="G292" s="19"/>
      <c r="H292" s="409"/>
      <c r="I292" s="19"/>
      <c r="J292" s="410"/>
      <c r="K292" s="410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>
      <c r="A293" s="19"/>
      <c r="B293" s="19"/>
      <c r="C293" s="19"/>
      <c r="D293" s="19"/>
      <c r="E293" s="19"/>
      <c r="F293" s="19"/>
      <c r="G293" s="19"/>
      <c r="H293" s="409"/>
      <c r="I293" s="19"/>
      <c r="J293" s="410"/>
      <c r="K293" s="410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>
      <c r="A294" s="19"/>
      <c r="B294" s="19"/>
      <c r="C294" s="19"/>
      <c r="D294" s="19"/>
      <c r="E294" s="19"/>
      <c r="F294" s="19"/>
      <c r="G294" s="19"/>
      <c r="H294" s="409"/>
      <c r="I294" s="19"/>
      <c r="J294" s="410"/>
      <c r="K294" s="410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>
      <c r="A295" s="19"/>
      <c r="B295" s="19"/>
      <c r="C295" s="19"/>
      <c r="D295" s="19"/>
      <c r="E295" s="19"/>
      <c r="F295" s="19"/>
      <c r="G295" s="19"/>
      <c r="H295" s="409"/>
      <c r="I295" s="19"/>
      <c r="J295" s="410"/>
      <c r="K295" s="410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>
      <c r="A296" s="19"/>
      <c r="B296" s="19"/>
      <c r="C296" s="19"/>
      <c r="D296" s="19"/>
      <c r="E296" s="19"/>
      <c r="F296" s="19"/>
      <c r="G296" s="19"/>
      <c r="H296" s="409"/>
      <c r="I296" s="19"/>
      <c r="J296" s="410"/>
      <c r="K296" s="410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>
      <c r="A297" s="19"/>
      <c r="B297" s="19"/>
      <c r="C297" s="19"/>
      <c r="D297" s="19"/>
      <c r="E297" s="19"/>
      <c r="F297" s="19"/>
      <c r="G297" s="19"/>
      <c r="H297" s="409"/>
      <c r="I297" s="19"/>
      <c r="J297" s="410"/>
      <c r="K297" s="410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>
      <c r="A298" s="19"/>
      <c r="B298" s="19"/>
      <c r="C298" s="19"/>
      <c r="D298" s="19"/>
      <c r="E298" s="19"/>
      <c r="F298" s="19"/>
      <c r="G298" s="19"/>
      <c r="H298" s="409"/>
      <c r="I298" s="19"/>
      <c r="J298" s="410"/>
      <c r="K298" s="410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>
      <c r="A299" s="19"/>
      <c r="B299" s="19"/>
      <c r="C299" s="19"/>
      <c r="D299" s="19"/>
      <c r="E299" s="19"/>
      <c r="F299" s="19"/>
      <c r="G299" s="19"/>
      <c r="H299" s="409"/>
      <c r="I299" s="19"/>
      <c r="J299" s="410"/>
      <c r="K299" s="410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>
      <c r="A300" s="19"/>
      <c r="B300" s="19"/>
      <c r="C300" s="19"/>
      <c r="D300" s="19"/>
      <c r="E300" s="19"/>
      <c r="F300" s="19"/>
      <c r="G300" s="19"/>
      <c r="H300" s="409"/>
      <c r="I300" s="19"/>
      <c r="J300" s="410"/>
      <c r="K300" s="410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>
      <c r="A301" s="19"/>
      <c r="B301" s="19"/>
      <c r="C301" s="19"/>
      <c r="D301" s="19"/>
      <c r="E301" s="19"/>
      <c r="F301" s="19"/>
      <c r="G301" s="19"/>
      <c r="H301" s="409"/>
      <c r="I301" s="19"/>
      <c r="J301" s="410"/>
      <c r="K301" s="410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>
      <c r="A302" s="19"/>
      <c r="B302" s="19"/>
      <c r="C302" s="19"/>
      <c r="D302" s="19"/>
      <c r="E302" s="19"/>
      <c r="F302" s="19"/>
      <c r="G302" s="19"/>
      <c r="H302" s="409"/>
      <c r="I302" s="19"/>
      <c r="J302" s="410"/>
      <c r="K302" s="410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>
      <c r="A303" s="19"/>
      <c r="B303" s="19"/>
      <c r="C303" s="19"/>
      <c r="D303" s="19"/>
      <c r="E303" s="19"/>
      <c r="F303" s="19"/>
      <c r="G303" s="19"/>
      <c r="H303" s="409"/>
      <c r="I303" s="19"/>
      <c r="J303" s="410"/>
      <c r="K303" s="410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>
      <c r="A304" s="19"/>
      <c r="B304" s="19"/>
      <c r="C304" s="19"/>
      <c r="D304" s="19"/>
      <c r="E304" s="19"/>
      <c r="F304" s="19"/>
      <c r="G304" s="19"/>
      <c r="H304" s="409"/>
      <c r="I304" s="19"/>
      <c r="J304" s="410"/>
      <c r="K304" s="410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>
      <c r="A305" s="19"/>
      <c r="B305" s="19"/>
      <c r="C305" s="19"/>
      <c r="D305" s="19"/>
      <c r="E305" s="19"/>
      <c r="F305" s="19"/>
      <c r="G305" s="19"/>
      <c r="H305" s="409"/>
      <c r="I305" s="19"/>
      <c r="J305" s="410"/>
      <c r="K305" s="410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>
      <c r="A306" s="19"/>
      <c r="B306" s="19"/>
      <c r="C306" s="19"/>
      <c r="D306" s="19"/>
      <c r="E306" s="19"/>
      <c r="F306" s="19"/>
      <c r="G306" s="19"/>
      <c r="H306" s="409"/>
      <c r="I306" s="19"/>
      <c r="J306" s="410"/>
      <c r="K306" s="410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>
      <c r="A307" s="19"/>
      <c r="B307" s="19"/>
      <c r="C307" s="19"/>
      <c r="D307" s="19"/>
      <c r="E307" s="19"/>
      <c r="F307" s="19"/>
      <c r="G307" s="19"/>
      <c r="H307" s="409"/>
      <c r="I307" s="19"/>
      <c r="J307" s="410"/>
      <c r="K307" s="410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>
      <c r="A308" s="19"/>
      <c r="B308" s="19"/>
      <c r="C308" s="19"/>
      <c r="D308" s="19"/>
      <c r="E308" s="19"/>
      <c r="F308" s="19"/>
      <c r="G308" s="19"/>
      <c r="H308" s="409"/>
      <c r="I308" s="19"/>
      <c r="J308" s="410"/>
      <c r="K308" s="410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>
      <c r="A309" s="19"/>
      <c r="B309" s="19"/>
      <c r="C309" s="19"/>
      <c r="D309" s="19"/>
      <c r="E309" s="19"/>
      <c r="F309" s="19"/>
      <c r="G309" s="19"/>
      <c r="H309" s="409"/>
      <c r="I309" s="19"/>
      <c r="J309" s="410"/>
      <c r="K309" s="410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>
      <c r="A310" s="19"/>
      <c r="B310" s="19"/>
      <c r="C310" s="19"/>
      <c r="D310" s="19"/>
      <c r="E310" s="19"/>
      <c r="F310" s="19"/>
      <c r="G310" s="19"/>
      <c r="H310" s="409"/>
      <c r="I310" s="19"/>
      <c r="J310" s="410"/>
      <c r="K310" s="410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>
      <c r="A311" s="19"/>
      <c r="B311" s="19"/>
      <c r="C311" s="19"/>
      <c r="D311" s="19"/>
      <c r="E311" s="19"/>
      <c r="F311" s="19"/>
      <c r="G311" s="19"/>
      <c r="H311" s="409"/>
      <c r="I311" s="19"/>
      <c r="J311" s="410"/>
      <c r="K311" s="410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>
      <c r="A312" s="19"/>
      <c r="B312" s="19"/>
      <c r="C312" s="19"/>
      <c r="D312" s="19"/>
      <c r="E312" s="19"/>
      <c r="F312" s="19"/>
      <c r="G312" s="19"/>
      <c r="H312" s="409"/>
      <c r="I312" s="19"/>
      <c r="J312" s="410"/>
      <c r="K312" s="410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>
      <c r="A313" s="19"/>
      <c r="B313" s="19"/>
      <c r="C313" s="19"/>
      <c r="D313" s="19"/>
      <c r="E313" s="19"/>
      <c r="F313" s="19"/>
      <c r="G313" s="19"/>
      <c r="H313" s="409"/>
      <c r="I313" s="19"/>
      <c r="J313" s="410"/>
      <c r="K313" s="410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>
      <c r="A314" s="19"/>
      <c r="B314" s="19"/>
      <c r="C314" s="19"/>
      <c r="D314" s="19"/>
      <c r="E314" s="19"/>
      <c r="F314" s="19"/>
      <c r="G314" s="19"/>
      <c r="H314" s="409"/>
      <c r="I314" s="19"/>
      <c r="J314" s="410"/>
      <c r="K314" s="410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>
      <c r="A315" s="19"/>
      <c r="B315" s="19"/>
      <c r="C315" s="19"/>
      <c r="D315" s="19"/>
      <c r="E315" s="19"/>
      <c r="F315" s="19"/>
      <c r="G315" s="19"/>
      <c r="H315" s="409"/>
      <c r="I315" s="19"/>
      <c r="J315" s="410"/>
      <c r="K315" s="410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>
      <c r="A316" s="19"/>
      <c r="B316" s="19"/>
      <c r="C316" s="19"/>
      <c r="D316" s="19"/>
      <c r="E316" s="19"/>
      <c r="F316" s="19"/>
      <c r="G316" s="19"/>
      <c r="H316" s="409"/>
      <c r="I316" s="19"/>
      <c r="J316" s="410"/>
      <c r="K316" s="410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>
      <c r="A317" s="19"/>
      <c r="B317" s="19"/>
      <c r="C317" s="19"/>
      <c r="D317" s="19"/>
      <c r="E317" s="19"/>
      <c r="F317" s="19"/>
      <c r="G317" s="19"/>
      <c r="H317" s="409"/>
      <c r="I317" s="19"/>
      <c r="J317" s="410"/>
      <c r="K317" s="410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>
      <c r="A318" s="19"/>
      <c r="B318" s="19"/>
      <c r="C318" s="19"/>
      <c r="D318" s="19"/>
      <c r="E318" s="19"/>
      <c r="F318" s="19"/>
      <c r="G318" s="19"/>
      <c r="H318" s="409"/>
      <c r="I318" s="19"/>
      <c r="J318" s="410"/>
      <c r="K318" s="410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>
      <c r="A319" s="19"/>
      <c r="B319" s="19"/>
      <c r="C319" s="19"/>
      <c r="D319" s="19"/>
      <c r="E319" s="19"/>
      <c r="F319" s="19"/>
      <c r="G319" s="19"/>
      <c r="H319" s="409"/>
      <c r="I319" s="19"/>
      <c r="J319" s="410"/>
      <c r="K319" s="410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>
      <c r="A320" s="19"/>
      <c r="B320" s="19"/>
      <c r="C320" s="19"/>
      <c r="D320" s="19"/>
      <c r="E320" s="19"/>
      <c r="F320" s="19"/>
      <c r="G320" s="19"/>
      <c r="H320" s="409"/>
      <c r="I320" s="19"/>
      <c r="J320" s="410"/>
      <c r="K320" s="410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>
      <c r="A321" s="19"/>
      <c r="B321" s="19"/>
      <c r="C321" s="19"/>
      <c r="D321" s="19"/>
      <c r="E321" s="19"/>
      <c r="F321" s="19"/>
      <c r="G321" s="19"/>
      <c r="H321" s="409"/>
      <c r="I321" s="19"/>
      <c r="J321" s="410"/>
      <c r="K321" s="410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>
      <c r="A322" s="19"/>
      <c r="B322" s="19"/>
      <c r="C322" s="19"/>
      <c r="D322" s="19"/>
      <c r="E322" s="19"/>
      <c r="F322" s="19"/>
      <c r="G322" s="19"/>
      <c r="H322" s="409"/>
      <c r="I322" s="19"/>
      <c r="J322" s="410"/>
      <c r="K322" s="410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>
      <c r="A323" s="19"/>
      <c r="B323" s="19"/>
      <c r="C323" s="19"/>
      <c r="D323" s="19"/>
      <c r="E323" s="19"/>
      <c r="F323" s="19"/>
      <c r="G323" s="19"/>
      <c r="H323" s="409"/>
      <c r="I323" s="19"/>
      <c r="J323" s="410"/>
      <c r="K323" s="410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>
      <c r="A324" s="19"/>
      <c r="B324" s="19"/>
      <c r="C324" s="19"/>
      <c r="D324" s="19"/>
      <c r="E324" s="19"/>
      <c r="F324" s="19"/>
      <c r="G324" s="19"/>
      <c r="H324" s="409"/>
      <c r="I324" s="19"/>
      <c r="J324" s="410"/>
      <c r="K324" s="410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>
      <c r="A325" s="19"/>
      <c r="B325" s="19"/>
      <c r="C325" s="19"/>
      <c r="D325" s="19"/>
      <c r="E325" s="19"/>
      <c r="F325" s="19"/>
      <c r="G325" s="19"/>
      <c r="H325" s="409"/>
      <c r="I325" s="19"/>
      <c r="J325" s="410"/>
      <c r="K325" s="410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>
      <c r="A326" s="19"/>
      <c r="B326" s="19"/>
      <c r="C326" s="19"/>
      <c r="D326" s="19"/>
      <c r="E326" s="19"/>
      <c r="F326" s="19"/>
      <c r="G326" s="19"/>
      <c r="H326" s="409"/>
      <c r="I326" s="19"/>
      <c r="J326" s="410"/>
      <c r="K326" s="410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>
      <c r="A327" s="19"/>
      <c r="B327" s="19"/>
      <c r="C327" s="19"/>
      <c r="D327" s="19"/>
      <c r="E327" s="19"/>
      <c r="F327" s="19"/>
      <c r="G327" s="19"/>
      <c r="H327" s="409"/>
      <c r="I327" s="19"/>
      <c r="J327" s="410"/>
      <c r="K327" s="410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>
      <c r="A328" s="19"/>
      <c r="B328" s="19"/>
      <c r="C328" s="19"/>
      <c r="D328" s="19"/>
      <c r="E328" s="19"/>
      <c r="F328" s="19"/>
      <c r="G328" s="19"/>
      <c r="H328" s="409"/>
      <c r="I328" s="19"/>
      <c r="J328" s="410"/>
      <c r="K328" s="410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>
      <c r="A329" s="19"/>
      <c r="B329" s="19"/>
      <c r="C329" s="19"/>
      <c r="D329" s="19"/>
      <c r="E329" s="19"/>
      <c r="F329" s="19"/>
      <c r="G329" s="19"/>
      <c r="H329" s="409"/>
      <c r="I329" s="19"/>
      <c r="J329" s="410"/>
      <c r="K329" s="410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>
      <c r="A330" s="19"/>
      <c r="B330" s="19"/>
      <c r="C330" s="19"/>
      <c r="D330" s="19"/>
      <c r="E330" s="19"/>
      <c r="F330" s="19"/>
      <c r="G330" s="19"/>
      <c r="H330" s="409"/>
      <c r="I330" s="19"/>
      <c r="J330" s="410"/>
      <c r="K330" s="410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>
      <c r="A331" s="19"/>
      <c r="B331" s="19"/>
      <c r="C331" s="19"/>
      <c r="D331" s="19"/>
      <c r="E331" s="19"/>
      <c r="F331" s="19"/>
      <c r="G331" s="19"/>
      <c r="H331" s="409"/>
      <c r="I331" s="19"/>
      <c r="J331" s="410"/>
      <c r="K331" s="410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>
      <c r="A332" s="19"/>
      <c r="B332" s="19"/>
      <c r="C332" s="19"/>
      <c r="D332" s="19"/>
      <c r="E332" s="19"/>
      <c r="F332" s="19"/>
      <c r="G332" s="19"/>
      <c r="H332" s="409"/>
      <c r="I332" s="19"/>
      <c r="J332" s="410"/>
      <c r="K332" s="410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>
      <c r="A333" s="19"/>
      <c r="B333" s="19"/>
      <c r="C333" s="19"/>
      <c r="D333" s="19"/>
      <c r="E333" s="19"/>
      <c r="F333" s="19"/>
      <c r="G333" s="19"/>
      <c r="H333" s="409"/>
      <c r="I333" s="19"/>
      <c r="J333" s="410"/>
      <c r="K333" s="410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>
      <c r="A334" s="19"/>
      <c r="B334" s="19"/>
      <c r="C334" s="19"/>
      <c r="D334" s="19"/>
      <c r="E334" s="19"/>
      <c r="F334" s="19"/>
      <c r="G334" s="19"/>
      <c r="H334" s="409"/>
      <c r="I334" s="19"/>
      <c r="J334" s="410"/>
      <c r="K334" s="410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>
      <c r="A335" s="19"/>
      <c r="B335" s="19"/>
      <c r="C335" s="19"/>
      <c r="D335" s="19"/>
      <c r="E335" s="19"/>
      <c r="F335" s="19"/>
      <c r="G335" s="19"/>
      <c r="H335" s="409"/>
      <c r="I335" s="19"/>
      <c r="J335" s="410"/>
      <c r="K335" s="410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>
      <c r="A336" s="19"/>
      <c r="B336" s="19"/>
      <c r="C336" s="19"/>
      <c r="D336" s="19"/>
      <c r="E336" s="19"/>
      <c r="F336" s="19"/>
      <c r="G336" s="19"/>
      <c r="H336" s="409"/>
      <c r="I336" s="19"/>
      <c r="J336" s="410"/>
      <c r="K336" s="410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>
      <c r="A337" s="19"/>
      <c r="B337" s="19"/>
      <c r="C337" s="19"/>
      <c r="D337" s="19"/>
      <c r="E337" s="19"/>
      <c r="F337" s="19"/>
      <c r="G337" s="19"/>
      <c r="H337" s="409"/>
      <c r="I337" s="19"/>
      <c r="J337" s="410"/>
      <c r="K337" s="410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>
      <c r="A338" s="19"/>
      <c r="B338" s="19"/>
      <c r="C338" s="19"/>
      <c r="D338" s="19"/>
      <c r="E338" s="19"/>
      <c r="F338" s="19"/>
      <c r="G338" s="19"/>
      <c r="H338" s="409"/>
      <c r="I338" s="19"/>
      <c r="J338" s="410"/>
      <c r="K338" s="410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>
      <c r="A339" s="19"/>
      <c r="B339" s="19"/>
      <c r="C339" s="19"/>
      <c r="D339" s="19"/>
      <c r="E339" s="19"/>
      <c r="F339" s="19"/>
      <c r="G339" s="19"/>
      <c r="H339" s="409"/>
      <c r="I339" s="19"/>
      <c r="J339" s="410"/>
      <c r="K339" s="410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>
      <c r="A340" s="19"/>
      <c r="B340" s="19"/>
      <c r="C340" s="19"/>
      <c r="D340" s="19"/>
      <c r="E340" s="19"/>
      <c r="F340" s="19"/>
      <c r="G340" s="19"/>
      <c r="H340" s="409"/>
      <c r="I340" s="19"/>
      <c r="J340" s="410"/>
      <c r="K340" s="410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>
      <c r="A341" s="19"/>
      <c r="B341" s="19"/>
      <c r="C341" s="19"/>
      <c r="D341" s="19"/>
      <c r="E341" s="19"/>
      <c r="F341" s="19"/>
      <c r="G341" s="19"/>
      <c r="H341" s="409"/>
      <c r="I341" s="19"/>
      <c r="J341" s="410"/>
      <c r="K341" s="410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>
      <c r="A342" s="19"/>
      <c r="B342" s="19"/>
      <c r="C342" s="19"/>
      <c r="D342" s="19"/>
      <c r="E342" s="19"/>
      <c r="F342" s="19"/>
      <c r="G342" s="19"/>
      <c r="H342" s="409"/>
      <c r="I342" s="19"/>
      <c r="J342" s="410"/>
      <c r="K342" s="410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>
      <c r="A343" s="19"/>
      <c r="B343" s="19"/>
      <c r="C343" s="19"/>
      <c r="D343" s="19"/>
      <c r="E343" s="19"/>
      <c r="F343" s="19"/>
      <c r="G343" s="19"/>
      <c r="H343" s="409"/>
      <c r="I343" s="19"/>
      <c r="J343" s="410"/>
      <c r="K343" s="410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>
      <c r="A344" s="19"/>
      <c r="B344" s="19"/>
      <c r="C344" s="19"/>
      <c r="D344" s="19"/>
      <c r="E344" s="19"/>
      <c r="F344" s="19"/>
      <c r="G344" s="19"/>
      <c r="H344" s="409"/>
      <c r="I344" s="19"/>
      <c r="J344" s="410"/>
      <c r="K344" s="410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>
      <c r="A345" s="19"/>
      <c r="B345" s="19"/>
      <c r="C345" s="19"/>
      <c r="D345" s="19"/>
      <c r="E345" s="19"/>
      <c r="F345" s="19"/>
      <c r="G345" s="19"/>
      <c r="H345" s="409"/>
      <c r="I345" s="19"/>
      <c r="J345" s="410"/>
      <c r="K345" s="410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>
      <c r="A346" s="19"/>
      <c r="B346" s="19"/>
      <c r="C346" s="19"/>
      <c r="D346" s="19"/>
      <c r="E346" s="19"/>
      <c r="F346" s="19"/>
      <c r="G346" s="19"/>
      <c r="H346" s="409"/>
      <c r="I346" s="19"/>
      <c r="J346" s="410"/>
      <c r="K346" s="410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>
      <c r="A347" s="19"/>
      <c r="B347" s="19"/>
      <c r="C347" s="19"/>
      <c r="D347" s="19"/>
      <c r="E347" s="19"/>
      <c r="F347" s="19"/>
      <c r="G347" s="19"/>
      <c r="H347" s="409"/>
      <c r="I347" s="19"/>
      <c r="J347" s="410"/>
      <c r="K347" s="410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>
      <c r="A348" s="19"/>
      <c r="B348" s="19"/>
      <c r="C348" s="19"/>
      <c r="D348" s="19"/>
      <c r="E348" s="19"/>
      <c r="F348" s="19"/>
      <c r="G348" s="19"/>
      <c r="H348" s="409"/>
      <c r="I348" s="19"/>
      <c r="J348" s="410"/>
      <c r="K348" s="410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>
      <c r="A349" s="19"/>
      <c r="B349" s="19"/>
      <c r="C349" s="19"/>
      <c r="D349" s="19"/>
      <c r="E349" s="19"/>
      <c r="F349" s="19"/>
      <c r="G349" s="19"/>
      <c r="H349" s="409"/>
      <c r="I349" s="19"/>
      <c r="J349" s="410"/>
      <c r="K349" s="410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>
      <c r="A350" s="19"/>
      <c r="B350" s="19"/>
      <c r="C350" s="19"/>
      <c r="D350" s="19"/>
      <c r="E350" s="19"/>
      <c r="F350" s="19"/>
      <c r="G350" s="19"/>
      <c r="H350" s="409"/>
      <c r="I350" s="19"/>
      <c r="J350" s="410"/>
      <c r="K350" s="410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>
      <c r="A351" s="19"/>
      <c r="B351" s="19"/>
      <c r="C351" s="19"/>
      <c r="D351" s="19"/>
      <c r="E351" s="19"/>
      <c r="F351" s="19"/>
      <c r="G351" s="19"/>
      <c r="H351" s="409"/>
      <c r="I351" s="19"/>
      <c r="J351" s="410"/>
      <c r="K351" s="410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>
      <c r="A352" s="19"/>
      <c r="B352" s="19"/>
      <c r="C352" s="19"/>
      <c r="D352" s="19"/>
      <c r="E352" s="19"/>
      <c r="F352" s="19"/>
      <c r="G352" s="19"/>
      <c r="H352" s="409"/>
      <c r="I352" s="19"/>
      <c r="J352" s="410"/>
      <c r="K352" s="410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>
      <c r="A353" s="19"/>
      <c r="B353" s="19"/>
      <c r="C353" s="19"/>
      <c r="D353" s="19"/>
      <c r="E353" s="19"/>
      <c r="F353" s="19"/>
      <c r="G353" s="19"/>
      <c r="H353" s="409"/>
      <c r="I353" s="19"/>
      <c r="J353" s="410"/>
      <c r="K353" s="410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>
      <c r="A354" s="19"/>
      <c r="B354" s="19"/>
      <c r="C354" s="19"/>
      <c r="D354" s="19"/>
      <c r="E354" s="19"/>
      <c r="F354" s="19"/>
      <c r="G354" s="19"/>
      <c r="H354" s="409"/>
      <c r="I354" s="19"/>
      <c r="J354" s="410"/>
      <c r="K354" s="410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>
      <c r="A355" s="19"/>
      <c r="B355" s="19"/>
      <c r="C355" s="19"/>
      <c r="D355" s="19"/>
      <c r="E355" s="19"/>
      <c r="F355" s="19"/>
      <c r="G355" s="19"/>
      <c r="H355" s="409"/>
      <c r="I355" s="19"/>
      <c r="J355" s="410"/>
      <c r="K355" s="410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>
      <c r="A356" s="19"/>
      <c r="B356" s="19"/>
      <c r="C356" s="19"/>
      <c r="D356" s="19"/>
      <c r="E356" s="19"/>
      <c r="F356" s="19"/>
      <c r="G356" s="19"/>
      <c r="H356" s="409"/>
      <c r="I356" s="19"/>
      <c r="J356" s="410"/>
      <c r="K356" s="410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>
      <c r="A357" s="19"/>
      <c r="B357" s="19"/>
      <c r="C357" s="19"/>
      <c r="D357" s="19"/>
      <c r="E357" s="19"/>
      <c r="F357" s="19"/>
      <c r="G357" s="19"/>
      <c r="H357" s="409"/>
      <c r="I357" s="19"/>
      <c r="J357" s="410"/>
      <c r="K357" s="410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>
      <c r="A358" s="19"/>
      <c r="B358" s="19"/>
      <c r="C358" s="19"/>
      <c r="D358" s="19"/>
      <c r="E358" s="19"/>
      <c r="F358" s="19"/>
      <c r="G358" s="19"/>
      <c r="H358" s="409"/>
      <c r="I358" s="19"/>
      <c r="J358" s="410"/>
      <c r="K358" s="410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>
      <c r="A359" s="19"/>
      <c r="B359" s="19"/>
      <c r="C359" s="19"/>
      <c r="D359" s="19"/>
      <c r="E359" s="19"/>
      <c r="F359" s="19"/>
      <c r="G359" s="19"/>
      <c r="H359" s="409"/>
      <c r="I359" s="19"/>
      <c r="J359" s="410"/>
      <c r="K359" s="410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>
      <c r="A360" s="19"/>
      <c r="B360" s="19"/>
      <c r="C360" s="19"/>
      <c r="D360" s="19"/>
      <c r="E360" s="19"/>
      <c r="F360" s="19"/>
      <c r="G360" s="19"/>
      <c r="H360" s="409"/>
      <c r="I360" s="19"/>
      <c r="J360" s="410"/>
      <c r="K360" s="410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>
      <c r="A361" s="19"/>
      <c r="B361" s="19"/>
      <c r="C361" s="19"/>
      <c r="D361" s="19"/>
      <c r="E361" s="19"/>
      <c r="F361" s="19"/>
      <c r="G361" s="19"/>
      <c r="H361" s="409"/>
      <c r="I361" s="19"/>
      <c r="J361" s="410"/>
      <c r="K361" s="410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>
      <c r="A362" s="19"/>
      <c r="B362" s="19"/>
      <c r="C362" s="19"/>
      <c r="D362" s="19"/>
      <c r="E362" s="19"/>
      <c r="F362" s="19"/>
      <c r="G362" s="19"/>
      <c r="H362" s="409"/>
      <c r="I362" s="19"/>
      <c r="J362" s="410"/>
      <c r="K362" s="410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>
      <c r="A363" s="19"/>
      <c r="B363" s="19"/>
      <c r="C363" s="19"/>
      <c r="D363" s="19"/>
      <c r="E363" s="19"/>
      <c r="F363" s="19"/>
      <c r="G363" s="19"/>
      <c r="H363" s="409"/>
      <c r="I363" s="19"/>
      <c r="J363" s="410"/>
      <c r="K363" s="410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>
      <c r="A364" s="19"/>
      <c r="B364" s="19"/>
      <c r="C364" s="19"/>
      <c r="D364" s="19"/>
      <c r="E364" s="19"/>
      <c r="F364" s="19"/>
      <c r="G364" s="19"/>
      <c r="H364" s="409"/>
      <c r="I364" s="19"/>
      <c r="J364" s="410"/>
      <c r="K364" s="410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>
      <c r="A365" s="19"/>
      <c r="B365" s="19"/>
      <c r="C365" s="19"/>
      <c r="D365" s="19"/>
      <c r="E365" s="19"/>
      <c r="F365" s="19"/>
      <c r="G365" s="19"/>
      <c r="H365" s="409"/>
      <c r="I365" s="19"/>
      <c r="J365" s="410"/>
      <c r="K365" s="410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>
      <c r="A366" s="19"/>
      <c r="B366" s="19"/>
      <c r="C366" s="19"/>
      <c r="D366" s="19"/>
      <c r="E366" s="19"/>
      <c r="F366" s="19"/>
      <c r="G366" s="19"/>
      <c r="H366" s="409"/>
      <c r="I366" s="19"/>
      <c r="J366" s="410"/>
      <c r="K366" s="410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>
      <c r="A367" s="19"/>
      <c r="B367" s="19"/>
      <c r="C367" s="19"/>
      <c r="D367" s="19"/>
      <c r="E367" s="19"/>
      <c r="F367" s="19"/>
      <c r="G367" s="19"/>
      <c r="H367" s="409"/>
      <c r="I367" s="19"/>
      <c r="J367" s="410"/>
      <c r="K367" s="410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>
      <c r="A368" s="19"/>
      <c r="B368" s="19"/>
      <c r="C368" s="19"/>
      <c r="D368" s="19"/>
      <c r="E368" s="19"/>
      <c r="F368" s="19"/>
      <c r="G368" s="19"/>
      <c r="H368" s="409"/>
      <c r="I368" s="19"/>
      <c r="J368" s="410"/>
      <c r="K368" s="410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>
      <c r="A369" s="19"/>
      <c r="B369" s="19"/>
      <c r="C369" s="19"/>
      <c r="D369" s="19"/>
      <c r="E369" s="19"/>
      <c r="F369" s="19"/>
      <c r="G369" s="19"/>
      <c r="H369" s="409"/>
      <c r="I369" s="19"/>
      <c r="J369" s="410"/>
      <c r="K369" s="410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>
      <c r="A370" s="19"/>
      <c r="B370" s="19"/>
      <c r="C370" s="19"/>
      <c r="D370" s="19"/>
      <c r="E370" s="19"/>
      <c r="F370" s="19"/>
      <c r="G370" s="19"/>
      <c r="H370" s="409"/>
      <c r="I370" s="19"/>
      <c r="J370" s="410"/>
      <c r="K370" s="410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>
      <c r="A371" s="19"/>
      <c r="B371" s="19"/>
      <c r="C371" s="19"/>
      <c r="D371" s="19"/>
      <c r="E371" s="19"/>
      <c r="F371" s="19"/>
      <c r="G371" s="19"/>
      <c r="H371" s="409"/>
      <c r="I371" s="19"/>
      <c r="J371" s="410"/>
      <c r="K371" s="410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>
      <c r="A372" s="19"/>
      <c r="B372" s="19"/>
      <c r="C372" s="19"/>
      <c r="D372" s="19"/>
      <c r="E372" s="19"/>
      <c r="F372" s="19"/>
      <c r="G372" s="19"/>
      <c r="H372" s="409"/>
      <c r="I372" s="19"/>
      <c r="J372" s="410"/>
      <c r="K372" s="410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>
      <c r="A373" s="19"/>
      <c r="B373" s="19"/>
      <c r="C373" s="19"/>
      <c r="D373" s="19"/>
      <c r="E373" s="19"/>
      <c r="F373" s="19"/>
      <c r="G373" s="19"/>
      <c r="H373" s="409"/>
      <c r="I373" s="19"/>
      <c r="J373" s="410"/>
      <c r="K373" s="410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>
      <c r="A374" s="19"/>
      <c r="B374" s="19"/>
      <c r="C374" s="19"/>
      <c r="D374" s="19"/>
      <c r="E374" s="19"/>
      <c r="F374" s="19"/>
      <c r="G374" s="19"/>
      <c r="H374" s="409"/>
      <c r="I374" s="19"/>
      <c r="J374" s="410"/>
      <c r="K374" s="410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>
      <c r="A375" s="19"/>
      <c r="B375" s="19"/>
      <c r="C375" s="19"/>
      <c r="D375" s="19"/>
      <c r="E375" s="19"/>
      <c r="F375" s="19"/>
      <c r="G375" s="19"/>
      <c r="H375" s="409"/>
      <c r="I375" s="19"/>
      <c r="J375" s="410"/>
      <c r="K375" s="410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>
      <c r="A376" s="19"/>
      <c r="B376" s="19"/>
      <c r="C376" s="19"/>
      <c r="D376" s="19"/>
      <c r="E376" s="19"/>
      <c r="F376" s="19"/>
      <c r="G376" s="19"/>
      <c r="H376" s="409"/>
      <c r="I376" s="19"/>
      <c r="J376" s="410"/>
      <c r="K376" s="410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>
      <c r="A377" s="19"/>
      <c r="B377" s="19"/>
      <c r="C377" s="19"/>
      <c r="D377" s="19"/>
      <c r="E377" s="19"/>
      <c r="F377" s="19"/>
      <c r="G377" s="19"/>
      <c r="H377" s="409"/>
      <c r="I377" s="19"/>
      <c r="J377" s="410"/>
      <c r="K377" s="410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>
      <c r="A378" s="19"/>
      <c r="B378" s="19"/>
      <c r="C378" s="19"/>
      <c r="D378" s="19"/>
      <c r="E378" s="19"/>
      <c r="F378" s="19"/>
      <c r="G378" s="19"/>
      <c r="H378" s="409"/>
      <c r="I378" s="19"/>
      <c r="J378" s="410"/>
      <c r="K378" s="410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>
      <c r="A379" s="19"/>
      <c r="B379" s="19"/>
      <c r="C379" s="19"/>
      <c r="D379" s="19"/>
      <c r="E379" s="19"/>
      <c r="F379" s="19"/>
      <c r="G379" s="19"/>
      <c r="H379" s="409"/>
      <c r="I379" s="19"/>
      <c r="J379" s="410"/>
      <c r="K379" s="410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>
      <c r="A380" s="19"/>
      <c r="B380" s="19"/>
      <c r="C380" s="19"/>
      <c r="D380" s="19"/>
      <c r="E380" s="19"/>
      <c r="F380" s="19"/>
      <c r="G380" s="19"/>
      <c r="H380" s="409"/>
      <c r="I380" s="19"/>
      <c r="J380" s="410"/>
      <c r="K380" s="410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>
      <c r="A381" s="19"/>
      <c r="B381" s="19"/>
      <c r="C381" s="19"/>
      <c r="D381" s="19"/>
      <c r="E381" s="19"/>
      <c r="F381" s="19"/>
      <c r="G381" s="19"/>
      <c r="H381" s="409"/>
      <c r="I381" s="19"/>
      <c r="J381" s="410"/>
      <c r="K381" s="410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>
      <c r="A382" s="19"/>
      <c r="B382" s="19"/>
      <c r="C382" s="19"/>
      <c r="D382" s="19"/>
      <c r="E382" s="19"/>
      <c r="F382" s="19"/>
      <c r="G382" s="19"/>
      <c r="H382" s="409"/>
      <c r="I382" s="19"/>
      <c r="J382" s="410"/>
      <c r="K382" s="410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>
      <c r="A383" s="19"/>
      <c r="B383" s="19"/>
      <c r="C383" s="19"/>
      <c r="D383" s="19"/>
      <c r="E383" s="19"/>
      <c r="F383" s="19"/>
      <c r="G383" s="19"/>
      <c r="H383" s="409"/>
      <c r="I383" s="19"/>
      <c r="J383" s="410"/>
      <c r="K383" s="410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>
      <c r="A384" s="19"/>
      <c r="B384" s="19"/>
      <c r="C384" s="19"/>
      <c r="D384" s="19"/>
      <c r="E384" s="19"/>
      <c r="F384" s="19"/>
      <c r="G384" s="19"/>
      <c r="H384" s="409"/>
      <c r="I384" s="19"/>
      <c r="J384" s="410"/>
      <c r="K384" s="410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>
      <c r="A385" s="19"/>
      <c r="B385" s="19"/>
      <c r="C385" s="19"/>
      <c r="D385" s="19"/>
      <c r="E385" s="19"/>
      <c r="F385" s="19"/>
      <c r="G385" s="19"/>
      <c r="H385" s="409"/>
      <c r="I385" s="19"/>
      <c r="J385" s="410"/>
      <c r="K385" s="410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>
      <c r="A386" s="19"/>
      <c r="B386" s="19"/>
      <c r="C386" s="19"/>
      <c r="D386" s="19"/>
      <c r="E386" s="19"/>
      <c r="F386" s="19"/>
      <c r="G386" s="19"/>
      <c r="H386" s="409"/>
      <c r="I386" s="19"/>
      <c r="J386" s="410"/>
      <c r="K386" s="410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>
      <c r="A387" s="19"/>
      <c r="B387" s="19"/>
      <c r="C387" s="19"/>
      <c r="D387" s="19"/>
      <c r="E387" s="19"/>
      <c r="F387" s="19"/>
      <c r="G387" s="19"/>
      <c r="H387" s="409"/>
      <c r="I387" s="19"/>
      <c r="J387" s="410"/>
      <c r="K387" s="410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>
      <c r="A388" s="19"/>
      <c r="B388" s="19"/>
      <c r="C388" s="19"/>
      <c r="D388" s="19"/>
      <c r="E388" s="19"/>
      <c r="F388" s="19"/>
      <c r="G388" s="19"/>
      <c r="H388" s="409"/>
      <c r="I388" s="19"/>
      <c r="J388" s="410"/>
      <c r="K388" s="410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>
      <c r="A389" s="19"/>
      <c r="B389" s="19"/>
      <c r="C389" s="19"/>
      <c r="D389" s="19"/>
      <c r="E389" s="19"/>
      <c r="F389" s="19"/>
      <c r="G389" s="19"/>
      <c r="H389" s="409"/>
      <c r="I389" s="19"/>
      <c r="J389" s="410"/>
      <c r="K389" s="410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>
      <c r="A390" s="19"/>
      <c r="B390" s="19"/>
      <c r="C390" s="19"/>
      <c r="D390" s="19"/>
      <c r="E390" s="19"/>
      <c r="F390" s="19"/>
      <c r="G390" s="19"/>
      <c r="H390" s="409"/>
      <c r="I390" s="19"/>
      <c r="J390" s="410"/>
      <c r="K390" s="410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>
      <c r="A391" s="19"/>
      <c r="B391" s="19"/>
      <c r="C391" s="19"/>
      <c r="D391" s="19"/>
      <c r="E391" s="19"/>
      <c r="F391" s="19"/>
      <c r="G391" s="19"/>
      <c r="H391" s="409"/>
      <c r="I391" s="19"/>
      <c r="J391" s="410"/>
      <c r="K391" s="410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>
      <c r="A392" s="19"/>
      <c r="B392" s="19"/>
      <c r="C392" s="19"/>
      <c r="D392" s="19"/>
      <c r="E392" s="19"/>
      <c r="F392" s="19"/>
      <c r="G392" s="19"/>
      <c r="H392" s="409"/>
      <c r="I392" s="19"/>
      <c r="J392" s="410"/>
      <c r="K392" s="410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>
      <c r="A393" s="19"/>
      <c r="B393" s="19"/>
      <c r="C393" s="19"/>
      <c r="D393" s="19"/>
      <c r="E393" s="19"/>
      <c r="F393" s="19"/>
      <c r="G393" s="19"/>
      <c r="H393" s="409"/>
      <c r="I393" s="19"/>
      <c r="J393" s="410"/>
      <c r="K393" s="410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>
      <c r="A394" s="19"/>
      <c r="B394" s="19"/>
      <c r="C394" s="19"/>
      <c r="D394" s="19"/>
      <c r="E394" s="19"/>
      <c r="F394" s="19"/>
      <c r="G394" s="19"/>
      <c r="H394" s="409"/>
      <c r="I394" s="19"/>
      <c r="J394" s="410"/>
      <c r="K394" s="410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>
      <c r="A395" s="19"/>
      <c r="B395" s="19"/>
      <c r="C395" s="19"/>
      <c r="D395" s="19"/>
      <c r="E395" s="19"/>
      <c r="F395" s="19"/>
      <c r="G395" s="19"/>
      <c r="H395" s="409"/>
      <c r="I395" s="19"/>
      <c r="J395" s="410"/>
      <c r="K395" s="410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>
      <c r="A396" s="19"/>
      <c r="B396" s="19"/>
      <c r="C396" s="19"/>
      <c r="D396" s="19"/>
      <c r="E396" s="19"/>
      <c r="F396" s="19"/>
      <c r="G396" s="19"/>
      <c r="H396" s="409"/>
      <c r="I396" s="19"/>
      <c r="J396" s="410"/>
      <c r="K396" s="410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>
      <c r="A397" s="19"/>
      <c r="B397" s="19"/>
      <c r="C397" s="19"/>
      <c r="D397" s="19"/>
      <c r="E397" s="19"/>
      <c r="F397" s="19"/>
      <c r="G397" s="19"/>
      <c r="H397" s="409"/>
      <c r="I397" s="19"/>
      <c r="J397" s="410"/>
      <c r="K397" s="410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>
      <c r="A398" s="19"/>
      <c r="B398" s="19"/>
      <c r="C398" s="19"/>
      <c r="D398" s="19"/>
      <c r="E398" s="19"/>
      <c r="F398" s="19"/>
      <c r="G398" s="19"/>
      <c r="H398" s="409"/>
      <c r="I398" s="19"/>
      <c r="J398" s="410"/>
      <c r="K398" s="410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>
      <c r="A399" s="19"/>
      <c r="B399" s="19"/>
      <c r="C399" s="19"/>
      <c r="D399" s="19"/>
      <c r="E399" s="19"/>
      <c r="F399" s="19"/>
      <c r="G399" s="19"/>
      <c r="H399" s="409"/>
      <c r="I399" s="19"/>
      <c r="J399" s="410"/>
      <c r="K399" s="410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>
      <c r="A400" s="19"/>
      <c r="B400" s="19"/>
      <c r="C400" s="19"/>
      <c r="D400" s="19"/>
      <c r="E400" s="19"/>
      <c r="F400" s="19"/>
      <c r="G400" s="19"/>
      <c r="H400" s="409"/>
      <c r="I400" s="19"/>
      <c r="J400" s="410"/>
      <c r="K400" s="410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>
      <c r="A401" s="19"/>
      <c r="B401" s="19"/>
      <c r="C401" s="19"/>
      <c r="D401" s="19"/>
      <c r="E401" s="19"/>
      <c r="F401" s="19"/>
      <c r="G401" s="19"/>
      <c r="H401" s="409"/>
      <c r="I401" s="19"/>
      <c r="J401" s="410"/>
      <c r="K401" s="410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>
      <c r="A402" s="19"/>
      <c r="B402" s="19"/>
      <c r="C402" s="19"/>
      <c r="D402" s="19"/>
      <c r="E402" s="19"/>
      <c r="F402" s="19"/>
      <c r="G402" s="19"/>
      <c r="H402" s="409"/>
      <c r="I402" s="19"/>
      <c r="J402" s="410"/>
      <c r="K402" s="410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>
      <c r="A403" s="19"/>
      <c r="B403" s="19"/>
      <c r="C403" s="19"/>
      <c r="D403" s="19"/>
      <c r="E403" s="19"/>
      <c r="F403" s="19"/>
      <c r="G403" s="19"/>
      <c r="H403" s="409"/>
      <c r="I403" s="19"/>
      <c r="J403" s="410"/>
      <c r="K403" s="410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>
      <c r="A404" s="19"/>
      <c r="B404" s="19"/>
      <c r="C404" s="19"/>
      <c r="D404" s="19"/>
      <c r="E404" s="19"/>
      <c r="F404" s="19"/>
      <c r="G404" s="19"/>
      <c r="H404" s="409"/>
      <c r="I404" s="19"/>
      <c r="J404" s="410"/>
      <c r="K404" s="410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>
      <c r="A405" s="19"/>
      <c r="B405" s="19"/>
      <c r="C405" s="19"/>
      <c r="D405" s="19"/>
      <c r="E405" s="19"/>
      <c r="F405" s="19"/>
      <c r="G405" s="19"/>
      <c r="H405" s="409"/>
      <c r="I405" s="19"/>
      <c r="J405" s="410"/>
      <c r="K405" s="410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>
      <c r="A406" s="19"/>
      <c r="B406" s="19"/>
      <c r="C406" s="19"/>
      <c r="D406" s="19"/>
      <c r="E406" s="19"/>
      <c r="F406" s="19"/>
      <c r="G406" s="19"/>
      <c r="H406" s="409"/>
      <c r="I406" s="19"/>
      <c r="J406" s="410"/>
      <c r="K406" s="410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>
      <c r="A407" s="19"/>
      <c r="B407" s="19"/>
      <c r="C407" s="19"/>
      <c r="D407" s="19"/>
      <c r="E407" s="19"/>
      <c r="F407" s="19"/>
      <c r="G407" s="19"/>
      <c r="H407" s="409"/>
      <c r="I407" s="19"/>
      <c r="J407" s="410"/>
      <c r="K407" s="410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>
      <c r="A408" s="19"/>
      <c r="B408" s="19"/>
      <c r="C408" s="19"/>
      <c r="D408" s="19"/>
      <c r="E408" s="19"/>
      <c r="F408" s="19"/>
      <c r="G408" s="19"/>
      <c r="H408" s="409"/>
      <c r="I408" s="19"/>
      <c r="J408" s="410"/>
      <c r="K408" s="410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>
      <c r="A409" s="19"/>
      <c r="B409" s="19"/>
      <c r="C409" s="19"/>
      <c r="D409" s="19"/>
      <c r="E409" s="19"/>
      <c r="F409" s="19"/>
      <c r="G409" s="19"/>
      <c r="H409" s="409"/>
      <c r="I409" s="19"/>
      <c r="J409" s="410"/>
      <c r="K409" s="410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>
      <c r="A410" s="19"/>
      <c r="B410" s="19"/>
      <c r="C410" s="19"/>
      <c r="D410" s="19"/>
      <c r="E410" s="19"/>
      <c r="F410" s="19"/>
      <c r="G410" s="19"/>
      <c r="H410" s="409"/>
      <c r="I410" s="19"/>
      <c r="J410" s="410"/>
      <c r="K410" s="410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>
      <c r="A411" s="19"/>
      <c r="B411" s="19"/>
      <c r="C411" s="19"/>
      <c r="D411" s="19"/>
      <c r="E411" s="19"/>
      <c r="F411" s="19"/>
      <c r="G411" s="19"/>
      <c r="H411" s="409"/>
      <c r="I411" s="19"/>
      <c r="J411" s="410"/>
      <c r="K411" s="410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>
      <c r="A412" s="19"/>
      <c r="B412" s="19"/>
      <c r="C412" s="19"/>
      <c r="D412" s="19"/>
      <c r="E412" s="19"/>
      <c r="F412" s="19"/>
      <c r="G412" s="19"/>
      <c r="H412" s="409"/>
      <c r="I412" s="19"/>
      <c r="J412" s="410"/>
      <c r="K412" s="410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>
      <c r="A413" s="19"/>
      <c r="B413" s="19"/>
      <c r="C413" s="19"/>
      <c r="D413" s="19"/>
      <c r="E413" s="19"/>
      <c r="F413" s="19"/>
      <c r="G413" s="19"/>
      <c r="H413" s="409"/>
      <c r="I413" s="19"/>
      <c r="J413" s="410"/>
      <c r="K413" s="410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>
      <c r="A414" s="19"/>
      <c r="B414" s="19"/>
      <c r="C414" s="19"/>
      <c r="D414" s="19"/>
      <c r="E414" s="19"/>
      <c r="F414" s="19"/>
      <c r="G414" s="19"/>
      <c r="H414" s="409"/>
      <c r="I414" s="19"/>
      <c r="J414" s="410"/>
      <c r="K414" s="410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>
      <c r="A415" s="19"/>
      <c r="B415" s="19"/>
      <c r="C415" s="19"/>
      <c r="D415" s="19"/>
      <c r="E415" s="19"/>
      <c r="F415" s="19"/>
      <c r="G415" s="19"/>
      <c r="H415" s="409"/>
      <c r="I415" s="19"/>
      <c r="J415" s="410"/>
      <c r="K415" s="410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>
      <c r="A416" s="19"/>
      <c r="B416" s="19"/>
      <c r="C416" s="19"/>
      <c r="D416" s="19"/>
      <c r="E416" s="19"/>
      <c r="F416" s="19"/>
      <c r="G416" s="19"/>
      <c r="H416" s="409"/>
      <c r="I416" s="19"/>
      <c r="J416" s="410"/>
      <c r="K416" s="410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>
      <c r="A417" s="19"/>
      <c r="B417" s="19"/>
      <c r="C417" s="19"/>
      <c r="D417" s="19"/>
      <c r="E417" s="19"/>
      <c r="F417" s="19"/>
      <c r="G417" s="19"/>
      <c r="H417" s="409"/>
      <c r="I417" s="19"/>
      <c r="J417" s="410"/>
      <c r="K417" s="410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>
      <c r="A418" s="19"/>
      <c r="B418" s="19"/>
      <c r="C418" s="19"/>
      <c r="D418" s="19"/>
      <c r="E418" s="19"/>
      <c r="F418" s="19"/>
      <c r="G418" s="19"/>
      <c r="H418" s="409"/>
      <c r="I418" s="19"/>
      <c r="J418" s="410"/>
      <c r="K418" s="410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>
      <c r="A419" s="19"/>
      <c r="B419" s="19"/>
      <c r="C419" s="19"/>
      <c r="D419" s="19"/>
      <c r="E419" s="19"/>
      <c r="F419" s="19"/>
      <c r="G419" s="19"/>
      <c r="H419" s="409"/>
      <c r="I419" s="19"/>
      <c r="J419" s="410"/>
      <c r="K419" s="410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>
      <c r="A420" s="19"/>
      <c r="B420" s="19"/>
      <c r="C420" s="19"/>
      <c r="D420" s="19"/>
      <c r="E420" s="19"/>
      <c r="F420" s="19"/>
      <c r="G420" s="19"/>
      <c r="H420" s="409"/>
      <c r="I420" s="19"/>
      <c r="J420" s="410"/>
      <c r="K420" s="410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>
      <c r="A421" s="19"/>
      <c r="B421" s="19"/>
      <c r="C421" s="19"/>
      <c r="D421" s="19"/>
      <c r="E421" s="19"/>
      <c r="F421" s="19"/>
      <c r="G421" s="19"/>
      <c r="H421" s="409"/>
      <c r="I421" s="19"/>
      <c r="J421" s="410"/>
      <c r="K421" s="410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>
      <c r="A422" s="19"/>
      <c r="B422" s="19"/>
      <c r="C422" s="19"/>
      <c r="D422" s="19"/>
      <c r="E422" s="19"/>
      <c r="F422" s="19"/>
      <c r="G422" s="19"/>
      <c r="H422" s="409"/>
      <c r="I422" s="19"/>
      <c r="J422" s="410"/>
      <c r="K422" s="410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>
      <c r="A423" s="19"/>
      <c r="B423" s="19"/>
      <c r="C423" s="19"/>
      <c r="D423" s="19"/>
      <c r="E423" s="19"/>
      <c r="F423" s="19"/>
      <c r="G423" s="19"/>
      <c r="H423" s="409"/>
      <c r="I423" s="19"/>
      <c r="J423" s="410"/>
      <c r="K423" s="410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>
      <c r="A424" s="19"/>
      <c r="B424" s="19"/>
      <c r="C424" s="19"/>
      <c r="D424" s="19"/>
      <c r="E424" s="19"/>
      <c r="F424" s="19"/>
      <c r="G424" s="19"/>
      <c r="H424" s="409"/>
      <c r="I424" s="19"/>
      <c r="J424" s="410"/>
      <c r="K424" s="410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>
      <c r="A425" s="19"/>
      <c r="B425" s="19"/>
      <c r="C425" s="19"/>
      <c r="D425" s="19"/>
      <c r="E425" s="19"/>
      <c r="F425" s="19"/>
      <c r="G425" s="19"/>
      <c r="H425" s="409"/>
      <c r="I425" s="19"/>
      <c r="J425" s="410"/>
      <c r="K425" s="410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>
      <c r="A426" s="19"/>
      <c r="B426" s="19"/>
      <c r="C426" s="19"/>
      <c r="D426" s="19"/>
      <c r="E426" s="19"/>
      <c r="F426" s="19"/>
      <c r="G426" s="19"/>
      <c r="H426" s="409"/>
      <c r="I426" s="19"/>
      <c r="J426" s="410"/>
      <c r="K426" s="410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>
      <c r="A427" s="19"/>
      <c r="B427" s="19"/>
      <c r="C427" s="19"/>
      <c r="D427" s="19"/>
      <c r="E427" s="19"/>
      <c r="F427" s="19"/>
      <c r="G427" s="19"/>
      <c r="H427" s="409"/>
      <c r="I427" s="19"/>
      <c r="J427" s="410"/>
      <c r="K427" s="410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>
      <c r="A428" s="19"/>
      <c r="B428" s="19"/>
      <c r="C428" s="19"/>
      <c r="D428" s="19"/>
      <c r="E428" s="19"/>
      <c r="F428" s="19"/>
      <c r="G428" s="19"/>
      <c r="H428" s="409"/>
      <c r="I428" s="19"/>
      <c r="J428" s="410"/>
      <c r="K428" s="410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>
      <c r="A429" s="19"/>
      <c r="B429" s="19"/>
      <c r="C429" s="19"/>
      <c r="D429" s="19"/>
      <c r="E429" s="19"/>
      <c r="F429" s="19"/>
      <c r="G429" s="19"/>
      <c r="H429" s="409"/>
      <c r="I429" s="19"/>
      <c r="J429" s="410"/>
      <c r="K429" s="410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>
      <c r="A430" s="19"/>
      <c r="B430" s="19"/>
      <c r="C430" s="19"/>
      <c r="D430" s="19"/>
      <c r="E430" s="19"/>
      <c r="F430" s="19"/>
      <c r="G430" s="19"/>
      <c r="H430" s="409"/>
      <c r="I430" s="19"/>
      <c r="J430" s="410"/>
      <c r="K430" s="410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>
      <c r="A431" s="19"/>
      <c r="B431" s="19"/>
      <c r="C431" s="19"/>
      <c r="D431" s="19"/>
      <c r="E431" s="19"/>
      <c r="F431" s="19"/>
      <c r="G431" s="19"/>
      <c r="H431" s="409"/>
      <c r="I431" s="19"/>
      <c r="J431" s="410"/>
      <c r="K431" s="410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>
      <c r="A432" s="19"/>
      <c r="B432" s="19"/>
      <c r="C432" s="19"/>
      <c r="D432" s="19"/>
      <c r="E432" s="19"/>
      <c r="F432" s="19"/>
      <c r="G432" s="19"/>
      <c r="H432" s="409"/>
      <c r="I432" s="19"/>
      <c r="J432" s="410"/>
      <c r="K432" s="410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>
      <c r="A433" s="19"/>
      <c r="B433" s="19"/>
      <c r="C433" s="19"/>
      <c r="D433" s="19"/>
      <c r="E433" s="19"/>
      <c r="F433" s="19"/>
      <c r="G433" s="19"/>
      <c r="H433" s="409"/>
      <c r="I433" s="19"/>
      <c r="J433" s="410"/>
      <c r="K433" s="410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>
      <c r="A434" s="19"/>
      <c r="B434" s="19"/>
      <c r="C434" s="19"/>
      <c r="D434" s="19"/>
      <c r="E434" s="19"/>
      <c r="F434" s="19"/>
      <c r="G434" s="19"/>
      <c r="H434" s="409"/>
      <c r="I434" s="19"/>
      <c r="J434" s="410"/>
      <c r="K434" s="410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>
      <c r="A435" s="19"/>
      <c r="B435" s="19"/>
      <c r="C435" s="19"/>
      <c r="D435" s="19"/>
      <c r="E435" s="19"/>
      <c r="F435" s="19"/>
      <c r="G435" s="19"/>
      <c r="H435" s="409"/>
      <c r="I435" s="19"/>
      <c r="J435" s="410"/>
      <c r="K435" s="410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>
      <c r="A436" s="19"/>
      <c r="B436" s="19"/>
      <c r="C436" s="19"/>
      <c r="D436" s="19"/>
      <c r="E436" s="19"/>
      <c r="F436" s="19"/>
      <c r="G436" s="19"/>
      <c r="H436" s="409"/>
      <c r="I436" s="19"/>
      <c r="J436" s="410"/>
      <c r="K436" s="410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>
      <c r="A437" s="19"/>
      <c r="B437" s="19"/>
      <c r="C437" s="19"/>
      <c r="D437" s="19"/>
      <c r="E437" s="19"/>
      <c r="F437" s="19"/>
      <c r="G437" s="19"/>
      <c r="H437" s="409"/>
      <c r="I437" s="19"/>
      <c r="J437" s="410"/>
      <c r="K437" s="410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>
      <c r="A438" s="19"/>
      <c r="B438" s="19"/>
      <c r="C438" s="19"/>
      <c r="D438" s="19"/>
      <c r="E438" s="19"/>
      <c r="F438" s="19"/>
      <c r="G438" s="19"/>
      <c r="H438" s="409"/>
      <c r="I438" s="19"/>
      <c r="J438" s="410"/>
      <c r="K438" s="410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>
      <c r="A439" s="19"/>
      <c r="B439" s="19"/>
      <c r="C439" s="19"/>
      <c r="D439" s="19"/>
      <c r="E439" s="19"/>
      <c r="F439" s="19"/>
      <c r="G439" s="19"/>
      <c r="H439" s="409"/>
      <c r="I439" s="19"/>
      <c r="J439" s="410"/>
      <c r="K439" s="410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>
      <c r="A440" s="19"/>
      <c r="B440" s="19"/>
      <c r="C440" s="19"/>
      <c r="D440" s="19"/>
      <c r="E440" s="19"/>
      <c r="F440" s="19"/>
      <c r="G440" s="19"/>
      <c r="H440" s="409"/>
      <c r="I440" s="19"/>
      <c r="J440" s="410"/>
      <c r="K440" s="410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>
      <c r="A441" s="19"/>
      <c r="B441" s="19"/>
      <c r="C441" s="19"/>
      <c r="D441" s="19"/>
      <c r="E441" s="19"/>
      <c r="F441" s="19"/>
      <c r="G441" s="19"/>
      <c r="H441" s="409"/>
      <c r="I441" s="19"/>
      <c r="J441" s="410"/>
      <c r="K441" s="410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>
      <c r="A442" s="19"/>
      <c r="B442" s="19"/>
      <c r="C442" s="19"/>
      <c r="D442" s="19"/>
      <c r="E442" s="19"/>
      <c r="F442" s="19"/>
      <c r="G442" s="19"/>
      <c r="H442" s="409"/>
      <c r="I442" s="19"/>
      <c r="J442" s="410"/>
      <c r="K442" s="410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>
      <c r="A443" s="19"/>
      <c r="B443" s="19"/>
      <c r="C443" s="19"/>
      <c r="D443" s="19"/>
      <c r="E443" s="19"/>
      <c r="F443" s="19"/>
      <c r="G443" s="19"/>
      <c r="H443" s="409"/>
      <c r="I443" s="19"/>
      <c r="J443" s="410"/>
      <c r="K443" s="410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>
      <c r="A444" s="19"/>
      <c r="B444" s="19"/>
      <c r="C444" s="19"/>
      <c r="D444" s="19"/>
      <c r="E444" s="19"/>
      <c r="F444" s="19"/>
      <c r="G444" s="19"/>
      <c r="H444" s="409"/>
      <c r="I444" s="19"/>
      <c r="J444" s="410"/>
      <c r="K444" s="410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>
      <c r="A445" s="19"/>
      <c r="B445" s="19"/>
      <c r="C445" s="19"/>
      <c r="D445" s="19"/>
      <c r="E445" s="19"/>
      <c r="F445" s="19"/>
      <c r="G445" s="19"/>
      <c r="H445" s="409"/>
      <c r="I445" s="19"/>
      <c r="J445" s="410"/>
      <c r="K445" s="410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>
      <c r="A446" s="19"/>
      <c r="B446" s="19"/>
      <c r="C446" s="19"/>
      <c r="D446" s="19"/>
      <c r="E446" s="19"/>
      <c r="F446" s="19"/>
      <c r="G446" s="19"/>
      <c r="H446" s="409"/>
      <c r="I446" s="19"/>
      <c r="J446" s="410"/>
      <c r="K446" s="410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>
      <c r="A447" s="19"/>
      <c r="B447" s="19"/>
      <c r="C447" s="19"/>
      <c r="D447" s="19"/>
      <c r="E447" s="19"/>
      <c r="F447" s="19"/>
      <c r="G447" s="19"/>
      <c r="H447" s="409"/>
      <c r="I447" s="19"/>
      <c r="J447" s="410"/>
      <c r="K447" s="410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>
      <c r="A448" s="19"/>
      <c r="B448" s="19"/>
      <c r="C448" s="19"/>
      <c r="D448" s="19"/>
      <c r="E448" s="19"/>
      <c r="F448" s="19"/>
      <c r="G448" s="19"/>
      <c r="H448" s="409"/>
      <c r="I448" s="19"/>
      <c r="J448" s="410"/>
      <c r="K448" s="410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>
      <c r="A449" s="19"/>
      <c r="B449" s="19"/>
      <c r="C449" s="19"/>
      <c r="D449" s="19"/>
      <c r="E449" s="19"/>
      <c r="F449" s="19"/>
      <c r="G449" s="19"/>
      <c r="H449" s="409"/>
      <c r="I449" s="19"/>
      <c r="J449" s="410"/>
      <c r="K449" s="410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>
      <c r="A450" s="19"/>
      <c r="B450" s="19"/>
      <c r="C450" s="19"/>
      <c r="D450" s="19"/>
      <c r="E450" s="19"/>
      <c r="F450" s="19"/>
      <c r="G450" s="19"/>
      <c r="H450" s="409"/>
      <c r="I450" s="19"/>
      <c r="J450" s="410"/>
      <c r="K450" s="410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>
      <c r="A451" s="19"/>
      <c r="B451" s="19"/>
      <c r="C451" s="19"/>
      <c r="D451" s="19"/>
      <c r="E451" s="19"/>
      <c r="F451" s="19"/>
      <c r="G451" s="19"/>
      <c r="H451" s="409"/>
      <c r="I451" s="19"/>
      <c r="J451" s="410"/>
      <c r="K451" s="410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>
      <c r="A452" s="19"/>
      <c r="B452" s="19"/>
      <c r="C452" s="19"/>
      <c r="D452" s="19"/>
      <c r="E452" s="19"/>
      <c r="F452" s="19"/>
      <c r="G452" s="19"/>
      <c r="H452" s="409"/>
      <c r="I452" s="19"/>
      <c r="J452" s="410"/>
      <c r="K452" s="410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>
      <c r="A453" s="19"/>
      <c r="B453" s="19"/>
      <c r="C453" s="19"/>
      <c r="D453" s="19"/>
      <c r="E453" s="19"/>
      <c r="F453" s="19"/>
      <c r="G453" s="19"/>
      <c r="H453" s="409"/>
      <c r="I453" s="19"/>
      <c r="J453" s="410"/>
      <c r="K453" s="410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>
      <c r="A454" s="19"/>
      <c r="B454" s="19"/>
      <c r="C454" s="19"/>
      <c r="D454" s="19"/>
      <c r="E454" s="19"/>
      <c r="F454" s="19"/>
      <c r="G454" s="19"/>
      <c r="H454" s="409"/>
      <c r="I454" s="19"/>
      <c r="J454" s="410"/>
      <c r="K454" s="410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>
      <c r="A455" s="19"/>
      <c r="B455" s="19"/>
      <c r="C455" s="19"/>
      <c r="D455" s="19"/>
      <c r="E455" s="19"/>
      <c r="F455" s="19"/>
      <c r="G455" s="19"/>
      <c r="H455" s="409"/>
      <c r="I455" s="19"/>
      <c r="J455" s="410"/>
      <c r="K455" s="410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>
      <c r="A456" s="19"/>
      <c r="B456" s="19"/>
      <c r="C456" s="19"/>
      <c r="D456" s="19"/>
      <c r="E456" s="19"/>
      <c r="F456" s="19"/>
      <c r="G456" s="19"/>
      <c r="H456" s="409"/>
      <c r="I456" s="19"/>
      <c r="J456" s="410"/>
      <c r="K456" s="410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>
      <c r="A457" s="19"/>
      <c r="B457" s="19"/>
      <c r="C457" s="19"/>
      <c r="D457" s="19"/>
      <c r="E457" s="19"/>
      <c r="F457" s="19"/>
      <c r="G457" s="19"/>
      <c r="H457" s="409"/>
      <c r="I457" s="19"/>
      <c r="J457" s="410"/>
      <c r="K457" s="410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>
      <c r="A458" s="19"/>
      <c r="B458" s="19"/>
      <c r="C458" s="19"/>
      <c r="D458" s="19"/>
      <c r="E458" s="19"/>
      <c r="F458" s="19"/>
      <c r="G458" s="19"/>
      <c r="H458" s="409"/>
      <c r="I458" s="19"/>
      <c r="J458" s="410"/>
      <c r="K458" s="410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>
      <c r="A459" s="19"/>
      <c r="B459" s="19"/>
      <c r="C459" s="19"/>
      <c r="D459" s="19"/>
      <c r="E459" s="19"/>
      <c r="F459" s="19"/>
      <c r="G459" s="19"/>
      <c r="H459" s="409"/>
      <c r="I459" s="19"/>
      <c r="J459" s="410"/>
      <c r="K459" s="410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>
      <c r="A460" s="19"/>
      <c r="B460" s="19"/>
      <c r="C460" s="19"/>
      <c r="D460" s="19"/>
      <c r="E460" s="19"/>
      <c r="F460" s="19"/>
      <c r="G460" s="19"/>
      <c r="H460" s="409"/>
      <c r="I460" s="19"/>
      <c r="J460" s="410"/>
      <c r="K460" s="410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>
      <c r="A461" s="19"/>
      <c r="B461" s="19"/>
      <c r="C461" s="19"/>
      <c r="D461" s="19"/>
      <c r="E461" s="19"/>
      <c r="F461" s="19"/>
      <c r="G461" s="19"/>
      <c r="H461" s="409"/>
      <c r="I461" s="19"/>
      <c r="J461" s="410"/>
      <c r="K461" s="410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>
      <c r="A462" s="19"/>
      <c r="B462" s="19"/>
      <c r="C462" s="19"/>
      <c r="D462" s="19"/>
      <c r="E462" s="19"/>
      <c r="F462" s="19"/>
      <c r="G462" s="19"/>
      <c r="H462" s="409"/>
      <c r="I462" s="19"/>
      <c r="J462" s="410"/>
      <c r="K462" s="410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>
      <c r="A463" s="19"/>
      <c r="B463" s="19"/>
      <c r="C463" s="19"/>
      <c r="D463" s="19"/>
      <c r="E463" s="19"/>
      <c r="F463" s="19"/>
      <c r="G463" s="19"/>
      <c r="H463" s="409"/>
      <c r="I463" s="19"/>
      <c r="J463" s="410"/>
      <c r="K463" s="410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>
      <c r="A464" s="19"/>
      <c r="B464" s="19"/>
      <c r="C464" s="19"/>
      <c r="D464" s="19"/>
      <c r="E464" s="19"/>
      <c r="F464" s="19"/>
      <c r="G464" s="19"/>
      <c r="H464" s="409"/>
      <c r="I464" s="19"/>
      <c r="J464" s="410"/>
      <c r="K464" s="410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>
      <c r="A465" s="19"/>
      <c r="B465" s="19"/>
      <c r="C465" s="19"/>
      <c r="D465" s="19"/>
      <c r="E465" s="19"/>
      <c r="F465" s="19"/>
      <c r="G465" s="19"/>
      <c r="H465" s="409"/>
      <c r="I465" s="19"/>
      <c r="J465" s="410"/>
      <c r="K465" s="410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>
      <c r="A466" s="19"/>
      <c r="B466" s="19"/>
      <c r="C466" s="19"/>
      <c r="D466" s="19"/>
      <c r="E466" s="19"/>
      <c r="F466" s="19"/>
      <c r="G466" s="19"/>
      <c r="H466" s="409"/>
      <c r="I466" s="19"/>
      <c r="J466" s="410"/>
      <c r="K466" s="410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>
      <c r="A467" s="19"/>
      <c r="B467" s="19"/>
      <c r="C467" s="19"/>
      <c r="D467" s="19"/>
      <c r="E467" s="19"/>
      <c r="F467" s="19"/>
      <c r="G467" s="19"/>
      <c r="H467" s="409"/>
      <c r="I467" s="19"/>
      <c r="J467" s="410"/>
      <c r="K467" s="410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>
      <c r="A468" s="19"/>
      <c r="B468" s="19"/>
      <c r="C468" s="19"/>
      <c r="D468" s="19"/>
      <c r="E468" s="19"/>
      <c r="F468" s="19"/>
      <c r="G468" s="19"/>
      <c r="H468" s="409"/>
      <c r="I468" s="19"/>
      <c r="J468" s="410"/>
      <c r="K468" s="410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>
      <c r="A469" s="19"/>
      <c r="B469" s="19"/>
      <c r="C469" s="19"/>
      <c r="D469" s="19"/>
      <c r="E469" s="19"/>
      <c r="F469" s="19"/>
      <c r="G469" s="19"/>
      <c r="H469" s="409"/>
      <c r="I469" s="19"/>
      <c r="J469" s="410"/>
      <c r="K469" s="410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>
      <c r="A470" s="19"/>
      <c r="B470" s="19"/>
      <c r="C470" s="19"/>
      <c r="D470" s="19"/>
      <c r="E470" s="19"/>
      <c r="F470" s="19"/>
      <c r="G470" s="19"/>
      <c r="H470" s="409"/>
      <c r="I470" s="19"/>
      <c r="J470" s="410"/>
      <c r="K470" s="410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>
      <c r="A471" s="19"/>
      <c r="B471" s="19"/>
      <c r="C471" s="19"/>
      <c r="D471" s="19"/>
      <c r="E471" s="19"/>
      <c r="F471" s="19"/>
      <c r="G471" s="19"/>
      <c r="H471" s="409"/>
      <c r="I471" s="19"/>
      <c r="J471" s="410"/>
      <c r="K471" s="410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>
      <c r="A472" s="19"/>
      <c r="B472" s="19"/>
      <c r="C472" s="19"/>
      <c r="D472" s="19"/>
      <c r="E472" s="19"/>
      <c r="F472" s="19"/>
      <c r="G472" s="19"/>
      <c r="H472" s="409"/>
      <c r="I472" s="19"/>
      <c r="J472" s="410"/>
      <c r="K472" s="410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>
      <c r="A473" s="19"/>
      <c r="B473" s="19"/>
      <c r="C473" s="19"/>
      <c r="D473" s="19"/>
      <c r="E473" s="19"/>
      <c r="F473" s="19"/>
      <c r="G473" s="19"/>
      <c r="H473" s="409"/>
      <c r="I473" s="19"/>
      <c r="J473" s="410"/>
      <c r="K473" s="410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>
      <c r="A474" s="19"/>
      <c r="B474" s="19"/>
      <c r="C474" s="19"/>
      <c r="D474" s="19"/>
      <c r="E474" s="19"/>
      <c r="F474" s="19"/>
      <c r="G474" s="19"/>
      <c r="H474" s="409"/>
      <c r="I474" s="19"/>
      <c r="J474" s="410"/>
      <c r="K474" s="410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>
      <c r="A475" s="19"/>
      <c r="B475" s="19"/>
      <c r="C475" s="19"/>
      <c r="D475" s="19"/>
      <c r="E475" s="19"/>
      <c r="F475" s="19"/>
      <c r="G475" s="19"/>
      <c r="H475" s="409"/>
      <c r="I475" s="19"/>
      <c r="J475" s="410"/>
      <c r="K475" s="410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>
      <c r="A476" s="19"/>
      <c r="B476" s="19"/>
      <c r="C476" s="19"/>
      <c r="D476" s="19"/>
      <c r="E476" s="19"/>
      <c r="F476" s="19"/>
      <c r="G476" s="19"/>
      <c r="H476" s="409"/>
      <c r="I476" s="19"/>
      <c r="J476" s="410"/>
      <c r="K476" s="410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>
      <c r="A477" s="19"/>
      <c r="B477" s="19"/>
      <c r="C477" s="19"/>
      <c r="D477" s="19"/>
      <c r="E477" s="19"/>
      <c r="F477" s="19"/>
      <c r="G477" s="19"/>
      <c r="H477" s="409"/>
      <c r="I477" s="19"/>
      <c r="J477" s="410"/>
      <c r="K477" s="410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>
      <c r="A478" s="19"/>
      <c r="B478" s="19"/>
      <c r="C478" s="19"/>
      <c r="D478" s="19"/>
      <c r="E478" s="19"/>
      <c r="F478" s="19"/>
      <c r="G478" s="19"/>
      <c r="H478" s="409"/>
      <c r="I478" s="19"/>
      <c r="J478" s="410"/>
      <c r="K478" s="410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>
      <c r="A479" s="19"/>
      <c r="B479" s="19"/>
      <c r="C479" s="19"/>
      <c r="D479" s="19"/>
      <c r="E479" s="19"/>
      <c r="F479" s="19"/>
      <c r="G479" s="19"/>
      <c r="H479" s="409"/>
      <c r="I479" s="19"/>
      <c r="J479" s="410"/>
      <c r="K479" s="410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>
      <c r="A480" s="19"/>
      <c r="B480" s="19"/>
      <c r="C480" s="19"/>
      <c r="D480" s="19"/>
      <c r="E480" s="19"/>
      <c r="F480" s="19"/>
      <c r="G480" s="19"/>
      <c r="H480" s="409"/>
      <c r="I480" s="19"/>
      <c r="J480" s="410"/>
      <c r="K480" s="410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>
      <c r="A481" s="19"/>
      <c r="B481" s="19"/>
      <c r="C481" s="19"/>
      <c r="D481" s="19"/>
      <c r="E481" s="19"/>
      <c r="F481" s="19"/>
      <c r="G481" s="19"/>
      <c r="H481" s="409"/>
      <c r="I481" s="19"/>
      <c r="J481" s="410"/>
      <c r="K481" s="410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>
      <c r="A482" s="19"/>
      <c r="B482" s="19"/>
      <c r="C482" s="19"/>
      <c r="D482" s="19"/>
      <c r="E482" s="19"/>
      <c r="F482" s="19"/>
      <c r="G482" s="19"/>
      <c r="H482" s="409"/>
      <c r="I482" s="19"/>
      <c r="J482" s="410"/>
      <c r="K482" s="410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>
      <c r="A483" s="19"/>
      <c r="B483" s="19"/>
      <c r="C483" s="19"/>
      <c r="D483" s="19"/>
      <c r="E483" s="19"/>
      <c r="F483" s="19"/>
      <c r="G483" s="19"/>
      <c r="H483" s="409"/>
      <c r="I483" s="19"/>
      <c r="J483" s="410"/>
      <c r="K483" s="410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>
      <c r="A484" s="19"/>
      <c r="B484" s="19"/>
      <c r="C484" s="19"/>
      <c r="D484" s="19"/>
      <c r="E484" s="19"/>
      <c r="F484" s="19"/>
      <c r="G484" s="19"/>
      <c r="H484" s="409"/>
      <c r="I484" s="19"/>
      <c r="J484" s="410"/>
      <c r="K484" s="410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>
      <c r="A485" s="19"/>
      <c r="B485" s="19"/>
      <c r="C485" s="19"/>
      <c r="D485" s="19"/>
      <c r="E485" s="19"/>
      <c r="F485" s="19"/>
      <c r="G485" s="19"/>
      <c r="H485" s="409"/>
      <c r="I485" s="19"/>
      <c r="J485" s="410"/>
      <c r="K485" s="410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>
      <c r="A486" s="19"/>
      <c r="B486" s="19"/>
      <c r="C486" s="19"/>
      <c r="D486" s="19"/>
      <c r="E486" s="19"/>
      <c r="F486" s="19"/>
      <c r="G486" s="19"/>
      <c r="H486" s="409"/>
      <c r="I486" s="19"/>
      <c r="J486" s="410"/>
      <c r="K486" s="410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>
      <c r="A487" s="19"/>
      <c r="B487" s="19"/>
      <c r="C487" s="19"/>
      <c r="D487" s="19"/>
      <c r="E487" s="19"/>
      <c r="F487" s="19"/>
      <c r="G487" s="19"/>
      <c r="H487" s="409"/>
      <c r="I487" s="19"/>
      <c r="J487" s="410"/>
      <c r="K487" s="410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>
      <c r="A488" s="19"/>
      <c r="B488" s="19"/>
      <c r="C488" s="19"/>
      <c r="D488" s="19"/>
      <c r="E488" s="19"/>
      <c r="F488" s="19"/>
      <c r="G488" s="19"/>
      <c r="H488" s="409"/>
      <c r="I488" s="19"/>
      <c r="J488" s="410"/>
      <c r="K488" s="410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>
      <c r="A489" s="19"/>
      <c r="B489" s="19"/>
      <c r="C489" s="19"/>
      <c r="D489" s="19"/>
      <c r="E489" s="19"/>
      <c r="F489" s="19"/>
      <c r="G489" s="19"/>
      <c r="H489" s="409"/>
      <c r="I489" s="19"/>
      <c r="J489" s="410"/>
      <c r="K489" s="410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>
      <c r="A490" s="19"/>
      <c r="B490" s="19"/>
      <c r="C490" s="19"/>
      <c r="D490" s="19"/>
      <c r="E490" s="19"/>
      <c r="F490" s="19"/>
      <c r="G490" s="19"/>
      <c r="H490" s="409"/>
      <c r="I490" s="19"/>
      <c r="J490" s="410"/>
      <c r="K490" s="410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>
      <c r="A491" s="19"/>
      <c r="B491" s="19"/>
      <c r="C491" s="19"/>
      <c r="D491" s="19"/>
      <c r="E491" s="19"/>
      <c r="F491" s="19"/>
      <c r="G491" s="19"/>
      <c r="H491" s="409"/>
      <c r="I491" s="19"/>
      <c r="J491" s="410"/>
      <c r="K491" s="410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>
      <c r="A492" s="19"/>
      <c r="B492" s="19"/>
      <c r="C492" s="19"/>
      <c r="D492" s="19"/>
      <c r="E492" s="19"/>
      <c r="F492" s="19"/>
      <c r="G492" s="19"/>
      <c r="H492" s="409"/>
      <c r="I492" s="19"/>
      <c r="J492" s="410"/>
      <c r="K492" s="410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>
      <c r="A493" s="19"/>
      <c r="B493" s="19"/>
      <c r="C493" s="19"/>
      <c r="D493" s="19"/>
      <c r="E493" s="19"/>
      <c r="F493" s="19"/>
      <c r="G493" s="19"/>
      <c r="H493" s="409"/>
      <c r="I493" s="19"/>
      <c r="J493" s="410"/>
      <c r="K493" s="410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>
      <c r="A494" s="19"/>
      <c r="B494" s="19"/>
      <c r="C494" s="19"/>
      <c r="D494" s="19"/>
      <c r="E494" s="19"/>
      <c r="F494" s="19"/>
      <c r="G494" s="19"/>
      <c r="H494" s="409"/>
      <c r="I494" s="19"/>
      <c r="J494" s="410"/>
      <c r="K494" s="410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>
      <c r="A495" s="19"/>
      <c r="B495" s="19"/>
      <c r="C495" s="19"/>
      <c r="D495" s="19"/>
      <c r="E495" s="19"/>
      <c r="F495" s="19"/>
      <c r="G495" s="19"/>
      <c r="H495" s="409"/>
      <c r="I495" s="19"/>
      <c r="J495" s="410"/>
      <c r="K495" s="410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>
      <c r="A496" s="19"/>
      <c r="B496" s="19"/>
      <c r="C496" s="19"/>
      <c r="D496" s="19"/>
      <c r="E496" s="19"/>
      <c r="F496" s="19"/>
      <c r="G496" s="19"/>
      <c r="H496" s="409"/>
      <c r="I496" s="19"/>
      <c r="J496" s="410"/>
      <c r="K496" s="410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>
      <c r="A497" s="19"/>
      <c r="B497" s="19"/>
      <c r="C497" s="19"/>
      <c r="D497" s="19"/>
      <c r="E497" s="19"/>
      <c r="F497" s="19"/>
      <c r="G497" s="19"/>
      <c r="H497" s="409"/>
      <c r="I497" s="19"/>
      <c r="J497" s="410"/>
      <c r="K497" s="410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>
      <c r="A498" s="19"/>
      <c r="B498" s="19"/>
      <c r="C498" s="19"/>
      <c r="D498" s="19"/>
      <c r="E498" s="19"/>
      <c r="F498" s="19"/>
      <c r="G498" s="19"/>
      <c r="H498" s="409"/>
      <c r="I498" s="19"/>
      <c r="J498" s="410"/>
      <c r="K498" s="410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>
      <c r="A499" s="19"/>
      <c r="B499" s="19"/>
      <c r="C499" s="19"/>
      <c r="D499" s="19"/>
      <c r="E499" s="19"/>
      <c r="F499" s="19"/>
      <c r="G499" s="19"/>
      <c r="H499" s="409"/>
      <c r="I499" s="19"/>
      <c r="J499" s="410"/>
      <c r="K499" s="410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>
      <c r="A500" s="19"/>
      <c r="B500" s="19"/>
      <c r="C500" s="19"/>
      <c r="D500" s="19"/>
      <c r="E500" s="19"/>
      <c r="F500" s="19"/>
      <c r="G500" s="19"/>
      <c r="H500" s="409"/>
      <c r="I500" s="19"/>
      <c r="J500" s="410"/>
      <c r="K500" s="410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>
      <c r="A501" s="19"/>
      <c r="B501" s="19"/>
      <c r="C501" s="19"/>
      <c r="D501" s="19"/>
      <c r="E501" s="19"/>
      <c r="F501" s="19"/>
      <c r="G501" s="19"/>
      <c r="H501" s="409"/>
      <c r="I501" s="19"/>
      <c r="J501" s="410"/>
      <c r="K501" s="410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>
      <c r="A502" s="19"/>
      <c r="B502" s="19"/>
      <c r="C502" s="19"/>
      <c r="D502" s="19"/>
      <c r="E502" s="19"/>
      <c r="F502" s="19"/>
      <c r="G502" s="19"/>
      <c r="H502" s="409"/>
      <c r="I502" s="19"/>
      <c r="J502" s="410"/>
      <c r="K502" s="410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>
      <c r="A503" s="19"/>
      <c r="B503" s="19"/>
      <c r="C503" s="19"/>
      <c r="D503" s="19"/>
      <c r="E503" s="19"/>
      <c r="F503" s="19"/>
      <c r="G503" s="19"/>
      <c r="H503" s="409"/>
      <c r="I503" s="19"/>
      <c r="J503" s="410"/>
      <c r="K503" s="410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>
      <c r="A504" s="19"/>
      <c r="B504" s="19"/>
      <c r="C504" s="19"/>
      <c r="D504" s="19"/>
      <c r="E504" s="19"/>
      <c r="F504" s="19"/>
      <c r="G504" s="19"/>
      <c r="H504" s="409"/>
      <c r="I504" s="19"/>
      <c r="J504" s="410"/>
      <c r="K504" s="410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>
      <c r="A505" s="19"/>
      <c r="B505" s="19"/>
      <c r="C505" s="19"/>
      <c r="D505" s="19"/>
      <c r="E505" s="19"/>
      <c r="F505" s="19"/>
      <c r="G505" s="19"/>
      <c r="H505" s="409"/>
      <c r="I505" s="19"/>
      <c r="J505" s="410"/>
      <c r="K505" s="410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>
      <c r="A506" s="19"/>
      <c r="B506" s="19"/>
      <c r="C506" s="19"/>
      <c r="D506" s="19"/>
      <c r="E506" s="19"/>
      <c r="F506" s="19"/>
      <c r="G506" s="19"/>
      <c r="H506" s="409"/>
      <c r="I506" s="19"/>
      <c r="J506" s="410"/>
      <c r="K506" s="410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>
      <c r="A507" s="19"/>
      <c r="B507" s="19"/>
      <c r="C507" s="19"/>
      <c r="D507" s="19"/>
      <c r="E507" s="19"/>
      <c r="F507" s="19"/>
      <c r="G507" s="19"/>
      <c r="H507" s="409"/>
      <c r="I507" s="19"/>
      <c r="J507" s="410"/>
      <c r="K507" s="410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>
      <c r="A508" s="19"/>
      <c r="B508" s="19"/>
      <c r="C508" s="19"/>
      <c r="D508" s="19"/>
      <c r="E508" s="19"/>
      <c r="F508" s="19"/>
      <c r="G508" s="19"/>
      <c r="H508" s="409"/>
      <c r="I508" s="19"/>
      <c r="J508" s="410"/>
      <c r="K508" s="410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>
      <c r="A509" s="19"/>
      <c r="B509" s="19"/>
      <c r="C509" s="19"/>
      <c r="D509" s="19"/>
      <c r="E509" s="19"/>
      <c r="F509" s="19"/>
      <c r="G509" s="19"/>
      <c r="H509" s="409"/>
      <c r="I509" s="19"/>
      <c r="J509" s="410"/>
      <c r="K509" s="410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>
      <c r="A510" s="19"/>
      <c r="B510" s="19"/>
      <c r="C510" s="19"/>
      <c r="D510" s="19"/>
      <c r="E510" s="19"/>
      <c r="F510" s="19"/>
      <c r="G510" s="19"/>
      <c r="H510" s="409"/>
      <c r="I510" s="19"/>
      <c r="J510" s="410"/>
      <c r="K510" s="410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>
      <c r="A511" s="19"/>
      <c r="B511" s="19"/>
      <c r="C511" s="19"/>
      <c r="D511" s="19"/>
      <c r="E511" s="19"/>
      <c r="F511" s="19"/>
      <c r="G511" s="19"/>
      <c r="H511" s="409"/>
      <c r="I511" s="19"/>
      <c r="J511" s="410"/>
      <c r="K511" s="410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>
      <c r="A512" s="19"/>
      <c r="B512" s="19"/>
      <c r="C512" s="19"/>
      <c r="D512" s="19"/>
      <c r="E512" s="19"/>
      <c r="F512" s="19"/>
      <c r="G512" s="19"/>
      <c r="H512" s="409"/>
      <c r="I512" s="19"/>
      <c r="J512" s="410"/>
      <c r="K512" s="410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>
      <c r="A513" s="19"/>
      <c r="B513" s="19"/>
      <c r="C513" s="19"/>
      <c r="D513" s="19"/>
      <c r="E513" s="19"/>
      <c r="F513" s="19"/>
      <c r="G513" s="19"/>
      <c r="H513" s="409"/>
      <c r="I513" s="19"/>
      <c r="J513" s="410"/>
      <c r="K513" s="410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>
      <c r="A514" s="19"/>
      <c r="B514" s="19"/>
      <c r="C514" s="19"/>
      <c r="D514" s="19"/>
      <c r="E514" s="19"/>
      <c r="F514" s="19"/>
      <c r="G514" s="19"/>
      <c r="H514" s="409"/>
      <c r="I514" s="19"/>
      <c r="J514" s="410"/>
      <c r="K514" s="410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>
      <c r="A515" s="19"/>
      <c r="B515" s="19"/>
      <c r="C515" s="19"/>
      <c r="D515" s="19"/>
      <c r="E515" s="19"/>
      <c r="F515" s="19"/>
      <c r="G515" s="19"/>
      <c r="H515" s="409"/>
      <c r="I515" s="19"/>
      <c r="J515" s="410"/>
      <c r="K515" s="410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>
      <c r="A516" s="19"/>
      <c r="B516" s="19"/>
      <c r="C516" s="19"/>
      <c r="D516" s="19"/>
      <c r="E516" s="19"/>
      <c r="F516" s="19"/>
      <c r="G516" s="19"/>
      <c r="H516" s="409"/>
      <c r="I516" s="19"/>
      <c r="J516" s="410"/>
      <c r="K516" s="410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>
      <c r="A517" s="19"/>
      <c r="B517" s="19"/>
      <c r="C517" s="19"/>
      <c r="D517" s="19"/>
      <c r="E517" s="19"/>
      <c r="F517" s="19"/>
      <c r="G517" s="19"/>
      <c r="H517" s="409"/>
      <c r="I517" s="19"/>
      <c r="J517" s="410"/>
      <c r="K517" s="410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>
      <c r="A518" s="19"/>
      <c r="B518" s="19"/>
      <c r="C518" s="19"/>
      <c r="D518" s="19"/>
      <c r="E518" s="19"/>
      <c r="F518" s="19"/>
      <c r="G518" s="19"/>
      <c r="H518" s="409"/>
      <c r="I518" s="19"/>
      <c r="J518" s="410"/>
      <c r="K518" s="410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>
      <c r="A519" s="19"/>
      <c r="B519" s="19"/>
      <c r="C519" s="19"/>
      <c r="D519" s="19"/>
      <c r="E519" s="19"/>
      <c r="F519" s="19"/>
      <c r="G519" s="19"/>
      <c r="H519" s="409"/>
      <c r="I519" s="19"/>
      <c r="J519" s="410"/>
      <c r="K519" s="410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>
      <c r="A520" s="19"/>
      <c r="B520" s="19"/>
      <c r="C520" s="19"/>
      <c r="D520" s="19"/>
      <c r="E520" s="19"/>
      <c r="F520" s="19"/>
      <c r="G520" s="19"/>
      <c r="H520" s="409"/>
      <c r="I520" s="19"/>
      <c r="J520" s="410"/>
      <c r="K520" s="410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>
      <c r="A521" s="19"/>
      <c r="B521" s="19"/>
      <c r="C521" s="19"/>
      <c r="D521" s="19"/>
      <c r="E521" s="19"/>
      <c r="F521" s="19"/>
      <c r="G521" s="19"/>
      <c r="H521" s="409"/>
      <c r="I521" s="19"/>
      <c r="J521" s="410"/>
      <c r="K521" s="410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>
      <c r="A522" s="19"/>
      <c r="B522" s="19"/>
      <c r="C522" s="19"/>
      <c r="D522" s="19"/>
      <c r="E522" s="19"/>
      <c r="F522" s="19"/>
      <c r="G522" s="19"/>
      <c r="H522" s="409"/>
      <c r="I522" s="19"/>
      <c r="J522" s="410"/>
      <c r="K522" s="410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>
      <c r="A523" s="19"/>
      <c r="B523" s="19"/>
      <c r="C523" s="19"/>
      <c r="D523" s="19"/>
      <c r="E523" s="19"/>
      <c r="F523" s="19"/>
      <c r="G523" s="19"/>
      <c r="H523" s="409"/>
      <c r="I523" s="19"/>
      <c r="J523" s="410"/>
      <c r="K523" s="410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>
      <c r="A524" s="19"/>
      <c r="B524" s="19"/>
      <c r="C524" s="19"/>
      <c r="D524" s="19"/>
      <c r="E524" s="19"/>
      <c r="F524" s="19"/>
      <c r="G524" s="19"/>
      <c r="H524" s="409"/>
      <c r="I524" s="19"/>
      <c r="J524" s="410"/>
      <c r="K524" s="410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>
      <c r="A525" s="19"/>
      <c r="B525" s="19"/>
      <c r="C525" s="19"/>
      <c r="D525" s="19"/>
      <c r="E525" s="19"/>
      <c r="F525" s="19"/>
      <c r="G525" s="19"/>
      <c r="H525" s="409"/>
      <c r="I525" s="19"/>
      <c r="J525" s="410"/>
      <c r="K525" s="410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>
      <c r="A526" s="19"/>
      <c r="B526" s="19"/>
      <c r="C526" s="19"/>
      <c r="D526" s="19"/>
      <c r="E526" s="19"/>
      <c r="F526" s="19"/>
      <c r="G526" s="19"/>
      <c r="H526" s="409"/>
      <c r="I526" s="19"/>
      <c r="J526" s="410"/>
      <c r="K526" s="410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>
      <c r="A527" s="19"/>
      <c r="B527" s="19"/>
      <c r="C527" s="19"/>
      <c r="D527" s="19"/>
      <c r="E527" s="19"/>
      <c r="F527" s="19"/>
      <c r="G527" s="19"/>
      <c r="H527" s="409"/>
      <c r="I527" s="19"/>
      <c r="J527" s="410"/>
      <c r="K527" s="410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>
      <c r="A528" s="19"/>
      <c r="B528" s="19"/>
      <c r="C528" s="19"/>
      <c r="D528" s="19"/>
      <c r="E528" s="19"/>
      <c r="F528" s="19"/>
      <c r="G528" s="19"/>
      <c r="H528" s="409"/>
      <c r="I528" s="19"/>
      <c r="J528" s="410"/>
      <c r="K528" s="410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>
      <c r="A529" s="19"/>
      <c r="B529" s="19"/>
      <c r="C529" s="19"/>
      <c r="D529" s="19"/>
      <c r="E529" s="19"/>
      <c r="F529" s="19"/>
      <c r="G529" s="19"/>
      <c r="H529" s="409"/>
      <c r="I529" s="19"/>
      <c r="J529" s="410"/>
      <c r="K529" s="410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>
      <c r="A530" s="19"/>
      <c r="B530" s="19"/>
      <c r="C530" s="19"/>
      <c r="D530" s="19"/>
      <c r="E530" s="19"/>
      <c r="F530" s="19"/>
      <c r="G530" s="19"/>
      <c r="H530" s="409"/>
      <c r="I530" s="19"/>
      <c r="J530" s="410"/>
      <c r="K530" s="410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>
      <c r="A531" s="19"/>
      <c r="B531" s="19"/>
      <c r="C531" s="19"/>
      <c r="D531" s="19"/>
      <c r="E531" s="19"/>
      <c r="F531" s="19"/>
      <c r="G531" s="19"/>
      <c r="H531" s="409"/>
      <c r="I531" s="19"/>
      <c r="J531" s="410"/>
      <c r="K531" s="410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>
      <c r="A532" s="19"/>
      <c r="B532" s="19"/>
      <c r="C532" s="19"/>
      <c r="D532" s="19"/>
      <c r="E532" s="19"/>
      <c r="F532" s="19"/>
      <c r="G532" s="19"/>
      <c r="H532" s="409"/>
      <c r="I532" s="19"/>
      <c r="J532" s="410"/>
      <c r="K532" s="410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>
      <c r="A533" s="19"/>
      <c r="B533" s="19"/>
      <c r="C533" s="19"/>
      <c r="D533" s="19"/>
      <c r="E533" s="19"/>
      <c r="F533" s="19"/>
      <c r="G533" s="19"/>
      <c r="H533" s="409"/>
      <c r="I533" s="19"/>
      <c r="J533" s="410"/>
      <c r="K533" s="410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>
      <c r="A534" s="19"/>
      <c r="B534" s="19"/>
      <c r="C534" s="19"/>
      <c r="D534" s="19"/>
      <c r="E534" s="19"/>
      <c r="F534" s="19"/>
      <c r="G534" s="19"/>
      <c r="H534" s="409"/>
      <c r="I534" s="19"/>
      <c r="J534" s="410"/>
      <c r="K534" s="410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>
      <c r="A535" s="19"/>
      <c r="B535" s="19"/>
      <c r="C535" s="19"/>
      <c r="D535" s="19"/>
      <c r="E535" s="19"/>
      <c r="F535" s="19"/>
      <c r="G535" s="19"/>
      <c r="H535" s="409"/>
      <c r="I535" s="19"/>
      <c r="J535" s="410"/>
      <c r="K535" s="410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>
      <c r="A536" s="19"/>
      <c r="B536" s="19"/>
      <c r="C536" s="19"/>
      <c r="D536" s="19"/>
      <c r="E536" s="19"/>
      <c r="F536" s="19"/>
      <c r="G536" s="19"/>
      <c r="H536" s="409"/>
      <c r="I536" s="19"/>
      <c r="J536" s="410"/>
      <c r="K536" s="410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>
      <c r="A537" s="19"/>
      <c r="B537" s="19"/>
      <c r="C537" s="19"/>
      <c r="D537" s="19"/>
      <c r="E537" s="19"/>
      <c r="F537" s="19"/>
      <c r="G537" s="19"/>
      <c r="H537" s="409"/>
      <c r="I537" s="19"/>
      <c r="J537" s="410"/>
      <c r="K537" s="410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>
      <c r="A538" s="19"/>
      <c r="B538" s="19"/>
      <c r="C538" s="19"/>
      <c r="D538" s="19"/>
      <c r="E538" s="19"/>
      <c r="F538" s="19"/>
      <c r="G538" s="19"/>
      <c r="H538" s="409"/>
      <c r="I538" s="19"/>
      <c r="J538" s="410"/>
      <c r="K538" s="410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>
      <c r="A539" s="19"/>
      <c r="B539" s="19"/>
      <c r="C539" s="19"/>
      <c r="D539" s="19"/>
      <c r="E539" s="19"/>
      <c r="F539" s="19"/>
      <c r="G539" s="19"/>
      <c r="H539" s="409"/>
      <c r="I539" s="19"/>
      <c r="J539" s="410"/>
      <c r="K539" s="410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>
      <c r="A540" s="19"/>
      <c r="B540" s="19"/>
      <c r="C540" s="19"/>
      <c r="D540" s="19"/>
      <c r="E540" s="19"/>
      <c r="F540" s="19"/>
      <c r="G540" s="19"/>
      <c r="H540" s="409"/>
      <c r="I540" s="19"/>
      <c r="J540" s="410"/>
      <c r="K540" s="410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>
      <c r="A541" s="19"/>
      <c r="B541" s="19"/>
      <c r="C541" s="19"/>
      <c r="D541" s="19"/>
      <c r="E541" s="19"/>
      <c r="F541" s="19"/>
      <c r="G541" s="19"/>
      <c r="H541" s="409"/>
      <c r="I541" s="19"/>
      <c r="J541" s="410"/>
      <c r="K541" s="410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>
      <c r="A542" s="19"/>
      <c r="B542" s="19"/>
      <c r="C542" s="19"/>
      <c r="D542" s="19"/>
      <c r="E542" s="19"/>
      <c r="F542" s="19"/>
      <c r="G542" s="19"/>
      <c r="H542" s="409"/>
      <c r="I542" s="19"/>
      <c r="J542" s="410"/>
      <c r="K542" s="410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>
      <c r="A543" s="19"/>
      <c r="B543" s="19"/>
      <c r="C543" s="19"/>
      <c r="D543" s="19"/>
      <c r="E543" s="19"/>
      <c r="F543" s="19"/>
      <c r="G543" s="19"/>
      <c r="H543" s="409"/>
      <c r="I543" s="19"/>
      <c r="J543" s="410"/>
      <c r="K543" s="410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>
      <c r="A544" s="19"/>
      <c r="B544" s="19"/>
      <c r="C544" s="19"/>
      <c r="D544" s="19"/>
      <c r="E544" s="19"/>
      <c r="F544" s="19"/>
      <c r="G544" s="19"/>
      <c r="H544" s="409"/>
      <c r="I544" s="19"/>
      <c r="J544" s="410"/>
      <c r="K544" s="410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>
      <c r="A545" s="19"/>
      <c r="B545" s="19"/>
      <c r="C545" s="19"/>
      <c r="D545" s="19"/>
      <c r="E545" s="19"/>
      <c r="F545" s="19"/>
      <c r="G545" s="19"/>
      <c r="H545" s="409"/>
      <c r="I545" s="19"/>
      <c r="J545" s="410"/>
      <c r="K545" s="410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>
      <c r="A546" s="19"/>
      <c r="B546" s="19"/>
      <c r="C546" s="19"/>
      <c r="D546" s="19"/>
      <c r="E546" s="19"/>
      <c r="F546" s="19"/>
      <c r="G546" s="19"/>
      <c r="H546" s="409"/>
      <c r="I546" s="19"/>
      <c r="J546" s="410"/>
      <c r="K546" s="410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>
      <c r="A547" s="19"/>
      <c r="B547" s="19"/>
      <c r="C547" s="19"/>
      <c r="D547" s="19"/>
      <c r="E547" s="19"/>
      <c r="F547" s="19"/>
      <c r="G547" s="19"/>
      <c r="H547" s="409"/>
      <c r="I547" s="19"/>
      <c r="J547" s="410"/>
      <c r="K547" s="410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>
      <c r="A548" s="19"/>
      <c r="B548" s="19"/>
      <c r="C548" s="19"/>
      <c r="D548" s="19"/>
      <c r="E548" s="19"/>
      <c r="F548" s="19"/>
      <c r="G548" s="19"/>
      <c r="H548" s="409"/>
      <c r="I548" s="19"/>
      <c r="J548" s="410"/>
      <c r="K548" s="410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>
      <c r="A549" s="19"/>
      <c r="B549" s="19"/>
      <c r="C549" s="19"/>
      <c r="D549" s="19"/>
      <c r="E549" s="19"/>
      <c r="F549" s="19"/>
      <c r="G549" s="19"/>
      <c r="H549" s="409"/>
      <c r="I549" s="19"/>
      <c r="J549" s="410"/>
      <c r="K549" s="410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>
      <c r="A550" s="19"/>
      <c r="B550" s="19"/>
      <c r="C550" s="19"/>
      <c r="D550" s="19"/>
      <c r="E550" s="19"/>
      <c r="F550" s="19"/>
      <c r="G550" s="19"/>
      <c r="H550" s="409"/>
      <c r="I550" s="19"/>
      <c r="J550" s="410"/>
      <c r="K550" s="410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>
      <c r="A551" s="19"/>
      <c r="B551" s="19"/>
      <c r="C551" s="19"/>
      <c r="D551" s="19"/>
      <c r="E551" s="19"/>
      <c r="F551" s="19"/>
      <c r="G551" s="19"/>
      <c r="H551" s="409"/>
      <c r="I551" s="19"/>
      <c r="J551" s="410"/>
      <c r="K551" s="410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>
      <c r="A552" s="19"/>
      <c r="B552" s="19"/>
      <c r="C552" s="19"/>
      <c r="D552" s="19"/>
      <c r="E552" s="19"/>
      <c r="F552" s="19"/>
      <c r="G552" s="19"/>
      <c r="H552" s="409"/>
      <c r="I552" s="19"/>
      <c r="J552" s="410"/>
      <c r="K552" s="410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>
      <c r="A553" s="19"/>
      <c r="B553" s="19"/>
      <c r="C553" s="19"/>
      <c r="D553" s="19"/>
      <c r="E553" s="19"/>
      <c r="F553" s="19"/>
      <c r="G553" s="19"/>
      <c r="H553" s="409"/>
      <c r="I553" s="19"/>
      <c r="J553" s="410"/>
      <c r="K553" s="410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>
      <c r="A554" s="19"/>
      <c r="B554" s="19"/>
      <c r="C554" s="19"/>
      <c r="D554" s="19"/>
      <c r="E554" s="19"/>
      <c r="F554" s="19"/>
      <c r="G554" s="19"/>
      <c r="H554" s="409"/>
      <c r="I554" s="19"/>
      <c r="J554" s="410"/>
      <c r="K554" s="410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>
      <c r="A555" s="19"/>
      <c r="B555" s="19"/>
      <c r="C555" s="19"/>
      <c r="D555" s="19"/>
      <c r="E555" s="19"/>
      <c r="F555" s="19"/>
      <c r="G555" s="19"/>
      <c r="H555" s="409"/>
      <c r="I555" s="19"/>
      <c r="J555" s="410"/>
      <c r="K555" s="410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>
      <c r="A556" s="19"/>
      <c r="B556" s="19"/>
      <c r="C556" s="19"/>
      <c r="D556" s="19"/>
      <c r="E556" s="19"/>
      <c r="F556" s="19"/>
      <c r="G556" s="19"/>
      <c r="H556" s="409"/>
      <c r="I556" s="19"/>
      <c r="J556" s="410"/>
      <c r="K556" s="410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>
      <c r="A557" s="19"/>
      <c r="B557" s="19"/>
      <c r="C557" s="19"/>
      <c r="D557" s="19"/>
      <c r="E557" s="19"/>
      <c r="F557" s="19"/>
      <c r="G557" s="19"/>
      <c r="H557" s="409"/>
      <c r="I557" s="19"/>
      <c r="J557" s="410"/>
      <c r="K557" s="410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>
      <c r="A558" s="19"/>
      <c r="B558" s="19"/>
      <c r="C558" s="19"/>
      <c r="D558" s="19"/>
      <c r="E558" s="19"/>
      <c r="F558" s="19"/>
      <c r="G558" s="19"/>
      <c r="H558" s="409"/>
      <c r="I558" s="19"/>
      <c r="J558" s="410"/>
      <c r="K558" s="410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>
      <c r="A559" s="19"/>
      <c r="B559" s="19"/>
      <c r="C559" s="19"/>
      <c r="D559" s="19"/>
      <c r="E559" s="19"/>
      <c r="F559" s="19"/>
      <c r="G559" s="19"/>
      <c r="H559" s="409"/>
      <c r="I559" s="19"/>
      <c r="J559" s="410"/>
      <c r="K559" s="410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>
      <c r="A560" s="19"/>
      <c r="B560" s="19"/>
      <c r="C560" s="19"/>
      <c r="D560" s="19"/>
      <c r="E560" s="19"/>
      <c r="F560" s="19"/>
      <c r="G560" s="19"/>
      <c r="H560" s="409"/>
      <c r="I560" s="19"/>
      <c r="J560" s="410"/>
      <c r="K560" s="410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>
      <c r="A561" s="19"/>
      <c r="B561" s="19"/>
      <c r="C561" s="19"/>
      <c r="D561" s="19"/>
      <c r="E561" s="19"/>
      <c r="F561" s="19"/>
      <c r="G561" s="19"/>
      <c r="H561" s="409"/>
      <c r="I561" s="19"/>
      <c r="J561" s="410"/>
      <c r="K561" s="410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>
      <c r="A562" s="19"/>
      <c r="B562" s="19"/>
      <c r="C562" s="19"/>
      <c r="D562" s="19"/>
      <c r="E562" s="19"/>
      <c r="F562" s="19"/>
      <c r="G562" s="19"/>
      <c r="H562" s="409"/>
      <c r="I562" s="19"/>
      <c r="J562" s="410"/>
      <c r="K562" s="410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>
      <c r="A563" s="19"/>
      <c r="B563" s="19"/>
      <c r="C563" s="19"/>
      <c r="D563" s="19"/>
      <c r="E563" s="19"/>
      <c r="F563" s="19"/>
      <c r="G563" s="19"/>
      <c r="H563" s="409"/>
      <c r="I563" s="19"/>
      <c r="J563" s="410"/>
      <c r="K563" s="410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>
      <c r="A564" s="19"/>
      <c r="B564" s="19"/>
      <c r="C564" s="19"/>
      <c r="D564" s="19"/>
      <c r="E564" s="19"/>
      <c r="F564" s="19"/>
      <c r="G564" s="19"/>
      <c r="H564" s="409"/>
      <c r="I564" s="19"/>
      <c r="J564" s="410"/>
      <c r="K564" s="410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>
      <c r="A565" s="19"/>
      <c r="B565" s="19"/>
      <c r="C565" s="19"/>
      <c r="D565" s="19"/>
      <c r="E565" s="19"/>
      <c r="F565" s="19"/>
      <c r="G565" s="19"/>
      <c r="H565" s="409"/>
      <c r="I565" s="19"/>
      <c r="J565" s="410"/>
      <c r="K565" s="410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>
      <c r="A566" s="19"/>
      <c r="B566" s="19"/>
      <c r="C566" s="19"/>
      <c r="D566" s="19"/>
      <c r="E566" s="19"/>
      <c r="F566" s="19"/>
      <c r="G566" s="19"/>
      <c r="H566" s="409"/>
      <c r="I566" s="19"/>
      <c r="J566" s="410"/>
      <c r="K566" s="410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>
      <c r="A567" s="19"/>
      <c r="B567" s="19"/>
      <c r="C567" s="19"/>
      <c r="D567" s="19"/>
      <c r="E567" s="19"/>
      <c r="F567" s="19"/>
      <c r="G567" s="19"/>
      <c r="H567" s="409"/>
      <c r="I567" s="19"/>
      <c r="J567" s="410"/>
      <c r="K567" s="410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>
      <c r="A568" s="19"/>
      <c r="B568" s="19"/>
      <c r="C568" s="19"/>
      <c r="D568" s="19"/>
      <c r="E568" s="19"/>
      <c r="F568" s="19"/>
      <c r="G568" s="19"/>
      <c r="H568" s="409"/>
      <c r="I568" s="19"/>
      <c r="J568" s="410"/>
      <c r="K568" s="410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>
      <c r="A569" s="19"/>
      <c r="B569" s="19"/>
      <c r="C569" s="19"/>
      <c r="D569" s="19"/>
      <c r="E569" s="19"/>
      <c r="F569" s="19"/>
      <c r="G569" s="19"/>
      <c r="H569" s="409"/>
      <c r="I569" s="19"/>
      <c r="J569" s="410"/>
      <c r="K569" s="410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>
      <c r="A570" s="19"/>
      <c r="B570" s="19"/>
      <c r="C570" s="19"/>
      <c r="D570" s="19"/>
      <c r="E570" s="19"/>
      <c r="F570" s="19"/>
      <c r="G570" s="19"/>
      <c r="H570" s="409"/>
      <c r="I570" s="19"/>
      <c r="J570" s="410"/>
      <c r="K570" s="410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>
      <c r="A571" s="19"/>
      <c r="B571" s="19"/>
      <c r="C571" s="19"/>
      <c r="D571" s="19"/>
      <c r="E571" s="19"/>
      <c r="F571" s="19"/>
      <c r="G571" s="19"/>
      <c r="H571" s="409"/>
      <c r="I571" s="19"/>
      <c r="J571" s="410"/>
      <c r="K571" s="410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>
      <c r="A572" s="19"/>
      <c r="B572" s="19"/>
      <c r="C572" s="19"/>
      <c r="D572" s="19"/>
      <c r="E572" s="19"/>
      <c r="F572" s="19"/>
      <c r="G572" s="19"/>
      <c r="H572" s="409"/>
      <c r="I572" s="19"/>
      <c r="J572" s="410"/>
      <c r="K572" s="410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>
      <c r="A573" s="19"/>
      <c r="B573" s="19"/>
      <c r="C573" s="19"/>
      <c r="D573" s="19"/>
      <c r="E573" s="19"/>
      <c r="F573" s="19"/>
      <c r="G573" s="19"/>
      <c r="H573" s="409"/>
      <c r="I573" s="19"/>
      <c r="J573" s="410"/>
      <c r="K573" s="410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>
      <c r="A574" s="19"/>
      <c r="B574" s="19"/>
      <c r="C574" s="19"/>
      <c r="D574" s="19"/>
      <c r="E574" s="19"/>
      <c r="F574" s="19"/>
      <c r="G574" s="19"/>
      <c r="H574" s="409"/>
      <c r="I574" s="19"/>
      <c r="J574" s="410"/>
      <c r="K574" s="410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>
      <c r="A575" s="19"/>
      <c r="B575" s="19"/>
      <c r="C575" s="19"/>
      <c r="D575" s="19"/>
      <c r="E575" s="19"/>
      <c r="F575" s="19"/>
      <c r="G575" s="19"/>
      <c r="H575" s="409"/>
      <c r="I575" s="19"/>
      <c r="J575" s="410"/>
      <c r="K575" s="410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>
      <c r="A576" s="19"/>
      <c r="B576" s="19"/>
      <c r="C576" s="19"/>
      <c r="D576" s="19"/>
      <c r="E576" s="19"/>
      <c r="F576" s="19"/>
      <c r="G576" s="19"/>
      <c r="H576" s="409"/>
      <c r="I576" s="19"/>
      <c r="J576" s="410"/>
      <c r="K576" s="410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>
      <c r="A577" s="19"/>
      <c r="B577" s="19"/>
      <c r="C577" s="19"/>
      <c r="D577" s="19"/>
      <c r="E577" s="19"/>
      <c r="F577" s="19"/>
      <c r="G577" s="19"/>
      <c r="H577" s="409"/>
      <c r="I577" s="19"/>
      <c r="J577" s="410"/>
      <c r="K577" s="410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>
      <c r="A578" s="19"/>
      <c r="B578" s="19"/>
      <c r="C578" s="19"/>
      <c r="D578" s="19"/>
      <c r="E578" s="19"/>
      <c r="F578" s="19"/>
      <c r="G578" s="19"/>
      <c r="H578" s="409"/>
      <c r="I578" s="19"/>
      <c r="J578" s="410"/>
      <c r="K578" s="410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>
      <c r="A579" s="19"/>
      <c r="B579" s="19"/>
      <c r="C579" s="19"/>
      <c r="D579" s="19"/>
      <c r="E579" s="19"/>
      <c r="F579" s="19"/>
      <c r="G579" s="19"/>
      <c r="H579" s="409"/>
      <c r="I579" s="19"/>
      <c r="J579" s="410"/>
      <c r="K579" s="410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>
      <c r="A580" s="19"/>
      <c r="B580" s="19"/>
      <c r="C580" s="19"/>
      <c r="D580" s="19"/>
      <c r="E580" s="19"/>
      <c r="F580" s="19"/>
      <c r="G580" s="19"/>
      <c r="H580" s="409"/>
      <c r="I580" s="19"/>
      <c r="J580" s="410"/>
      <c r="K580" s="410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>
      <c r="A581" s="19"/>
      <c r="B581" s="19"/>
      <c r="C581" s="19"/>
      <c r="D581" s="19"/>
      <c r="E581" s="19"/>
      <c r="F581" s="19"/>
      <c r="G581" s="19"/>
      <c r="H581" s="409"/>
      <c r="I581" s="19"/>
      <c r="J581" s="410"/>
      <c r="K581" s="410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>
      <c r="A582" s="19"/>
      <c r="B582" s="19"/>
      <c r="C582" s="19"/>
      <c r="D582" s="19"/>
      <c r="E582" s="19"/>
      <c r="F582" s="19"/>
      <c r="G582" s="19"/>
      <c r="H582" s="409"/>
      <c r="I582" s="19"/>
      <c r="J582" s="410"/>
      <c r="K582" s="410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>
      <c r="A583" s="19"/>
      <c r="B583" s="19"/>
      <c r="C583" s="19"/>
      <c r="D583" s="19"/>
      <c r="E583" s="19"/>
      <c r="F583" s="19"/>
      <c r="G583" s="19"/>
      <c r="H583" s="409"/>
      <c r="I583" s="19"/>
      <c r="J583" s="410"/>
      <c r="K583" s="410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>
      <c r="A584" s="19"/>
      <c r="B584" s="19"/>
      <c r="C584" s="19"/>
      <c r="D584" s="19"/>
      <c r="E584" s="19"/>
      <c r="F584" s="19"/>
      <c r="G584" s="19"/>
      <c r="H584" s="409"/>
      <c r="I584" s="19"/>
      <c r="J584" s="410"/>
      <c r="K584" s="410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>
      <c r="A585" s="19"/>
      <c r="B585" s="19"/>
      <c r="C585" s="19"/>
      <c r="D585" s="19"/>
      <c r="E585" s="19"/>
      <c r="F585" s="19"/>
      <c r="G585" s="19"/>
      <c r="H585" s="409"/>
      <c r="I585" s="19"/>
      <c r="J585" s="410"/>
      <c r="K585" s="410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>
      <c r="A586" s="19"/>
      <c r="B586" s="19"/>
      <c r="C586" s="19"/>
      <c r="D586" s="19"/>
      <c r="E586" s="19"/>
      <c r="F586" s="19"/>
      <c r="G586" s="19"/>
      <c r="H586" s="409"/>
      <c r="I586" s="19"/>
      <c r="J586" s="410"/>
      <c r="K586" s="410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>
      <c r="A587" s="19"/>
      <c r="B587" s="19"/>
      <c r="C587" s="19"/>
      <c r="D587" s="19"/>
      <c r="E587" s="19"/>
      <c r="F587" s="19"/>
      <c r="G587" s="19"/>
      <c r="H587" s="409"/>
      <c r="I587" s="19"/>
      <c r="J587" s="410"/>
      <c r="K587" s="410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>
      <c r="A588" s="19"/>
      <c r="B588" s="19"/>
      <c r="C588" s="19"/>
      <c r="D588" s="19"/>
      <c r="E588" s="19"/>
      <c r="F588" s="19"/>
      <c r="G588" s="19"/>
      <c r="H588" s="409"/>
      <c r="I588" s="19"/>
      <c r="J588" s="410"/>
      <c r="K588" s="410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>
      <c r="A589" s="19"/>
      <c r="B589" s="19"/>
      <c r="C589" s="19"/>
      <c r="D589" s="19"/>
      <c r="E589" s="19"/>
      <c r="F589" s="19"/>
      <c r="G589" s="19"/>
      <c r="H589" s="409"/>
      <c r="I589" s="19"/>
      <c r="J589" s="410"/>
      <c r="K589" s="410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>
      <c r="A590" s="19"/>
      <c r="B590" s="19"/>
      <c r="C590" s="19"/>
      <c r="D590" s="19"/>
      <c r="E590" s="19"/>
      <c r="F590" s="19"/>
      <c r="G590" s="19"/>
      <c r="H590" s="409"/>
      <c r="I590" s="19"/>
      <c r="J590" s="410"/>
      <c r="K590" s="410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>
      <c r="A591" s="19"/>
      <c r="B591" s="19"/>
      <c r="C591" s="19"/>
      <c r="D591" s="19"/>
      <c r="E591" s="19"/>
      <c r="F591" s="19"/>
      <c r="G591" s="19"/>
      <c r="H591" s="409"/>
      <c r="I591" s="19"/>
      <c r="J591" s="410"/>
      <c r="K591" s="410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>
      <c r="A592" s="19"/>
      <c r="B592" s="19"/>
      <c r="C592" s="19"/>
      <c r="D592" s="19"/>
      <c r="E592" s="19"/>
      <c r="F592" s="19"/>
      <c r="G592" s="19"/>
      <c r="H592" s="409"/>
      <c r="I592" s="19"/>
      <c r="J592" s="410"/>
      <c r="K592" s="410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>
      <c r="A593" s="19"/>
      <c r="B593" s="19"/>
      <c r="C593" s="19"/>
      <c r="D593" s="19"/>
      <c r="E593" s="19"/>
      <c r="F593" s="19"/>
      <c r="G593" s="19"/>
      <c r="H593" s="409"/>
      <c r="I593" s="19"/>
      <c r="J593" s="410"/>
      <c r="K593" s="410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>
      <c r="A594" s="19"/>
      <c r="B594" s="19"/>
      <c r="C594" s="19"/>
      <c r="D594" s="19"/>
      <c r="E594" s="19"/>
      <c r="F594" s="19"/>
      <c r="G594" s="19"/>
      <c r="H594" s="409"/>
      <c r="I594" s="19"/>
      <c r="J594" s="410"/>
      <c r="K594" s="410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>
      <c r="A595" s="19"/>
      <c r="B595" s="19"/>
      <c r="C595" s="19"/>
      <c r="D595" s="19"/>
      <c r="E595" s="19"/>
      <c r="F595" s="19"/>
      <c r="G595" s="19"/>
      <c r="H595" s="409"/>
      <c r="I595" s="19"/>
      <c r="J595" s="410"/>
      <c r="K595" s="410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>
      <c r="A596" s="19"/>
      <c r="B596" s="19"/>
      <c r="C596" s="19"/>
      <c r="D596" s="19"/>
      <c r="E596" s="19"/>
      <c r="F596" s="19"/>
      <c r="G596" s="19"/>
      <c r="H596" s="409"/>
      <c r="I596" s="19"/>
      <c r="J596" s="410"/>
      <c r="K596" s="410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>
      <c r="A597" s="19"/>
      <c r="B597" s="19"/>
      <c r="C597" s="19"/>
      <c r="D597" s="19"/>
      <c r="E597" s="19"/>
      <c r="F597" s="19"/>
      <c r="G597" s="19"/>
      <c r="H597" s="409"/>
      <c r="I597" s="19"/>
      <c r="J597" s="410"/>
      <c r="K597" s="410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>
      <c r="A598" s="19"/>
      <c r="B598" s="19"/>
      <c r="C598" s="19"/>
      <c r="D598" s="19"/>
      <c r="E598" s="19"/>
      <c r="F598" s="19"/>
      <c r="G598" s="19"/>
      <c r="H598" s="409"/>
      <c r="I598" s="19"/>
      <c r="J598" s="410"/>
      <c r="K598" s="410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>
      <c r="A599" s="19"/>
      <c r="B599" s="19"/>
      <c r="C599" s="19"/>
      <c r="D599" s="19"/>
      <c r="E599" s="19"/>
      <c r="F599" s="19"/>
      <c r="G599" s="19"/>
      <c r="H599" s="409"/>
      <c r="I599" s="19"/>
      <c r="J599" s="410"/>
      <c r="K599" s="410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>
      <c r="A600" s="19"/>
      <c r="B600" s="19"/>
      <c r="C600" s="19"/>
      <c r="D600" s="19"/>
      <c r="E600" s="19"/>
      <c r="F600" s="19"/>
      <c r="G600" s="19"/>
      <c r="H600" s="409"/>
      <c r="I600" s="19"/>
      <c r="J600" s="410"/>
      <c r="K600" s="410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>
      <c r="A601" s="19"/>
      <c r="B601" s="19"/>
      <c r="C601" s="19"/>
      <c r="D601" s="19"/>
      <c r="E601" s="19"/>
      <c r="F601" s="19"/>
      <c r="G601" s="19"/>
      <c r="H601" s="409"/>
      <c r="I601" s="19"/>
      <c r="J601" s="410"/>
      <c r="K601" s="410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>
      <c r="A602" s="19"/>
      <c r="B602" s="19"/>
      <c r="C602" s="19"/>
      <c r="D602" s="19"/>
      <c r="E602" s="19"/>
      <c r="F602" s="19"/>
      <c r="G602" s="19"/>
      <c r="H602" s="409"/>
      <c r="I602" s="19"/>
      <c r="J602" s="410"/>
      <c r="K602" s="410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>
      <c r="A603" s="19"/>
      <c r="B603" s="19"/>
      <c r="C603" s="19"/>
      <c r="D603" s="19"/>
      <c r="E603" s="19"/>
      <c r="F603" s="19"/>
      <c r="G603" s="19"/>
      <c r="H603" s="409"/>
      <c r="I603" s="19"/>
      <c r="J603" s="410"/>
      <c r="K603" s="410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>
      <c r="A604" s="19"/>
      <c r="B604" s="19"/>
      <c r="C604" s="19"/>
      <c r="D604" s="19"/>
      <c r="E604" s="19"/>
      <c r="F604" s="19"/>
      <c r="G604" s="19"/>
      <c r="H604" s="409"/>
      <c r="I604" s="19"/>
      <c r="J604" s="410"/>
      <c r="K604" s="410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>
      <c r="A605" s="19"/>
      <c r="B605" s="19"/>
      <c r="C605" s="19"/>
      <c r="D605" s="19"/>
      <c r="E605" s="19"/>
      <c r="F605" s="19"/>
      <c r="G605" s="19"/>
      <c r="H605" s="409"/>
      <c r="I605" s="19"/>
      <c r="J605" s="410"/>
      <c r="K605" s="410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>
      <c r="A606" s="19"/>
      <c r="B606" s="19"/>
      <c r="C606" s="19"/>
      <c r="D606" s="19"/>
      <c r="E606" s="19"/>
      <c r="F606" s="19"/>
      <c r="G606" s="19"/>
      <c r="H606" s="409"/>
      <c r="I606" s="19"/>
      <c r="J606" s="410"/>
      <c r="K606" s="410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>
      <c r="A607" s="19"/>
      <c r="B607" s="19"/>
      <c r="C607" s="19"/>
      <c r="D607" s="19"/>
      <c r="E607" s="19"/>
      <c r="F607" s="19"/>
      <c r="G607" s="19"/>
      <c r="H607" s="409"/>
      <c r="I607" s="19"/>
      <c r="J607" s="410"/>
      <c r="K607" s="410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>
      <c r="A608" s="19"/>
      <c r="B608" s="19"/>
      <c r="C608" s="19"/>
      <c r="D608" s="19"/>
      <c r="E608" s="19"/>
      <c r="F608" s="19"/>
      <c r="G608" s="19"/>
      <c r="H608" s="409"/>
      <c r="I608" s="19"/>
      <c r="J608" s="410"/>
      <c r="K608" s="410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>
      <c r="A609" s="19"/>
      <c r="B609" s="19"/>
      <c r="C609" s="19"/>
      <c r="D609" s="19"/>
      <c r="E609" s="19"/>
      <c r="F609" s="19"/>
      <c r="G609" s="19"/>
      <c r="H609" s="409"/>
      <c r="I609" s="19"/>
      <c r="J609" s="410"/>
      <c r="K609" s="410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>
      <c r="A610" s="19"/>
      <c r="B610" s="19"/>
      <c r="C610" s="19"/>
      <c r="D610" s="19"/>
      <c r="E610" s="19"/>
      <c r="F610" s="19"/>
      <c r="G610" s="19"/>
      <c r="H610" s="409"/>
      <c r="I610" s="19"/>
      <c r="J610" s="410"/>
      <c r="K610" s="410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>
      <c r="A611" s="19"/>
      <c r="B611" s="19"/>
      <c r="C611" s="19"/>
      <c r="D611" s="19"/>
      <c r="E611" s="19"/>
      <c r="F611" s="19"/>
      <c r="G611" s="19"/>
      <c r="H611" s="409"/>
      <c r="I611" s="19"/>
      <c r="J611" s="410"/>
      <c r="K611" s="410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>
      <c r="A612" s="19"/>
      <c r="B612" s="19"/>
      <c r="C612" s="19"/>
      <c r="D612" s="19"/>
      <c r="E612" s="19"/>
      <c r="F612" s="19"/>
      <c r="G612" s="19"/>
      <c r="H612" s="409"/>
      <c r="I612" s="19"/>
      <c r="J612" s="410"/>
      <c r="K612" s="410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>
      <c r="A613" s="19"/>
      <c r="B613" s="19"/>
      <c r="C613" s="19"/>
      <c r="D613" s="19"/>
      <c r="E613" s="19"/>
      <c r="F613" s="19"/>
      <c r="G613" s="19"/>
      <c r="H613" s="409"/>
      <c r="I613" s="19"/>
      <c r="J613" s="410"/>
      <c r="K613" s="410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>
      <c r="A614" s="19"/>
      <c r="B614" s="19"/>
      <c r="C614" s="19"/>
      <c r="D614" s="19"/>
      <c r="E614" s="19"/>
      <c r="F614" s="19"/>
      <c r="G614" s="19"/>
      <c r="H614" s="409"/>
      <c r="I614" s="19"/>
      <c r="J614" s="410"/>
      <c r="K614" s="410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>
      <c r="A615" s="19"/>
      <c r="B615" s="19"/>
      <c r="C615" s="19"/>
      <c r="D615" s="19"/>
      <c r="E615" s="19"/>
      <c r="F615" s="19"/>
      <c r="G615" s="19"/>
      <c r="H615" s="409"/>
      <c r="I615" s="19"/>
      <c r="J615" s="410"/>
      <c r="K615" s="410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>
      <c r="A616" s="19"/>
      <c r="B616" s="19"/>
      <c r="C616" s="19"/>
      <c r="D616" s="19"/>
      <c r="E616" s="19"/>
      <c r="F616" s="19"/>
      <c r="G616" s="19"/>
      <c r="H616" s="409"/>
      <c r="I616" s="19"/>
      <c r="J616" s="410"/>
      <c r="K616" s="410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>
      <c r="A617" s="19"/>
      <c r="B617" s="19"/>
      <c r="C617" s="19"/>
      <c r="D617" s="19"/>
      <c r="E617" s="19"/>
      <c r="F617" s="19"/>
      <c r="G617" s="19"/>
      <c r="H617" s="409"/>
      <c r="I617" s="19"/>
      <c r="J617" s="410"/>
      <c r="K617" s="410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>
      <c r="A618" s="19"/>
      <c r="B618" s="19"/>
      <c r="C618" s="19"/>
      <c r="D618" s="19"/>
      <c r="E618" s="19"/>
      <c r="F618" s="19"/>
      <c r="G618" s="19"/>
      <c r="H618" s="409"/>
      <c r="I618" s="19"/>
      <c r="J618" s="410"/>
      <c r="K618" s="410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>
      <c r="A619" s="19"/>
      <c r="B619" s="19"/>
      <c r="C619" s="19"/>
      <c r="D619" s="19"/>
      <c r="E619" s="19"/>
      <c r="F619" s="19"/>
      <c r="G619" s="19"/>
      <c r="H619" s="409"/>
      <c r="I619" s="19"/>
      <c r="J619" s="410"/>
      <c r="K619" s="410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>
      <c r="A620" s="19"/>
      <c r="B620" s="19"/>
      <c r="C620" s="19"/>
      <c r="D620" s="19"/>
      <c r="E620" s="19"/>
      <c r="F620" s="19"/>
      <c r="G620" s="19"/>
      <c r="H620" s="409"/>
      <c r="I620" s="19"/>
      <c r="J620" s="410"/>
      <c r="K620" s="410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>
      <c r="A621" s="19"/>
      <c r="B621" s="19"/>
      <c r="C621" s="19"/>
      <c r="D621" s="19"/>
      <c r="E621" s="19"/>
      <c r="F621" s="19"/>
      <c r="G621" s="19"/>
      <c r="H621" s="409"/>
      <c r="I621" s="19"/>
      <c r="J621" s="410"/>
      <c r="K621" s="410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>
      <c r="A622" s="19"/>
      <c r="B622" s="19"/>
      <c r="C622" s="19"/>
      <c r="D622" s="19"/>
      <c r="E622" s="19"/>
      <c r="F622" s="19"/>
      <c r="G622" s="19"/>
      <c r="H622" s="409"/>
      <c r="I622" s="19"/>
      <c r="J622" s="410"/>
      <c r="K622" s="410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>
      <c r="A623" s="19"/>
      <c r="B623" s="19"/>
      <c r="C623" s="19"/>
      <c r="D623" s="19"/>
      <c r="E623" s="19"/>
      <c r="F623" s="19"/>
      <c r="G623" s="19"/>
      <c r="H623" s="409"/>
      <c r="I623" s="19"/>
      <c r="J623" s="410"/>
      <c r="K623" s="410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>
      <c r="A624" s="19"/>
      <c r="B624" s="19"/>
      <c r="C624" s="19"/>
      <c r="D624" s="19"/>
      <c r="E624" s="19"/>
      <c r="F624" s="19"/>
      <c r="G624" s="19"/>
      <c r="H624" s="409"/>
      <c r="I624" s="19"/>
      <c r="J624" s="410"/>
      <c r="K624" s="410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>
      <c r="A625" s="19"/>
      <c r="B625" s="19"/>
      <c r="C625" s="19"/>
      <c r="D625" s="19"/>
      <c r="E625" s="19"/>
      <c r="F625" s="19"/>
      <c r="G625" s="19"/>
      <c r="H625" s="409"/>
      <c r="I625" s="19"/>
      <c r="J625" s="410"/>
      <c r="K625" s="410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>
      <c r="A626" s="19"/>
      <c r="B626" s="19"/>
      <c r="C626" s="19"/>
      <c r="D626" s="19"/>
      <c r="E626" s="19"/>
      <c r="F626" s="19"/>
      <c r="G626" s="19"/>
      <c r="H626" s="409"/>
      <c r="I626" s="19"/>
      <c r="J626" s="410"/>
      <c r="K626" s="410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>
      <c r="A627" s="19"/>
      <c r="B627" s="19"/>
      <c r="C627" s="19"/>
      <c r="D627" s="19"/>
      <c r="E627" s="19"/>
      <c r="F627" s="19"/>
      <c r="G627" s="19"/>
      <c r="H627" s="409"/>
      <c r="I627" s="19"/>
      <c r="J627" s="410"/>
      <c r="K627" s="410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>
      <c r="A628" s="19"/>
      <c r="B628" s="19"/>
      <c r="C628" s="19"/>
      <c r="D628" s="19"/>
      <c r="E628" s="19"/>
      <c r="F628" s="19"/>
      <c r="G628" s="19"/>
      <c r="H628" s="409"/>
      <c r="I628" s="19"/>
      <c r="J628" s="410"/>
      <c r="K628" s="410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>
      <c r="A629" s="19"/>
      <c r="B629" s="19"/>
      <c r="C629" s="19"/>
      <c r="D629" s="19"/>
      <c r="E629" s="19"/>
      <c r="F629" s="19"/>
      <c r="G629" s="19"/>
      <c r="H629" s="409"/>
      <c r="I629" s="19"/>
      <c r="J629" s="410"/>
      <c r="K629" s="410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>
      <c r="A630" s="19"/>
      <c r="B630" s="19"/>
      <c r="C630" s="19"/>
      <c r="D630" s="19"/>
      <c r="E630" s="19"/>
      <c r="F630" s="19"/>
      <c r="G630" s="19"/>
      <c r="H630" s="409"/>
      <c r="I630" s="19"/>
      <c r="J630" s="410"/>
      <c r="K630" s="410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>
      <c r="A631" s="19"/>
      <c r="B631" s="19"/>
      <c r="C631" s="19"/>
      <c r="D631" s="19"/>
      <c r="E631" s="19"/>
      <c r="F631" s="19"/>
      <c r="G631" s="19"/>
      <c r="H631" s="409"/>
      <c r="I631" s="19"/>
      <c r="J631" s="410"/>
      <c r="K631" s="410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>
      <c r="A632" s="19"/>
      <c r="B632" s="19"/>
      <c r="C632" s="19"/>
      <c r="D632" s="19"/>
      <c r="E632" s="19"/>
      <c r="F632" s="19"/>
      <c r="G632" s="19"/>
      <c r="H632" s="409"/>
      <c r="I632" s="19"/>
      <c r="J632" s="410"/>
      <c r="K632" s="410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>
      <c r="A633" s="19"/>
      <c r="B633" s="19"/>
      <c r="C633" s="19"/>
      <c r="D633" s="19"/>
      <c r="E633" s="19"/>
      <c r="F633" s="19"/>
      <c r="G633" s="19"/>
      <c r="H633" s="409"/>
      <c r="I633" s="19"/>
      <c r="J633" s="410"/>
      <c r="K633" s="410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>
      <c r="A634" s="19"/>
      <c r="B634" s="19"/>
      <c r="C634" s="19"/>
      <c r="D634" s="19"/>
      <c r="E634" s="19"/>
      <c r="F634" s="19"/>
      <c r="G634" s="19"/>
      <c r="H634" s="409"/>
      <c r="I634" s="19"/>
      <c r="J634" s="410"/>
      <c r="K634" s="410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>
      <c r="A635" s="19"/>
      <c r="B635" s="19"/>
      <c r="C635" s="19"/>
      <c r="D635" s="19"/>
      <c r="E635" s="19"/>
      <c r="F635" s="19"/>
      <c r="G635" s="19"/>
      <c r="H635" s="409"/>
      <c r="I635" s="19"/>
      <c r="J635" s="410"/>
      <c r="K635" s="410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>
      <c r="A636" s="19"/>
      <c r="B636" s="19"/>
      <c r="C636" s="19"/>
      <c r="D636" s="19"/>
      <c r="E636" s="19"/>
      <c r="F636" s="19"/>
      <c r="G636" s="19"/>
      <c r="H636" s="409"/>
      <c r="I636" s="19"/>
      <c r="J636" s="410"/>
      <c r="K636" s="410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>
      <c r="A637" s="19"/>
      <c r="B637" s="19"/>
      <c r="C637" s="19"/>
      <c r="D637" s="19"/>
      <c r="E637" s="19"/>
      <c r="F637" s="19"/>
      <c r="G637" s="19"/>
      <c r="H637" s="409"/>
      <c r="I637" s="19"/>
      <c r="J637" s="410"/>
      <c r="K637" s="410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>
      <c r="A638" s="19"/>
      <c r="B638" s="19"/>
      <c r="C638" s="19"/>
      <c r="D638" s="19"/>
      <c r="E638" s="19"/>
      <c r="F638" s="19"/>
      <c r="G638" s="19"/>
      <c r="H638" s="409"/>
      <c r="I638" s="19"/>
      <c r="J638" s="410"/>
      <c r="K638" s="410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>
      <c r="A639" s="19"/>
      <c r="B639" s="19"/>
      <c r="C639" s="19"/>
      <c r="D639" s="19"/>
      <c r="E639" s="19"/>
      <c r="F639" s="19"/>
      <c r="G639" s="19"/>
      <c r="H639" s="409"/>
      <c r="I639" s="19"/>
      <c r="J639" s="410"/>
      <c r="K639" s="410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>
      <c r="A640" s="19"/>
      <c r="B640" s="19"/>
      <c r="C640" s="19"/>
      <c r="D640" s="19"/>
      <c r="E640" s="19"/>
      <c r="F640" s="19"/>
      <c r="G640" s="19"/>
      <c r="H640" s="409"/>
      <c r="I640" s="19"/>
      <c r="J640" s="410"/>
      <c r="K640" s="410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>
      <c r="A641" s="19"/>
      <c r="B641" s="19"/>
      <c r="C641" s="19"/>
      <c r="D641" s="19"/>
      <c r="E641" s="19"/>
      <c r="F641" s="19"/>
      <c r="G641" s="19"/>
      <c r="H641" s="409"/>
      <c r="I641" s="19"/>
      <c r="J641" s="410"/>
      <c r="K641" s="410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>
      <c r="A642" s="19"/>
      <c r="B642" s="19"/>
      <c r="C642" s="19"/>
      <c r="D642" s="19"/>
      <c r="E642" s="19"/>
      <c r="F642" s="19"/>
      <c r="G642" s="19"/>
      <c r="H642" s="409"/>
      <c r="I642" s="19"/>
      <c r="J642" s="410"/>
      <c r="K642" s="410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>
      <c r="A643" s="19"/>
      <c r="B643" s="19"/>
      <c r="C643" s="19"/>
      <c r="D643" s="19"/>
      <c r="E643" s="19"/>
      <c r="F643" s="19"/>
      <c r="G643" s="19"/>
      <c r="H643" s="409"/>
      <c r="I643" s="19"/>
      <c r="J643" s="410"/>
      <c r="K643" s="410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>
      <c r="A644" s="19"/>
      <c r="B644" s="19"/>
      <c r="C644" s="19"/>
      <c r="D644" s="19"/>
      <c r="E644" s="19"/>
      <c r="F644" s="19"/>
      <c r="G644" s="19"/>
      <c r="H644" s="409"/>
      <c r="I644" s="19"/>
      <c r="J644" s="410"/>
      <c r="K644" s="410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>
      <c r="A645" s="19"/>
      <c r="B645" s="19"/>
      <c r="C645" s="19"/>
      <c r="D645" s="19"/>
      <c r="E645" s="19"/>
      <c r="F645" s="19"/>
      <c r="G645" s="19"/>
      <c r="H645" s="409"/>
      <c r="I645" s="19"/>
      <c r="J645" s="410"/>
      <c r="K645" s="410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>
      <c r="A646" s="19"/>
      <c r="B646" s="19"/>
      <c r="C646" s="19"/>
      <c r="D646" s="19"/>
      <c r="E646" s="19"/>
      <c r="F646" s="19"/>
      <c r="G646" s="19"/>
      <c r="H646" s="409"/>
      <c r="I646" s="19"/>
      <c r="J646" s="410"/>
      <c r="K646" s="410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>
      <c r="A647" s="19"/>
      <c r="B647" s="19"/>
      <c r="C647" s="19"/>
      <c r="D647" s="19"/>
      <c r="E647" s="19"/>
      <c r="F647" s="19"/>
      <c r="G647" s="19"/>
      <c r="H647" s="409"/>
      <c r="I647" s="19"/>
      <c r="J647" s="410"/>
      <c r="K647" s="410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>
      <c r="A648" s="19"/>
      <c r="B648" s="19"/>
      <c r="C648" s="19"/>
      <c r="D648" s="19"/>
      <c r="E648" s="19"/>
      <c r="F648" s="19"/>
      <c r="G648" s="19"/>
      <c r="H648" s="409"/>
      <c r="I648" s="19"/>
      <c r="J648" s="410"/>
      <c r="K648" s="410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>
      <c r="A649" s="19"/>
      <c r="B649" s="19"/>
      <c r="C649" s="19"/>
      <c r="D649" s="19"/>
      <c r="E649" s="19"/>
      <c r="F649" s="19"/>
      <c r="G649" s="19"/>
      <c r="H649" s="409"/>
      <c r="I649" s="19"/>
      <c r="J649" s="410"/>
      <c r="K649" s="410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>
      <c r="A650" s="19"/>
      <c r="B650" s="19"/>
      <c r="C650" s="19"/>
      <c r="D650" s="19"/>
      <c r="E650" s="19"/>
      <c r="F650" s="19"/>
      <c r="G650" s="19"/>
      <c r="H650" s="409"/>
      <c r="I650" s="19"/>
      <c r="J650" s="410"/>
      <c r="K650" s="410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>
      <c r="A651" s="19"/>
      <c r="B651" s="19"/>
      <c r="C651" s="19"/>
      <c r="D651" s="19"/>
      <c r="E651" s="19"/>
      <c r="F651" s="19"/>
      <c r="G651" s="19"/>
      <c r="H651" s="409"/>
      <c r="I651" s="19"/>
      <c r="J651" s="410"/>
      <c r="K651" s="410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>
      <c r="A652" s="19"/>
      <c r="B652" s="19"/>
      <c r="C652" s="19"/>
      <c r="D652" s="19"/>
      <c r="E652" s="19"/>
      <c r="F652" s="19"/>
      <c r="G652" s="19"/>
      <c r="H652" s="409"/>
      <c r="I652" s="19"/>
      <c r="J652" s="410"/>
      <c r="K652" s="410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>
      <c r="A653" s="19"/>
      <c r="B653" s="19"/>
      <c r="C653" s="19"/>
      <c r="D653" s="19"/>
      <c r="E653" s="19"/>
      <c r="F653" s="19"/>
      <c r="G653" s="19"/>
      <c r="H653" s="409"/>
      <c r="I653" s="19"/>
      <c r="J653" s="410"/>
      <c r="K653" s="410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>
      <c r="A654" s="19"/>
      <c r="B654" s="19"/>
      <c r="C654" s="19"/>
      <c r="D654" s="19"/>
      <c r="E654" s="19"/>
      <c r="F654" s="19"/>
      <c r="G654" s="19"/>
      <c r="H654" s="409"/>
      <c r="I654" s="19"/>
      <c r="J654" s="410"/>
      <c r="K654" s="410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>
      <c r="A655" s="19"/>
      <c r="B655" s="19"/>
      <c r="C655" s="19"/>
      <c r="D655" s="19"/>
      <c r="E655" s="19"/>
      <c r="F655" s="19"/>
      <c r="G655" s="19"/>
      <c r="H655" s="409"/>
      <c r="I655" s="19"/>
      <c r="J655" s="410"/>
      <c r="K655" s="410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>
      <c r="A656" s="19"/>
      <c r="B656" s="19"/>
      <c r="C656" s="19"/>
      <c r="D656" s="19"/>
      <c r="E656" s="19"/>
      <c r="F656" s="19"/>
      <c r="G656" s="19"/>
      <c r="H656" s="409"/>
      <c r="I656" s="19"/>
      <c r="J656" s="410"/>
      <c r="K656" s="410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>
      <c r="A657" s="19"/>
      <c r="B657" s="19"/>
      <c r="C657" s="19"/>
      <c r="D657" s="19"/>
      <c r="E657" s="19"/>
      <c r="F657" s="19"/>
      <c r="G657" s="19"/>
      <c r="H657" s="409"/>
      <c r="I657" s="19"/>
      <c r="J657" s="410"/>
      <c r="K657" s="410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>
      <c r="A658" s="19"/>
      <c r="B658" s="19"/>
      <c r="C658" s="19"/>
      <c r="D658" s="19"/>
      <c r="E658" s="19"/>
      <c r="F658" s="19"/>
      <c r="G658" s="19"/>
      <c r="H658" s="409"/>
      <c r="I658" s="19"/>
      <c r="J658" s="410"/>
      <c r="K658" s="410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>
      <c r="A659" s="19"/>
      <c r="B659" s="19"/>
      <c r="C659" s="19"/>
      <c r="D659" s="19"/>
      <c r="E659" s="19"/>
      <c r="F659" s="19"/>
      <c r="G659" s="19"/>
      <c r="H659" s="409"/>
      <c r="I659" s="19"/>
      <c r="J659" s="410"/>
      <c r="K659" s="410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>
      <c r="A660" s="19"/>
      <c r="B660" s="19"/>
      <c r="C660" s="19"/>
      <c r="D660" s="19"/>
      <c r="E660" s="19"/>
      <c r="F660" s="19"/>
      <c r="G660" s="19"/>
      <c r="H660" s="409"/>
      <c r="I660" s="19"/>
      <c r="J660" s="410"/>
      <c r="K660" s="410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>
      <c r="A661" s="19"/>
      <c r="B661" s="19"/>
      <c r="C661" s="19"/>
      <c r="D661" s="19"/>
      <c r="E661" s="19"/>
      <c r="F661" s="19"/>
      <c r="G661" s="19"/>
      <c r="H661" s="409"/>
      <c r="I661" s="19"/>
      <c r="J661" s="410"/>
      <c r="K661" s="410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>
      <c r="A662" s="19"/>
      <c r="B662" s="19"/>
      <c r="C662" s="19"/>
      <c r="D662" s="19"/>
      <c r="E662" s="19"/>
      <c r="F662" s="19"/>
      <c r="G662" s="19"/>
      <c r="H662" s="409"/>
      <c r="I662" s="19"/>
      <c r="J662" s="410"/>
      <c r="K662" s="410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>
      <c r="A663" s="19"/>
      <c r="B663" s="19"/>
      <c r="C663" s="19"/>
      <c r="D663" s="19"/>
      <c r="E663" s="19"/>
      <c r="F663" s="19"/>
      <c r="G663" s="19"/>
      <c r="H663" s="409"/>
      <c r="I663" s="19"/>
      <c r="J663" s="410"/>
      <c r="K663" s="410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>
      <c r="A664" s="19"/>
      <c r="B664" s="19"/>
      <c r="C664" s="19"/>
      <c r="D664" s="19"/>
      <c r="E664" s="19"/>
      <c r="F664" s="19"/>
      <c r="G664" s="19"/>
      <c r="H664" s="409"/>
      <c r="I664" s="19"/>
      <c r="J664" s="410"/>
      <c r="K664" s="410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>
      <c r="A665" s="19"/>
      <c r="B665" s="19"/>
      <c r="C665" s="19"/>
      <c r="D665" s="19"/>
      <c r="E665" s="19"/>
      <c r="F665" s="19"/>
      <c r="G665" s="19"/>
      <c r="H665" s="409"/>
      <c r="I665" s="19"/>
      <c r="J665" s="410"/>
      <c r="K665" s="410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</row>
    <row r="666">
      <c r="A666" s="19"/>
      <c r="B666" s="19"/>
      <c r="C666" s="19"/>
      <c r="D666" s="19"/>
      <c r="E666" s="19"/>
      <c r="F666" s="19"/>
      <c r="G666" s="19"/>
      <c r="H666" s="409"/>
      <c r="I666" s="19"/>
      <c r="J666" s="410"/>
      <c r="K666" s="410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</row>
    <row r="667">
      <c r="A667" s="19"/>
      <c r="B667" s="19"/>
      <c r="C667" s="19"/>
      <c r="D667" s="19"/>
      <c r="E667" s="19"/>
      <c r="F667" s="19"/>
      <c r="G667" s="19"/>
      <c r="H667" s="409"/>
      <c r="I667" s="19"/>
      <c r="J667" s="410"/>
      <c r="K667" s="410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</row>
    <row r="668">
      <c r="A668" s="19"/>
      <c r="B668" s="19"/>
      <c r="C668" s="19"/>
      <c r="D668" s="19"/>
      <c r="E668" s="19"/>
      <c r="F668" s="19"/>
      <c r="G668" s="19"/>
      <c r="H668" s="409"/>
      <c r="I668" s="19"/>
      <c r="J668" s="410"/>
      <c r="K668" s="410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</row>
    <row r="669">
      <c r="A669" s="19"/>
      <c r="B669" s="19"/>
      <c r="C669" s="19"/>
      <c r="D669" s="19"/>
      <c r="E669" s="19"/>
      <c r="F669" s="19"/>
      <c r="G669" s="19"/>
      <c r="H669" s="409"/>
      <c r="I669" s="19"/>
      <c r="J669" s="410"/>
      <c r="K669" s="410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</row>
    <row r="670">
      <c r="A670" s="19"/>
      <c r="B670" s="19"/>
      <c r="C670" s="19"/>
      <c r="D670" s="19"/>
      <c r="E670" s="19"/>
      <c r="F670" s="19"/>
      <c r="G670" s="19"/>
      <c r="H670" s="409"/>
      <c r="I670" s="19"/>
      <c r="J670" s="410"/>
      <c r="K670" s="410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</row>
    <row r="671">
      <c r="A671" s="19"/>
      <c r="B671" s="19"/>
      <c r="C671" s="19"/>
      <c r="D671" s="19"/>
      <c r="E671" s="19"/>
      <c r="F671" s="19"/>
      <c r="G671" s="19"/>
      <c r="H671" s="409"/>
      <c r="I671" s="19"/>
      <c r="J671" s="410"/>
      <c r="K671" s="410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</row>
    <row r="672">
      <c r="A672" s="19"/>
      <c r="B672" s="19"/>
      <c r="C672" s="19"/>
      <c r="D672" s="19"/>
      <c r="E672" s="19"/>
      <c r="F672" s="19"/>
      <c r="G672" s="19"/>
      <c r="H672" s="409"/>
      <c r="I672" s="19"/>
      <c r="J672" s="410"/>
      <c r="K672" s="410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</row>
    <row r="673">
      <c r="A673" s="19"/>
      <c r="B673" s="19"/>
      <c r="C673" s="19"/>
      <c r="D673" s="19"/>
      <c r="E673" s="19"/>
      <c r="F673" s="19"/>
      <c r="G673" s="19"/>
      <c r="H673" s="409"/>
      <c r="I673" s="19"/>
      <c r="J673" s="410"/>
      <c r="K673" s="410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</row>
    <row r="674">
      <c r="A674" s="19"/>
      <c r="B674" s="19"/>
      <c r="C674" s="19"/>
      <c r="D674" s="19"/>
      <c r="E674" s="19"/>
      <c r="F674" s="19"/>
      <c r="G674" s="19"/>
      <c r="H674" s="409"/>
      <c r="I674" s="19"/>
      <c r="J674" s="410"/>
      <c r="K674" s="410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</row>
    <row r="675">
      <c r="A675" s="19"/>
      <c r="B675" s="19"/>
      <c r="C675" s="19"/>
      <c r="D675" s="19"/>
      <c r="E675" s="19"/>
      <c r="F675" s="19"/>
      <c r="G675" s="19"/>
      <c r="H675" s="409"/>
      <c r="I675" s="19"/>
      <c r="J675" s="410"/>
      <c r="K675" s="410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</row>
    <row r="676">
      <c r="A676" s="19"/>
      <c r="B676" s="19"/>
      <c r="C676" s="19"/>
      <c r="D676" s="19"/>
      <c r="E676" s="19"/>
      <c r="F676" s="19"/>
      <c r="G676" s="19"/>
      <c r="H676" s="409"/>
      <c r="I676" s="19"/>
      <c r="J676" s="410"/>
      <c r="K676" s="410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</row>
    <row r="677">
      <c r="A677" s="19"/>
      <c r="B677" s="19"/>
      <c r="C677" s="19"/>
      <c r="D677" s="19"/>
      <c r="E677" s="19"/>
      <c r="F677" s="19"/>
      <c r="G677" s="19"/>
      <c r="H677" s="409"/>
      <c r="I677" s="19"/>
      <c r="J677" s="410"/>
      <c r="K677" s="410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</row>
    <row r="678">
      <c r="A678" s="19"/>
      <c r="B678" s="19"/>
      <c r="C678" s="19"/>
      <c r="D678" s="19"/>
      <c r="E678" s="19"/>
      <c r="F678" s="19"/>
      <c r="G678" s="19"/>
      <c r="H678" s="409"/>
      <c r="I678" s="19"/>
      <c r="J678" s="410"/>
      <c r="K678" s="410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</row>
    <row r="679">
      <c r="A679" s="19"/>
      <c r="B679" s="19"/>
      <c r="C679" s="19"/>
      <c r="D679" s="19"/>
      <c r="E679" s="19"/>
      <c r="F679" s="19"/>
      <c r="G679" s="19"/>
      <c r="H679" s="409"/>
      <c r="I679" s="19"/>
      <c r="J679" s="410"/>
      <c r="K679" s="410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</row>
    <row r="680">
      <c r="A680" s="19"/>
      <c r="B680" s="19"/>
      <c r="C680" s="19"/>
      <c r="D680" s="19"/>
      <c r="E680" s="19"/>
      <c r="F680" s="19"/>
      <c r="G680" s="19"/>
      <c r="H680" s="409"/>
      <c r="I680" s="19"/>
      <c r="J680" s="410"/>
      <c r="K680" s="410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</row>
    <row r="681">
      <c r="A681" s="19"/>
      <c r="B681" s="19"/>
      <c r="C681" s="19"/>
      <c r="D681" s="19"/>
      <c r="E681" s="19"/>
      <c r="F681" s="19"/>
      <c r="G681" s="19"/>
      <c r="H681" s="409"/>
      <c r="I681" s="19"/>
      <c r="J681" s="410"/>
      <c r="K681" s="410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</row>
    <row r="682">
      <c r="A682" s="19"/>
      <c r="B682" s="19"/>
      <c r="C682" s="19"/>
      <c r="D682" s="19"/>
      <c r="E682" s="19"/>
      <c r="F682" s="19"/>
      <c r="G682" s="19"/>
      <c r="H682" s="409"/>
      <c r="I682" s="19"/>
      <c r="J682" s="410"/>
      <c r="K682" s="410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</row>
    <row r="683">
      <c r="A683" s="19"/>
      <c r="B683" s="19"/>
      <c r="C683" s="19"/>
      <c r="D683" s="19"/>
      <c r="E683" s="19"/>
      <c r="F683" s="19"/>
      <c r="G683" s="19"/>
      <c r="H683" s="409"/>
      <c r="I683" s="19"/>
      <c r="J683" s="410"/>
      <c r="K683" s="410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</row>
    <row r="684">
      <c r="A684" s="19"/>
      <c r="B684" s="19"/>
      <c r="C684" s="19"/>
      <c r="D684" s="19"/>
      <c r="E684" s="19"/>
      <c r="F684" s="19"/>
      <c r="G684" s="19"/>
      <c r="H684" s="409"/>
      <c r="I684" s="19"/>
      <c r="J684" s="410"/>
      <c r="K684" s="410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</row>
    <row r="685">
      <c r="A685" s="19"/>
      <c r="B685" s="19"/>
      <c r="C685" s="19"/>
      <c r="D685" s="19"/>
      <c r="E685" s="19"/>
      <c r="F685" s="19"/>
      <c r="G685" s="19"/>
      <c r="H685" s="409"/>
      <c r="I685" s="19"/>
      <c r="J685" s="410"/>
      <c r="K685" s="410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</row>
    <row r="686">
      <c r="A686" s="19"/>
      <c r="B686" s="19"/>
      <c r="C686" s="19"/>
      <c r="D686" s="19"/>
      <c r="E686" s="19"/>
      <c r="F686" s="19"/>
      <c r="G686" s="19"/>
      <c r="H686" s="409"/>
      <c r="I686" s="19"/>
      <c r="J686" s="410"/>
      <c r="K686" s="410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</row>
    <row r="687">
      <c r="A687" s="19"/>
      <c r="B687" s="19"/>
      <c r="C687" s="19"/>
      <c r="D687" s="19"/>
      <c r="E687" s="19"/>
      <c r="F687" s="19"/>
      <c r="G687" s="19"/>
      <c r="H687" s="409"/>
      <c r="I687" s="19"/>
      <c r="J687" s="410"/>
      <c r="K687" s="410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</row>
    <row r="688">
      <c r="A688" s="19"/>
      <c r="B688" s="19"/>
      <c r="C688" s="19"/>
      <c r="D688" s="19"/>
      <c r="E688" s="19"/>
      <c r="F688" s="19"/>
      <c r="G688" s="19"/>
      <c r="H688" s="409"/>
      <c r="I688" s="19"/>
      <c r="J688" s="410"/>
      <c r="K688" s="410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</row>
    <row r="689">
      <c r="A689" s="19"/>
      <c r="B689" s="19"/>
      <c r="C689" s="19"/>
      <c r="D689" s="19"/>
      <c r="E689" s="19"/>
      <c r="F689" s="19"/>
      <c r="G689" s="19"/>
      <c r="H689" s="409"/>
      <c r="I689" s="19"/>
      <c r="J689" s="410"/>
      <c r="K689" s="410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</row>
    <row r="690">
      <c r="A690" s="19"/>
      <c r="B690" s="19"/>
      <c r="C690" s="19"/>
      <c r="D690" s="19"/>
      <c r="E690" s="19"/>
      <c r="F690" s="19"/>
      <c r="G690" s="19"/>
      <c r="H690" s="409"/>
      <c r="I690" s="19"/>
      <c r="J690" s="410"/>
      <c r="K690" s="410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</row>
    <row r="691">
      <c r="A691" s="19"/>
      <c r="B691" s="19"/>
      <c r="C691" s="19"/>
      <c r="D691" s="19"/>
      <c r="E691" s="19"/>
      <c r="F691" s="19"/>
      <c r="G691" s="19"/>
      <c r="H691" s="409"/>
      <c r="I691" s="19"/>
      <c r="J691" s="410"/>
      <c r="K691" s="410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</row>
    <row r="692">
      <c r="A692" s="19"/>
      <c r="B692" s="19"/>
      <c r="C692" s="19"/>
      <c r="D692" s="19"/>
      <c r="E692" s="19"/>
      <c r="F692" s="19"/>
      <c r="G692" s="19"/>
      <c r="H692" s="409"/>
      <c r="I692" s="19"/>
      <c r="J692" s="410"/>
      <c r="K692" s="410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</row>
    <row r="693">
      <c r="A693" s="19"/>
      <c r="B693" s="19"/>
      <c r="C693" s="19"/>
      <c r="D693" s="19"/>
      <c r="E693" s="19"/>
      <c r="F693" s="19"/>
      <c r="G693" s="19"/>
      <c r="H693" s="409"/>
      <c r="I693" s="19"/>
      <c r="J693" s="410"/>
      <c r="K693" s="410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</row>
    <row r="694">
      <c r="A694" s="19"/>
      <c r="B694" s="19"/>
      <c r="C694" s="19"/>
      <c r="D694" s="19"/>
      <c r="E694" s="19"/>
      <c r="F694" s="19"/>
      <c r="G694" s="19"/>
      <c r="H694" s="409"/>
      <c r="I694" s="19"/>
      <c r="J694" s="410"/>
      <c r="K694" s="410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</row>
    <row r="695">
      <c r="A695" s="19"/>
      <c r="B695" s="19"/>
      <c r="C695" s="19"/>
      <c r="D695" s="19"/>
      <c r="E695" s="19"/>
      <c r="F695" s="19"/>
      <c r="G695" s="19"/>
      <c r="H695" s="409"/>
      <c r="I695" s="19"/>
      <c r="J695" s="410"/>
      <c r="K695" s="410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</row>
    <row r="696">
      <c r="A696" s="19"/>
      <c r="B696" s="19"/>
      <c r="C696" s="19"/>
      <c r="D696" s="19"/>
      <c r="E696" s="19"/>
      <c r="F696" s="19"/>
      <c r="G696" s="19"/>
      <c r="H696" s="409"/>
      <c r="I696" s="19"/>
      <c r="J696" s="410"/>
      <c r="K696" s="410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</row>
    <row r="697">
      <c r="A697" s="19"/>
      <c r="B697" s="19"/>
      <c r="C697" s="19"/>
      <c r="D697" s="19"/>
      <c r="E697" s="19"/>
      <c r="F697" s="19"/>
      <c r="G697" s="19"/>
      <c r="H697" s="409"/>
      <c r="I697" s="19"/>
      <c r="J697" s="410"/>
      <c r="K697" s="410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</row>
    <row r="698">
      <c r="A698" s="19"/>
      <c r="B698" s="19"/>
      <c r="C698" s="19"/>
      <c r="D698" s="19"/>
      <c r="E698" s="19"/>
      <c r="F698" s="19"/>
      <c r="G698" s="19"/>
      <c r="H698" s="409"/>
      <c r="I698" s="19"/>
      <c r="J698" s="410"/>
      <c r="K698" s="410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</row>
    <row r="699">
      <c r="A699" s="19"/>
      <c r="B699" s="19"/>
      <c r="C699" s="19"/>
      <c r="D699" s="19"/>
      <c r="E699" s="19"/>
      <c r="F699" s="19"/>
      <c r="G699" s="19"/>
      <c r="H699" s="409"/>
      <c r="I699" s="19"/>
      <c r="J699" s="410"/>
      <c r="K699" s="410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</row>
    <row r="700">
      <c r="A700" s="19"/>
      <c r="B700" s="19"/>
      <c r="C700" s="19"/>
      <c r="D700" s="19"/>
      <c r="E700" s="19"/>
      <c r="F700" s="19"/>
      <c r="G700" s="19"/>
      <c r="H700" s="409"/>
      <c r="I700" s="19"/>
      <c r="J700" s="410"/>
      <c r="K700" s="410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</row>
    <row r="701">
      <c r="A701" s="19"/>
      <c r="B701" s="19"/>
      <c r="C701" s="19"/>
      <c r="D701" s="19"/>
      <c r="E701" s="19"/>
      <c r="F701" s="19"/>
      <c r="G701" s="19"/>
      <c r="H701" s="409"/>
      <c r="I701" s="19"/>
      <c r="J701" s="410"/>
      <c r="K701" s="410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</row>
    <row r="702">
      <c r="A702" s="19"/>
      <c r="B702" s="19"/>
      <c r="C702" s="19"/>
      <c r="D702" s="19"/>
      <c r="E702" s="19"/>
      <c r="F702" s="19"/>
      <c r="G702" s="19"/>
      <c r="H702" s="409"/>
      <c r="I702" s="19"/>
      <c r="J702" s="410"/>
      <c r="K702" s="410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</row>
    <row r="703">
      <c r="A703" s="19"/>
      <c r="B703" s="19"/>
      <c r="C703" s="19"/>
      <c r="D703" s="19"/>
      <c r="E703" s="19"/>
      <c r="F703" s="19"/>
      <c r="G703" s="19"/>
      <c r="H703" s="409"/>
      <c r="I703" s="19"/>
      <c r="J703" s="410"/>
      <c r="K703" s="410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</row>
    <row r="704">
      <c r="A704" s="19"/>
      <c r="B704" s="19"/>
      <c r="C704" s="19"/>
      <c r="D704" s="19"/>
      <c r="E704" s="19"/>
      <c r="F704" s="19"/>
      <c r="G704" s="19"/>
      <c r="H704" s="409"/>
      <c r="I704" s="19"/>
      <c r="J704" s="410"/>
      <c r="K704" s="410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</row>
    <row r="705">
      <c r="A705" s="19"/>
      <c r="B705" s="19"/>
      <c r="C705" s="19"/>
      <c r="D705" s="19"/>
      <c r="E705" s="19"/>
      <c r="F705" s="19"/>
      <c r="G705" s="19"/>
      <c r="H705" s="409"/>
      <c r="I705" s="19"/>
      <c r="J705" s="410"/>
      <c r="K705" s="410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</row>
    <row r="706">
      <c r="A706" s="19"/>
      <c r="B706" s="19"/>
      <c r="C706" s="19"/>
      <c r="D706" s="19"/>
      <c r="E706" s="19"/>
      <c r="F706" s="19"/>
      <c r="G706" s="19"/>
      <c r="H706" s="409"/>
      <c r="I706" s="19"/>
      <c r="J706" s="410"/>
      <c r="K706" s="410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</row>
    <row r="707">
      <c r="A707" s="19"/>
      <c r="B707" s="19"/>
      <c r="C707" s="19"/>
      <c r="D707" s="19"/>
      <c r="E707" s="19"/>
      <c r="F707" s="19"/>
      <c r="G707" s="19"/>
      <c r="H707" s="409"/>
      <c r="I707" s="19"/>
      <c r="J707" s="410"/>
      <c r="K707" s="410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</row>
    <row r="708">
      <c r="A708" s="19"/>
      <c r="B708" s="19"/>
      <c r="C708" s="19"/>
      <c r="D708" s="19"/>
      <c r="E708" s="19"/>
      <c r="F708" s="19"/>
      <c r="G708" s="19"/>
      <c r="H708" s="409"/>
      <c r="I708" s="19"/>
      <c r="J708" s="410"/>
      <c r="K708" s="410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</row>
    <row r="709">
      <c r="A709" s="19"/>
      <c r="B709" s="19"/>
      <c r="C709" s="19"/>
      <c r="D709" s="19"/>
      <c r="E709" s="19"/>
      <c r="F709" s="19"/>
      <c r="G709" s="19"/>
      <c r="H709" s="409"/>
      <c r="I709" s="19"/>
      <c r="J709" s="410"/>
      <c r="K709" s="410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</row>
    <row r="710">
      <c r="A710" s="19"/>
      <c r="B710" s="19"/>
      <c r="C710" s="19"/>
      <c r="D710" s="19"/>
      <c r="E710" s="19"/>
      <c r="F710" s="19"/>
      <c r="G710" s="19"/>
      <c r="H710" s="409"/>
      <c r="I710" s="19"/>
      <c r="J710" s="410"/>
      <c r="K710" s="410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</row>
    <row r="711">
      <c r="A711" s="19"/>
      <c r="B711" s="19"/>
      <c r="C711" s="19"/>
      <c r="D711" s="19"/>
      <c r="E711" s="19"/>
      <c r="F711" s="19"/>
      <c r="G711" s="19"/>
      <c r="H711" s="409"/>
      <c r="I711" s="19"/>
      <c r="J711" s="410"/>
      <c r="K711" s="410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</row>
    <row r="712">
      <c r="A712" s="19"/>
      <c r="B712" s="19"/>
      <c r="C712" s="19"/>
      <c r="D712" s="19"/>
      <c r="E712" s="19"/>
      <c r="F712" s="19"/>
      <c r="G712" s="19"/>
      <c r="H712" s="409"/>
      <c r="I712" s="19"/>
      <c r="J712" s="410"/>
      <c r="K712" s="410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</row>
    <row r="713">
      <c r="A713" s="19"/>
      <c r="B713" s="19"/>
      <c r="C713" s="19"/>
      <c r="D713" s="19"/>
      <c r="E713" s="19"/>
      <c r="F713" s="19"/>
      <c r="G713" s="19"/>
      <c r="H713" s="409"/>
      <c r="I713" s="19"/>
      <c r="J713" s="410"/>
      <c r="K713" s="410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</row>
    <row r="714">
      <c r="A714" s="19"/>
      <c r="B714" s="19"/>
      <c r="C714" s="19"/>
      <c r="D714" s="19"/>
      <c r="E714" s="19"/>
      <c r="F714" s="19"/>
      <c r="G714" s="19"/>
      <c r="H714" s="409"/>
      <c r="I714" s="19"/>
      <c r="J714" s="410"/>
      <c r="K714" s="410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</row>
    <row r="715">
      <c r="A715" s="19"/>
      <c r="B715" s="19"/>
      <c r="C715" s="19"/>
      <c r="D715" s="19"/>
      <c r="E715" s="19"/>
      <c r="F715" s="19"/>
      <c r="G715" s="19"/>
      <c r="H715" s="409"/>
      <c r="I715" s="19"/>
      <c r="J715" s="410"/>
      <c r="K715" s="410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</row>
    <row r="716">
      <c r="A716" s="19"/>
      <c r="B716" s="19"/>
      <c r="C716" s="19"/>
      <c r="D716" s="19"/>
      <c r="E716" s="19"/>
      <c r="F716" s="19"/>
      <c r="G716" s="19"/>
      <c r="H716" s="409"/>
      <c r="I716" s="19"/>
      <c r="J716" s="410"/>
      <c r="K716" s="410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</row>
    <row r="717">
      <c r="A717" s="19"/>
      <c r="B717" s="19"/>
      <c r="C717" s="19"/>
      <c r="D717" s="19"/>
      <c r="E717" s="19"/>
      <c r="F717" s="19"/>
      <c r="G717" s="19"/>
      <c r="H717" s="409"/>
      <c r="I717" s="19"/>
      <c r="J717" s="410"/>
      <c r="K717" s="410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</row>
    <row r="718">
      <c r="A718" s="19"/>
      <c r="B718" s="19"/>
      <c r="C718" s="19"/>
      <c r="D718" s="19"/>
      <c r="E718" s="19"/>
      <c r="F718" s="19"/>
      <c r="G718" s="19"/>
      <c r="H718" s="409"/>
      <c r="I718" s="19"/>
      <c r="J718" s="410"/>
      <c r="K718" s="410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</row>
    <row r="719">
      <c r="A719" s="19"/>
      <c r="B719" s="19"/>
      <c r="C719" s="19"/>
      <c r="D719" s="19"/>
      <c r="E719" s="19"/>
      <c r="F719" s="19"/>
      <c r="G719" s="19"/>
      <c r="H719" s="409"/>
      <c r="I719" s="19"/>
      <c r="J719" s="410"/>
      <c r="K719" s="410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</row>
    <row r="720">
      <c r="A720" s="19"/>
      <c r="B720" s="19"/>
      <c r="C720" s="19"/>
      <c r="D720" s="19"/>
      <c r="E720" s="19"/>
      <c r="F720" s="19"/>
      <c r="G720" s="19"/>
      <c r="H720" s="409"/>
      <c r="I720" s="19"/>
      <c r="J720" s="410"/>
      <c r="K720" s="410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</row>
    <row r="721">
      <c r="A721" s="19"/>
      <c r="B721" s="19"/>
      <c r="C721" s="19"/>
      <c r="D721" s="19"/>
      <c r="E721" s="19"/>
      <c r="F721" s="19"/>
      <c r="G721" s="19"/>
      <c r="H721" s="409"/>
      <c r="I721" s="19"/>
      <c r="J721" s="410"/>
      <c r="K721" s="410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</row>
    <row r="722">
      <c r="A722" s="19"/>
      <c r="B722" s="19"/>
      <c r="C722" s="19"/>
      <c r="D722" s="19"/>
      <c r="E722" s="19"/>
      <c r="F722" s="19"/>
      <c r="G722" s="19"/>
      <c r="H722" s="409"/>
      <c r="I722" s="19"/>
      <c r="J722" s="410"/>
      <c r="K722" s="410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</row>
    <row r="723">
      <c r="A723" s="19"/>
      <c r="B723" s="19"/>
      <c r="C723" s="19"/>
      <c r="D723" s="19"/>
      <c r="E723" s="19"/>
      <c r="F723" s="19"/>
      <c r="G723" s="19"/>
      <c r="H723" s="409"/>
      <c r="I723" s="19"/>
      <c r="J723" s="410"/>
      <c r="K723" s="410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</row>
    <row r="724">
      <c r="A724" s="19"/>
      <c r="B724" s="19"/>
      <c r="C724" s="19"/>
      <c r="D724" s="19"/>
      <c r="E724" s="19"/>
      <c r="F724" s="19"/>
      <c r="G724" s="19"/>
      <c r="H724" s="409"/>
      <c r="I724" s="19"/>
      <c r="J724" s="410"/>
      <c r="K724" s="410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</row>
    <row r="725">
      <c r="A725" s="19"/>
      <c r="B725" s="19"/>
      <c r="C725" s="19"/>
      <c r="D725" s="19"/>
      <c r="E725" s="19"/>
      <c r="F725" s="19"/>
      <c r="G725" s="19"/>
      <c r="H725" s="409"/>
      <c r="I725" s="19"/>
      <c r="J725" s="410"/>
      <c r="K725" s="410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</row>
    <row r="726">
      <c r="A726" s="19"/>
      <c r="B726" s="19"/>
      <c r="C726" s="19"/>
      <c r="D726" s="19"/>
      <c r="E726" s="19"/>
      <c r="F726" s="19"/>
      <c r="G726" s="19"/>
      <c r="H726" s="409"/>
      <c r="I726" s="19"/>
      <c r="J726" s="410"/>
      <c r="K726" s="410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</row>
    <row r="727">
      <c r="A727" s="19"/>
      <c r="B727" s="19"/>
      <c r="C727" s="19"/>
      <c r="D727" s="19"/>
      <c r="E727" s="19"/>
      <c r="F727" s="19"/>
      <c r="G727" s="19"/>
      <c r="H727" s="409"/>
      <c r="I727" s="19"/>
      <c r="J727" s="410"/>
      <c r="K727" s="410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</row>
    <row r="728">
      <c r="A728" s="19"/>
      <c r="B728" s="19"/>
      <c r="C728" s="19"/>
      <c r="D728" s="19"/>
      <c r="E728" s="19"/>
      <c r="F728" s="19"/>
      <c r="G728" s="19"/>
      <c r="H728" s="409"/>
      <c r="I728" s="19"/>
      <c r="J728" s="410"/>
      <c r="K728" s="410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</row>
    <row r="729">
      <c r="A729" s="19"/>
      <c r="B729" s="19"/>
      <c r="C729" s="19"/>
      <c r="D729" s="19"/>
      <c r="E729" s="19"/>
      <c r="F729" s="19"/>
      <c r="G729" s="19"/>
      <c r="H729" s="409"/>
      <c r="I729" s="19"/>
      <c r="J729" s="410"/>
      <c r="K729" s="410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</row>
    <row r="730">
      <c r="A730" s="19"/>
      <c r="B730" s="19"/>
      <c r="C730" s="19"/>
      <c r="D730" s="19"/>
      <c r="E730" s="19"/>
      <c r="F730" s="19"/>
      <c r="G730" s="19"/>
      <c r="H730" s="409"/>
      <c r="I730" s="19"/>
      <c r="J730" s="410"/>
      <c r="K730" s="410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</row>
    <row r="731">
      <c r="A731" s="19"/>
      <c r="B731" s="19"/>
      <c r="C731" s="19"/>
      <c r="D731" s="19"/>
      <c r="E731" s="19"/>
      <c r="F731" s="19"/>
      <c r="G731" s="19"/>
      <c r="H731" s="409"/>
      <c r="I731" s="19"/>
      <c r="J731" s="410"/>
      <c r="K731" s="410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</row>
    <row r="732">
      <c r="A732" s="19"/>
      <c r="B732" s="19"/>
      <c r="C732" s="19"/>
      <c r="D732" s="19"/>
      <c r="E732" s="19"/>
      <c r="F732" s="19"/>
      <c r="G732" s="19"/>
      <c r="H732" s="409"/>
      <c r="I732" s="19"/>
      <c r="J732" s="410"/>
      <c r="K732" s="410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</row>
    <row r="733">
      <c r="A733" s="19"/>
      <c r="B733" s="19"/>
      <c r="C733" s="19"/>
      <c r="D733" s="19"/>
      <c r="E733" s="19"/>
      <c r="F733" s="19"/>
      <c r="G733" s="19"/>
      <c r="H733" s="409"/>
      <c r="I733" s="19"/>
      <c r="J733" s="410"/>
      <c r="K733" s="410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</row>
    <row r="734">
      <c r="A734" s="19"/>
      <c r="B734" s="19"/>
      <c r="C734" s="19"/>
      <c r="D734" s="19"/>
      <c r="E734" s="19"/>
      <c r="F734" s="19"/>
      <c r="G734" s="19"/>
      <c r="H734" s="409"/>
      <c r="I734" s="19"/>
      <c r="J734" s="410"/>
      <c r="K734" s="410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</row>
    <row r="735">
      <c r="A735" s="19"/>
      <c r="B735" s="19"/>
      <c r="C735" s="19"/>
      <c r="D735" s="19"/>
      <c r="E735" s="19"/>
      <c r="F735" s="19"/>
      <c r="G735" s="19"/>
      <c r="H735" s="409"/>
      <c r="I735" s="19"/>
      <c r="J735" s="410"/>
      <c r="K735" s="410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</row>
    <row r="736">
      <c r="A736" s="19"/>
      <c r="B736" s="19"/>
      <c r="C736" s="19"/>
      <c r="D736" s="19"/>
      <c r="E736" s="19"/>
      <c r="F736" s="19"/>
      <c r="G736" s="19"/>
      <c r="H736" s="409"/>
      <c r="I736" s="19"/>
      <c r="J736" s="410"/>
      <c r="K736" s="410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</row>
    <row r="737">
      <c r="A737" s="19"/>
      <c r="B737" s="19"/>
      <c r="C737" s="19"/>
      <c r="D737" s="19"/>
      <c r="E737" s="19"/>
      <c r="F737" s="19"/>
      <c r="G737" s="19"/>
      <c r="H737" s="409"/>
      <c r="I737" s="19"/>
      <c r="J737" s="410"/>
      <c r="K737" s="410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</row>
    <row r="738">
      <c r="A738" s="19"/>
      <c r="B738" s="19"/>
      <c r="C738" s="19"/>
      <c r="D738" s="19"/>
      <c r="E738" s="19"/>
      <c r="F738" s="19"/>
      <c r="G738" s="19"/>
      <c r="H738" s="409"/>
      <c r="I738" s="19"/>
      <c r="J738" s="410"/>
      <c r="K738" s="410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</row>
    <row r="739">
      <c r="A739" s="19"/>
      <c r="B739" s="19"/>
      <c r="C739" s="19"/>
      <c r="D739" s="19"/>
      <c r="E739" s="19"/>
      <c r="F739" s="19"/>
      <c r="G739" s="19"/>
      <c r="H739" s="409"/>
      <c r="I739" s="19"/>
      <c r="J739" s="410"/>
      <c r="K739" s="410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</row>
    <row r="740">
      <c r="A740" s="19"/>
      <c r="B740" s="19"/>
      <c r="C740" s="19"/>
      <c r="D740" s="19"/>
      <c r="E740" s="19"/>
      <c r="F740" s="19"/>
      <c r="G740" s="19"/>
      <c r="H740" s="409"/>
      <c r="I740" s="19"/>
      <c r="J740" s="410"/>
      <c r="K740" s="410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</row>
    <row r="741">
      <c r="A741" s="19"/>
      <c r="B741" s="19"/>
      <c r="C741" s="19"/>
      <c r="D741" s="19"/>
      <c r="E741" s="19"/>
      <c r="F741" s="19"/>
      <c r="G741" s="19"/>
      <c r="H741" s="409"/>
      <c r="I741" s="19"/>
      <c r="J741" s="410"/>
      <c r="K741" s="410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</row>
    <row r="742">
      <c r="A742" s="19"/>
      <c r="B742" s="19"/>
      <c r="C742" s="19"/>
      <c r="D742" s="19"/>
      <c r="E742" s="19"/>
      <c r="F742" s="19"/>
      <c r="G742" s="19"/>
      <c r="H742" s="409"/>
      <c r="I742" s="19"/>
      <c r="J742" s="410"/>
      <c r="K742" s="410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</row>
    <row r="743">
      <c r="A743" s="19"/>
      <c r="B743" s="19"/>
      <c r="C743" s="19"/>
      <c r="D743" s="19"/>
      <c r="E743" s="19"/>
      <c r="F743" s="19"/>
      <c r="G743" s="19"/>
      <c r="H743" s="409"/>
      <c r="I743" s="19"/>
      <c r="J743" s="410"/>
      <c r="K743" s="410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</row>
    <row r="744">
      <c r="A744" s="19"/>
      <c r="B744" s="19"/>
      <c r="C744" s="19"/>
      <c r="D744" s="19"/>
      <c r="E744" s="19"/>
      <c r="F744" s="19"/>
      <c r="G744" s="19"/>
      <c r="H744" s="409"/>
      <c r="I744" s="19"/>
      <c r="J744" s="410"/>
      <c r="K744" s="410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</row>
    <row r="745">
      <c r="A745" s="19"/>
      <c r="B745" s="19"/>
      <c r="C745" s="19"/>
      <c r="D745" s="19"/>
      <c r="E745" s="19"/>
      <c r="F745" s="19"/>
      <c r="G745" s="19"/>
      <c r="H745" s="409"/>
      <c r="I745" s="19"/>
      <c r="J745" s="410"/>
      <c r="K745" s="410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</row>
    <row r="746">
      <c r="A746" s="19"/>
      <c r="B746" s="19"/>
      <c r="C746" s="19"/>
      <c r="D746" s="19"/>
      <c r="E746" s="19"/>
      <c r="F746" s="19"/>
      <c r="G746" s="19"/>
      <c r="H746" s="409"/>
      <c r="I746" s="19"/>
      <c r="J746" s="410"/>
      <c r="K746" s="410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</row>
    <row r="747">
      <c r="A747" s="19"/>
      <c r="B747" s="19"/>
      <c r="C747" s="19"/>
      <c r="D747" s="19"/>
      <c r="E747" s="19"/>
      <c r="F747" s="19"/>
      <c r="G747" s="19"/>
      <c r="H747" s="409"/>
      <c r="I747" s="19"/>
      <c r="J747" s="410"/>
      <c r="K747" s="410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</row>
    <row r="748">
      <c r="A748" s="19"/>
      <c r="B748" s="19"/>
      <c r="C748" s="19"/>
      <c r="D748" s="19"/>
      <c r="E748" s="19"/>
      <c r="F748" s="19"/>
      <c r="G748" s="19"/>
      <c r="H748" s="409"/>
      <c r="I748" s="19"/>
      <c r="J748" s="410"/>
      <c r="K748" s="410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</row>
    <row r="749">
      <c r="A749" s="19"/>
      <c r="B749" s="19"/>
      <c r="C749" s="19"/>
      <c r="D749" s="19"/>
      <c r="E749" s="19"/>
      <c r="F749" s="19"/>
      <c r="G749" s="19"/>
      <c r="H749" s="409"/>
      <c r="I749" s="19"/>
      <c r="J749" s="410"/>
      <c r="K749" s="410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</row>
    <row r="750">
      <c r="A750" s="19"/>
      <c r="B750" s="19"/>
      <c r="C750" s="19"/>
      <c r="D750" s="19"/>
      <c r="E750" s="19"/>
      <c r="F750" s="19"/>
      <c r="G750" s="19"/>
      <c r="H750" s="409"/>
      <c r="I750" s="19"/>
      <c r="J750" s="410"/>
      <c r="K750" s="410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</row>
    <row r="751">
      <c r="A751" s="19"/>
      <c r="B751" s="19"/>
      <c r="C751" s="19"/>
      <c r="D751" s="19"/>
      <c r="E751" s="19"/>
      <c r="F751" s="19"/>
      <c r="G751" s="19"/>
      <c r="H751" s="409"/>
      <c r="I751" s="19"/>
      <c r="J751" s="410"/>
      <c r="K751" s="410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</row>
    <row r="752">
      <c r="A752" s="19"/>
      <c r="B752" s="19"/>
      <c r="C752" s="19"/>
      <c r="D752" s="19"/>
      <c r="E752" s="19"/>
      <c r="F752" s="19"/>
      <c r="G752" s="19"/>
      <c r="H752" s="409"/>
      <c r="I752" s="19"/>
      <c r="J752" s="410"/>
      <c r="K752" s="410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</row>
    <row r="753">
      <c r="A753" s="19"/>
      <c r="B753" s="19"/>
      <c r="C753" s="19"/>
      <c r="D753" s="19"/>
      <c r="E753" s="19"/>
      <c r="F753" s="19"/>
      <c r="G753" s="19"/>
      <c r="H753" s="409"/>
      <c r="I753" s="19"/>
      <c r="J753" s="410"/>
      <c r="K753" s="410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</row>
    <row r="754">
      <c r="A754" s="19"/>
      <c r="B754" s="19"/>
      <c r="C754" s="19"/>
      <c r="D754" s="19"/>
      <c r="E754" s="19"/>
      <c r="F754" s="19"/>
      <c r="G754" s="19"/>
      <c r="H754" s="409"/>
      <c r="I754" s="19"/>
      <c r="J754" s="410"/>
      <c r="K754" s="410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</row>
    <row r="755">
      <c r="A755" s="19"/>
      <c r="B755" s="19"/>
      <c r="C755" s="19"/>
      <c r="D755" s="19"/>
      <c r="E755" s="19"/>
      <c r="F755" s="19"/>
      <c r="G755" s="19"/>
      <c r="H755" s="409"/>
      <c r="I755" s="19"/>
      <c r="J755" s="410"/>
      <c r="K755" s="410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</row>
    <row r="756">
      <c r="A756" s="19"/>
      <c r="B756" s="19"/>
      <c r="C756" s="19"/>
      <c r="D756" s="19"/>
      <c r="E756" s="19"/>
      <c r="F756" s="19"/>
      <c r="G756" s="19"/>
      <c r="H756" s="409"/>
      <c r="I756" s="19"/>
      <c r="J756" s="410"/>
      <c r="K756" s="410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</row>
    <row r="757">
      <c r="A757" s="19"/>
      <c r="B757" s="19"/>
      <c r="C757" s="19"/>
      <c r="D757" s="19"/>
      <c r="E757" s="19"/>
      <c r="F757" s="19"/>
      <c r="G757" s="19"/>
      <c r="H757" s="409"/>
      <c r="I757" s="19"/>
      <c r="J757" s="410"/>
      <c r="K757" s="410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</row>
    <row r="758">
      <c r="A758" s="19"/>
      <c r="B758" s="19"/>
      <c r="C758" s="19"/>
      <c r="D758" s="19"/>
      <c r="E758" s="19"/>
      <c r="F758" s="19"/>
      <c r="G758" s="19"/>
      <c r="H758" s="409"/>
      <c r="I758" s="19"/>
      <c r="J758" s="410"/>
      <c r="K758" s="410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</row>
    <row r="759">
      <c r="A759" s="19"/>
      <c r="B759" s="19"/>
      <c r="C759" s="19"/>
      <c r="D759" s="19"/>
      <c r="E759" s="19"/>
      <c r="F759" s="19"/>
      <c r="G759" s="19"/>
      <c r="H759" s="409"/>
      <c r="I759" s="19"/>
      <c r="J759" s="410"/>
      <c r="K759" s="410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</row>
    <row r="760">
      <c r="A760" s="19"/>
      <c r="B760" s="19"/>
      <c r="C760" s="19"/>
      <c r="D760" s="19"/>
      <c r="E760" s="19"/>
      <c r="F760" s="19"/>
      <c r="G760" s="19"/>
      <c r="H760" s="409"/>
      <c r="I760" s="19"/>
      <c r="J760" s="410"/>
      <c r="K760" s="410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</row>
    <row r="761">
      <c r="A761" s="19"/>
      <c r="B761" s="19"/>
      <c r="C761" s="19"/>
      <c r="D761" s="19"/>
      <c r="E761" s="19"/>
      <c r="F761" s="19"/>
      <c r="G761" s="19"/>
      <c r="H761" s="409"/>
      <c r="I761" s="19"/>
      <c r="J761" s="410"/>
      <c r="K761" s="410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</row>
    <row r="762">
      <c r="A762" s="19"/>
      <c r="B762" s="19"/>
      <c r="C762" s="19"/>
      <c r="D762" s="19"/>
      <c r="E762" s="19"/>
      <c r="F762" s="19"/>
      <c r="G762" s="19"/>
      <c r="H762" s="409"/>
      <c r="I762" s="19"/>
      <c r="J762" s="410"/>
      <c r="K762" s="410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</row>
    <row r="763">
      <c r="A763" s="19"/>
      <c r="B763" s="19"/>
      <c r="C763" s="19"/>
      <c r="D763" s="19"/>
      <c r="E763" s="19"/>
      <c r="F763" s="19"/>
      <c r="G763" s="19"/>
      <c r="H763" s="409"/>
      <c r="I763" s="19"/>
      <c r="J763" s="410"/>
      <c r="K763" s="410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</row>
    <row r="764">
      <c r="A764" s="19"/>
      <c r="B764" s="19"/>
      <c r="C764" s="19"/>
      <c r="D764" s="19"/>
      <c r="E764" s="19"/>
      <c r="F764" s="19"/>
      <c r="G764" s="19"/>
      <c r="H764" s="409"/>
      <c r="I764" s="19"/>
      <c r="J764" s="410"/>
      <c r="K764" s="410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</row>
    <row r="765">
      <c r="A765" s="19"/>
      <c r="B765" s="19"/>
      <c r="C765" s="19"/>
      <c r="D765" s="19"/>
      <c r="E765" s="19"/>
      <c r="F765" s="19"/>
      <c r="G765" s="19"/>
      <c r="H765" s="409"/>
      <c r="I765" s="19"/>
      <c r="J765" s="410"/>
      <c r="K765" s="410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</row>
    <row r="766">
      <c r="A766" s="19"/>
      <c r="B766" s="19"/>
      <c r="C766" s="19"/>
      <c r="D766" s="19"/>
      <c r="E766" s="19"/>
      <c r="F766" s="19"/>
      <c r="G766" s="19"/>
      <c r="H766" s="409"/>
      <c r="I766" s="19"/>
      <c r="J766" s="410"/>
      <c r="K766" s="410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</row>
    <row r="767">
      <c r="A767" s="19"/>
      <c r="B767" s="19"/>
      <c r="C767" s="19"/>
      <c r="D767" s="19"/>
      <c r="E767" s="19"/>
      <c r="F767" s="19"/>
      <c r="G767" s="19"/>
      <c r="H767" s="409"/>
      <c r="I767" s="19"/>
      <c r="J767" s="410"/>
      <c r="K767" s="410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</row>
    <row r="768">
      <c r="A768" s="19"/>
      <c r="B768" s="19"/>
      <c r="C768" s="19"/>
      <c r="D768" s="19"/>
      <c r="E768" s="19"/>
      <c r="F768" s="19"/>
      <c r="G768" s="19"/>
      <c r="H768" s="409"/>
      <c r="I768" s="19"/>
      <c r="J768" s="410"/>
      <c r="K768" s="410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</row>
    <row r="769">
      <c r="A769" s="19"/>
      <c r="B769" s="19"/>
      <c r="C769" s="19"/>
      <c r="D769" s="19"/>
      <c r="E769" s="19"/>
      <c r="F769" s="19"/>
      <c r="G769" s="19"/>
      <c r="H769" s="409"/>
      <c r="I769" s="19"/>
      <c r="J769" s="410"/>
      <c r="K769" s="410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</row>
    <row r="770">
      <c r="A770" s="19"/>
      <c r="B770" s="19"/>
      <c r="C770" s="19"/>
      <c r="D770" s="19"/>
      <c r="E770" s="19"/>
      <c r="F770" s="19"/>
      <c r="G770" s="19"/>
      <c r="H770" s="409"/>
      <c r="I770" s="19"/>
      <c r="J770" s="410"/>
      <c r="K770" s="410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</row>
    <row r="771">
      <c r="A771" s="19"/>
      <c r="B771" s="19"/>
      <c r="C771" s="19"/>
      <c r="D771" s="19"/>
      <c r="E771" s="19"/>
      <c r="F771" s="19"/>
      <c r="G771" s="19"/>
      <c r="H771" s="409"/>
      <c r="I771" s="19"/>
      <c r="J771" s="410"/>
      <c r="K771" s="410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</row>
    <row r="772">
      <c r="A772" s="19"/>
      <c r="B772" s="19"/>
      <c r="C772" s="19"/>
      <c r="D772" s="19"/>
      <c r="E772" s="19"/>
      <c r="F772" s="19"/>
      <c r="G772" s="19"/>
      <c r="H772" s="409"/>
      <c r="I772" s="19"/>
      <c r="J772" s="410"/>
      <c r="K772" s="410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</row>
    <row r="773">
      <c r="A773" s="19"/>
      <c r="B773" s="19"/>
      <c r="C773" s="19"/>
      <c r="D773" s="19"/>
      <c r="E773" s="19"/>
      <c r="F773" s="19"/>
      <c r="G773" s="19"/>
      <c r="H773" s="409"/>
      <c r="I773" s="19"/>
      <c r="J773" s="410"/>
      <c r="K773" s="410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</row>
    <row r="774">
      <c r="A774" s="19"/>
      <c r="B774" s="19"/>
      <c r="C774" s="19"/>
      <c r="D774" s="19"/>
      <c r="E774" s="19"/>
      <c r="F774" s="19"/>
      <c r="G774" s="19"/>
      <c r="H774" s="409"/>
      <c r="I774" s="19"/>
      <c r="J774" s="410"/>
      <c r="K774" s="410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</row>
    <row r="775">
      <c r="A775" s="19"/>
      <c r="B775" s="19"/>
      <c r="C775" s="19"/>
      <c r="D775" s="19"/>
      <c r="E775" s="19"/>
      <c r="F775" s="19"/>
      <c r="G775" s="19"/>
      <c r="H775" s="409"/>
      <c r="I775" s="19"/>
      <c r="J775" s="410"/>
      <c r="K775" s="410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</row>
    <row r="776">
      <c r="A776" s="19"/>
      <c r="B776" s="19"/>
      <c r="C776" s="19"/>
      <c r="D776" s="19"/>
      <c r="E776" s="19"/>
      <c r="F776" s="19"/>
      <c r="G776" s="19"/>
      <c r="H776" s="409"/>
      <c r="I776" s="19"/>
      <c r="J776" s="410"/>
      <c r="K776" s="410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</row>
    <row r="777">
      <c r="A777" s="19"/>
      <c r="B777" s="19"/>
      <c r="C777" s="19"/>
      <c r="D777" s="19"/>
      <c r="E777" s="19"/>
      <c r="F777" s="19"/>
      <c r="G777" s="19"/>
      <c r="H777" s="409"/>
      <c r="I777" s="19"/>
      <c r="J777" s="410"/>
      <c r="K777" s="410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</row>
    <row r="778">
      <c r="A778" s="19"/>
      <c r="B778" s="19"/>
      <c r="C778" s="19"/>
      <c r="D778" s="19"/>
      <c r="E778" s="19"/>
      <c r="F778" s="19"/>
      <c r="G778" s="19"/>
      <c r="H778" s="409"/>
      <c r="I778" s="19"/>
      <c r="J778" s="410"/>
      <c r="K778" s="410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</row>
    <row r="779">
      <c r="A779" s="19"/>
      <c r="B779" s="19"/>
      <c r="C779" s="19"/>
      <c r="D779" s="19"/>
      <c r="E779" s="19"/>
      <c r="F779" s="19"/>
      <c r="G779" s="19"/>
      <c r="H779" s="409"/>
      <c r="I779" s="19"/>
      <c r="J779" s="410"/>
      <c r="K779" s="410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</row>
    <row r="780">
      <c r="A780" s="19"/>
      <c r="B780" s="19"/>
      <c r="C780" s="19"/>
      <c r="D780" s="19"/>
      <c r="E780" s="19"/>
      <c r="F780" s="19"/>
      <c r="G780" s="19"/>
      <c r="H780" s="409"/>
      <c r="I780" s="19"/>
      <c r="J780" s="410"/>
      <c r="K780" s="410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</row>
    <row r="781">
      <c r="A781" s="19"/>
      <c r="B781" s="19"/>
      <c r="C781" s="19"/>
      <c r="D781" s="19"/>
      <c r="E781" s="19"/>
      <c r="F781" s="19"/>
      <c r="G781" s="19"/>
      <c r="H781" s="409"/>
      <c r="I781" s="19"/>
      <c r="J781" s="410"/>
      <c r="K781" s="410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</row>
    <row r="782">
      <c r="A782" s="19"/>
      <c r="B782" s="19"/>
      <c r="C782" s="19"/>
      <c r="D782" s="19"/>
      <c r="E782" s="19"/>
      <c r="F782" s="19"/>
      <c r="G782" s="19"/>
      <c r="H782" s="409"/>
      <c r="I782" s="19"/>
      <c r="J782" s="410"/>
      <c r="K782" s="410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</row>
    <row r="783">
      <c r="A783" s="19"/>
      <c r="B783" s="19"/>
      <c r="C783" s="19"/>
      <c r="D783" s="19"/>
      <c r="E783" s="19"/>
      <c r="F783" s="19"/>
      <c r="G783" s="19"/>
      <c r="H783" s="409"/>
      <c r="I783" s="19"/>
      <c r="J783" s="410"/>
      <c r="K783" s="410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</row>
    <row r="784">
      <c r="A784" s="19"/>
      <c r="B784" s="19"/>
      <c r="C784" s="19"/>
      <c r="D784" s="19"/>
      <c r="E784" s="19"/>
      <c r="F784" s="19"/>
      <c r="G784" s="19"/>
      <c r="H784" s="409"/>
      <c r="I784" s="19"/>
      <c r="J784" s="410"/>
      <c r="K784" s="410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</row>
    <row r="785">
      <c r="A785" s="19"/>
      <c r="B785" s="19"/>
      <c r="C785" s="19"/>
      <c r="D785" s="19"/>
      <c r="E785" s="19"/>
      <c r="F785" s="19"/>
      <c r="G785" s="19"/>
      <c r="H785" s="409"/>
      <c r="I785" s="19"/>
      <c r="J785" s="410"/>
      <c r="K785" s="410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</row>
    <row r="786">
      <c r="A786" s="19"/>
      <c r="B786" s="19"/>
      <c r="C786" s="19"/>
      <c r="D786" s="19"/>
      <c r="E786" s="19"/>
      <c r="F786" s="19"/>
      <c r="G786" s="19"/>
      <c r="H786" s="409"/>
      <c r="I786" s="19"/>
      <c r="J786" s="410"/>
      <c r="K786" s="410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</row>
    <row r="787">
      <c r="A787" s="19"/>
      <c r="B787" s="19"/>
      <c r="C787" s="19"/>
      <c r="D787" s="19"/>
      <c r="E787" s="19"/>
      <c r="F787" s="19"/>
      <c r="G787" s="19"/>
      <c r="H787" s="409"/>
      <c r="I787" s="19"/>
      <c r="J787" s="410"/>
      <c r="K787" s="410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</row>
    <row r="788">
      <c r="A788" s="19"/>
      <c r="B788" s="19"/>
      <c r="C788" s="19"/>
      <c r="D788" s="19"/>
      <c r="E788" s="19"/>
      <c r="F788" s="19"/>
      <c r="G788" s="19"/>
      <c r="H788" s="409"/>
      <c r="I788" s="19"/>
      <c r="J788" s="410"/>
      <c r="K788" s="410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</row>
    <row r="789">
      <c r="A789" s="19"/>
      <c r="B789" s="19"/>
      <c r="C789" s="19"/>
      <c r="D789" s="19"/>
      <c r="E789" s="19"/>
      <c r="F789" s="19"/>
      <c r="G789" s="19"/>
      <c r="H789" s="409"/>
      <c r="I789" s="19"/>
      <c r="J789" s="410"/>
      <c r="K789" s="410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</row>
    <row r="790">
      <c r="A790" s="19"/>
      <c r="B790" s="19"/>
      <c r="C790" s="19"/>
      <c r="D790" s="19"/>
      <c r="E790" s="19"/>
      <c r="F790" s="19"/>
      <c r="G790" s="19"/>
      <c r="H790" s="409"/>
      <c r="I790" s="19"/>
      <c r="J790" s="410"/>
      <c r="K790" s="410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</row>
    <row r="791">
      <c r="A791" s="19"/>
      <c r="B791" s="19"/>
      <c r="C791" s="19"/>
      <c r="D791" s="19"/>
      <c r="E791" s="19"/>
      <c r="F791" s="19"/>
      <c r="G791" s="19"/>
      <c r="H791" s="409"/>
      <c r="I791" s="19"/>
      <c r="J791" s="410"/>
      <c r="K791" s="410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</row>
    <row r="792">
      <c r="A792" s="19"/>
      <c r="B792" s="19"/>
      <c r="C792" s="19"/>
      <c r="D792" s="19"/>
      <c r="E792" s="19"/>
      <c r="F792" s="19"/>
      <c r="G792" s="19"/>
      <c r="H792" s="409"/>
      <c r="I792" s="19"/>
      <c r="J792" s="410"/>
      <c r="K792" s="410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</row>
    <row r="793">
      <c r="A793" s="19"/>
      <c r="B793" s="19"/>
      <c r="C793" s="19"/>
      <c r="D793" s="19"/>
      <c r="E793" s="19"/>
      <c r="F793" s="19"/>
      <c r="G793" s="19"/>
      <c r="H793" s="409"/>
      <c r="I793" s="19"/>
      <c r="J793" s="410"/>
      <c r="K793" s="410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</row>
    <row r="794">
      <c r="A794" s="19"/>
      <c r="B794" s="19"/>
      <c r="C794" s="19"/>
      <c r="D794" s="19"/>
      <c r="E794" s="19"/>
      <c r="F794" s="19"/>
      <c r="G794" s="19"/>
      <c r="H794" s="409"/>
      <c r="I794" s="19"/>
      <c r="J794" s="410"/>
      <c r="K794" s="410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</row>
    <row r="795">
      <c r="A795" s="19"/>
      <c r="B795" s="19"/>
      <c r="C795" s="19"/>
      <c r="D795" s="19"/>
      <c r="E795" s="19"/>
      <c r="F795" s="19"/>
      <c r="G795" s="19"/>
      <c r="H795" s="409"/>
      <c r="I795" s="19"/>
      <c r="J795" s="410"/>
      <c r="K795" s="410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</row>
    <row r="796">
      <c r="A796" s="19"/>
      <c r="B796" s="19"/>
      <c r="C796" s="19"/>
      <c r="D796" s="19"/>
      <c r="E796" s="19"/>
      <c r="F796" s="19"/>
      <c r="G796" s="19"/>
      <c r="H796" s="409"/>
      <c r="I796" s="19"/>
      <c r="J796" s="410"/>
      <c r="K796" s="410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</row>
    <row r="797">
      <c r="A797" s="19"/>
      <c r="B797" s="19"/>
      <c r="C797" s="19"/>
      <c r="D797" s="19"/>
      <c r="E797" s="19"/>
      <c r="F797" s="19"/>
      <c r="G797" s="19"/>
      <c r="H797" s="409"/>
      <c r="I797" s="19"/>
      <c r="J797" s="410"/>
      <c r="K797" s="410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</row>
    <row r="798">
      <c r="A798" s="19"/>
      <c r="B798" s="19"/>
      <c r="C798" s="19"/>
      <c r="D798" s="19"/>
      <c r="E798" s="19"/>
      <c r="F798" s="19"/>
      <c r="G798" s="19"/>
      <c r="H798" s="409"/>
      <c r="I798" s="19"/>
      <c r="J798" s="410"/>
      <c r="K798" s="410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</row>
    <row r="799">
      <c r="A799" s="19"/>
      <c r="B799" s="19"/>
      <c r="C799" s="19"/>
      <c r="D799" s="19"/>
      <c r="E799" s="19"/>
      <c r="F799" s="19"/>
      <c r="G799" s="19"/>
      <c r="H799" s="409"/>
      <c r="I799" s="19"/>
      <c r="J799" s="410"/>
      <c r="K799" s="410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</row>
    <row r="800">
      <c r="A800" s="19"/>
      <c r="B800" s="19"/>
      <c r="C800" s="19"/>
      <c r="D800" s="19"/>
      <c r="E800" s="19"/>
      <c r="F800" s="19"/>
      <c r="G800" s="19"/>
      <c r="H800" s="409"/>
      <c r="I800" s="19"/>
      <c r="J800" s="410"/>
      <c r="K800" s="410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</row>
    <row r="801">
      <c r="A801" s="19"/>
      <c r="B801" s="19"/>
      <c r="C801" s="19"/>
      <c r="D801" s="19"/>
      <c r="E801" s="19"/>
      <c r="F801" s="19"/>
      <c r="G801" s="19"/>
      <c r="H801" s="409"/>
      <c r="I801" s="19"/>
      <c r="J801" s="410"/>
      <c r="K801" s="410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</row>
    <row r="802">
      <c r="A802" s="19"/>
      <c r="B802" s="19"/>
      <c r="C802" s="19"/>
      <c r="D802" s="19"/>
      <c r="E802" s="19"/>
      <c r="F802" s="19"/>
      <c r="G802" s="19"/>
      <c r="H802" s="409"/>
      <c r="I802" s="19"/>
      <c r="J802" s="410"/>
      <c r="K802" s="410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</row>
    <row r="803">
      <c r="A803" s="19"/>
      <c r="B803" s="19"/>
      <c r="C803" s="19"/>
      <c r="D803" s="19"/>
      <c r="E803" s="19"/>
      <c r="F803" s="19"/>
      <c r="G803" s="19"/>
      <c r="H803" s="409"/>
      <c r="I803" s="19"/>
      <c r="J803" s="410"/>
      <c r="K803" s="410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</row>
    <row r="804">
      <c r="A804" s="19"/>
      <c r="B804" s="19"/>
      <c r="C804" s="19"/>
      <c r="D804" s="19"/>
      <c r="E804" s="19"/>
      <c r="F804" s="19"/>
      <c r="G804" s="19"/>
      <c r="H804" s="409"/>
      <c r="I804" s="19"/>
      <c r="J804" s="410"/>
      <c r="K804" s="410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</row>
    <row r="805">
      <c r="A805" s="19"/>
      <c r="B805" s="19"/>
      <c r="C805" s="19"/>
      <c r="D805" s="19"/>
      <c r="E805" s="19"/>
      <c r="F805" s="19"/>
      <c r="G805" s="19"/>
      <c r="H805" s="409"/>
      <c r="I805" s="19"/>
      <c r="J805" s="410"/>
      <c r="K805" s="410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</row>
    <row r="806">
      <c r="A806" s="19"/>
      <c r="B806" s="19"/>
      <c r="C806" s="19"/>
      <c r="D806" s="19"/>
      <c r="E806" s="19"/>
      <c r="F806" s="19"/>
      <c r="G806" s="19"/>
      <c r="H806" s="409"/>
      <c r="I806" s="19"/>
      <c r="J806" s="410"/>
      <c r="K806" s="410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</row>
    <row r="807">
      <c r="A807" s="19"/>
      <c r="B807" s="19"/>
      <c r="C807" s="19"/>
      <c r="D807" s="19"/>
      <c r="E807" s="19"/>
      <c r="F807" s="19"/>
      <c r="G807" s="19"/>
      <c r="H807" s="409"/>
      <c r="I807" s="19"/>
      <c r="J807" s="410"/>
      <c r="K807" s="410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</row>
    <row r="808">
      <c r="A808" s="19"/>
      <c r="B808" s="19"/>
      <c r="C808" s="19"/>
      <c r="D808" s="19"/>
      <c r="E808" s="19"/>
      <c r="F808" s="19"/>
      <c r="G808" s="19"/>
      <c r="H808" s="409"/>
      <c r="I808" s="19"/>
      <c r="J808" s="410"/>
      <c r="K808" s="410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</row>
    <row r="809">
      <c r="A809" s="19"/>
      <c r="B809" s="19"/>
      <c r="C809" s="19"/>
      <c r="D809" s="19"/>
      <c r="E809" s="19"/>
      <c r="F809" s="19"/>
      <c r="G809" s="19"/>
      <c r="H809" s="409"/>
      <c r="I809" s="19"/>
      <c r="J809" s="410"/>
      <c r="K809" s="410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</row>
    <row r="810">
      <c r="A810" s="19"/>
      <c r="B810" s="19"/>
      <c r="C810" s="19"/>
      <c r="D810" s="19"/>
      <c r="E810" s="19"/>
      <c r="F810" s="19"/>
      <c r="G810" s="19"/>
      <c r="H810" s="409"/>
      <c r="I810" s="19"/>
      <c r="J810" s="410"/>
      <c r="K810" s="410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</row>
    <row r="811">
      <c r="A811" s="19"/>
      <c r="B811" s="19"/>
      <c r="C811" s="19"/>
      <c r="D811" s="19"/>
      <c r="E811" s="19"/>
      <c r="F811" s="19"/>
      <c r="G811" s="19"/>
      <c r="H811" s="409"/>
      <c r="I811" s="19"/>
      <c r="J811" s="410"/>
      <c r="K811" s="410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</row>
    <row r="812">
      <c r="A812" s="19"/>
      <c r="B812" s="19"/>
      <c r="C812" s="19"/>
      <c r="D812" s="19"/>
      <c r="E812" s="19"/>
      <c r="F812" s="19"/>
      <c r="G812" s="19"/>
      <c r="H812" s="409"/>
      <c r="I812" s="19"/>
      <c r="J812" s="410"/>
      <c r="K812" s="410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</row>
    <row r="813">
      <c r="A813" s="19"/>
      <c r="B813" s="19"/>
      <c r="C813" s="19"/>
      <c r="D813" s="19"/>
      <c r="E813" s="19"/>
      <c r="F813" s="19"/>
      <c r="G813" s="19"/>
      <c r="H813" s="409"/>
      <c r="I813" s="19"/>
      <c r="J813" s="410"/>
      <c r="K813" s="410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</row>
    <row r="814">
      <c r="A814" s="19"/>
      <c r="B814" s="19"/>
      <c r="C814" s="19"/>
      <c r="D814" s="19"/>
      <c r="E814" s="19"/>
      <c r="F814" s="19"/>
      <c r="G814" s="19"/>
      <c r="H814" s="409"/>
      <c r="I814" s="19"/>
      <c r="J814" s="410"/>
      <c r="K814" s="410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</row>
    <row r="815">
      <c r="A815" s="19"/>
      <c r="B815" s="19"/>
      <c r="C815" s="19"/>
      <c r="D815" s="19"/>
      <c r="E815" s="19"/>
      <c r="F815" s="19"/>
      <c r="G815" s="19"/>
      <c r="H815" s="409"/>
      <c r="I815" s="19"/>
      <c r="J815" s="410"/>
      <c r="K815" s="410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</row>
    <row r="816">
      <c r="A816" s="19"/>
      <c r="B816" s="19"/>
      <c r="C816" s="19"/>
      <c r="D816" s="19"/>
      <c r="E816" s="19"/>
      <c r="F816" s="19"/>
      <c r="G816" s="19"/>
      <c r="H816" s="409"/>
      <c r="I816" s="19"/>
      <c r="J816" s="410"/>
      <c r="K816" s="410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</row>
    <row r="817">
      <c r="A817" s="19"/>
      <c r="B817" s="19"/>
      <c r="C817" s="19"/>
      <c r="D817" s="19"/>
      <c r="E817" s="19"/>
      <c r="F817" s="19"/>
      <c r="G817" s="19"/>
      <c r="H817" s="409"/>
      <c r="I817" s="19"/>
      <c r="J817" s="410"/>
      <c r="K817" s="410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</row>
    <row r="818">
      <c r="A818" s="19"/>
      <c r="B818" s="19"/>
      <c r="C818" s="19"/>
      <c r="D818" s="19"/>
      <c r="E818" s="19"/>
      <c r="F818" s="19"/>
      <c r="G818" s="19"/>
      <c r="H818" s="409"/>
      <c r="I818" s="19"/>
      <c r="J818" s="410"/>
      <c r="K818" s="410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</row>
    <row r="819">
      <c r="A819" s="19"/>
      <c r="B819" s="19"/>
      <c r="C819" s="19"/>
      <c r="D819" s="19"/>
      <c r="E819" s="19"/>
      <c r="F819" s="19"/>
      <c r="G819" s="19"/>
      <c r="H819" s="409"/>
      <c r="I819" s="19"/>
      <c r="J819" s="410"/>
      <c r="K819" s="410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</row>
    <row r="820">
      <c r="A820" s="19"/>
      <c r="B820" s="19"/>
      <c r="C820" s="19"/>
      <c r="D820" s="19"/>
      <c r="E820" s="19"/>
      <c r="F820" s="19"/>
      <c r="G820" s="19"/>
      <c r="H820" s="409"/>
      <c r="I820" s="19"/>
      <c r="J820" s="410"/>
      <c r="K820" s="410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</row>
    <row r="821">
      <c r="A821" s="19"/>
      <c r="B821" s="19"/>
      <c r="C821" s="19"/>
      <c r="D821" s="19"/>
      <c r="E821" s="19"/>
      <c r="F821" s="19"/>
      <c r="G821" s="19"/>
      <c r="H821" s="409"/>
      <c r="I821" s="19"/>
      <c r="J821" s="410"/>
      <c r="K821" s="410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</row>
    <row r="822">
      <c r="A822" s="19"/>
      <c r="B822" s="19"/>
      <c r="C822" s="19"/>
      <c r="D822" s="19"/>
      <c r="E822" s="19"/>
      <c r="F822" s="19"/>
      <c r="G822" s="19"/>
      <c r="H822" s="409"/>
      <c r="I822" s="19"/>
      <c r="J822" s="410"/>
      <c r="K822" s="410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</row>
    <row r="823">
      <c r="A823" s="19"/>
      <c r="B823" s="19"/>
      <c r="C823" s="19"/>
      <c r="D823" s="19"/>
      <c r="E823" s="19"/>
      <c r="F823" s="19"/>
      <c r="G823" s="19"/>
      <c r="H823" s="409"/>
      <c r="I823" s="19"/>
      <c r="J823" s="410"/>
      <c r="K823" s="410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</row>
    <row r="824">
      <c r="A824" s="19"/>
      <c r="B824" s="19"/>
      <c r="C824" s="19"/>
      <c r="D824" s="19"/>
      <c r="E824" s="19"/>
      <c r="F824" s="19"/>
      <c r="G824" s="19"/>
      <c r="H824" s="409"/>
      <c r="I824" s="19"/>
      <c r="J824" s="410"/>
      <c r="K824" s="410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</row>
    <row r="825">
      <c r="A825" s="19"/>
      <c r="B825" s="19"/>
      <c r="C825" s="19"/>
      <c r="D825" s="19"/>
      <c r="E825" s="19"/>
      <c r="F825" s="19"/>
      <c r="G825" s="19"/>
      <c r="H825" s="409"/>
      <c r="I825" s="19"/>
      <c r="J825" s="410"/>
      <c r="K825" s="410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</row>
    <row r="826">
      <c r="A826" s="19"/>
      <c r="B826" s="19"/>
      <c r="C826" s="19"/>
      <c r="D826" s="19"/>
      <c r="E826" s="19"/>
      <c r="F826" s="19"/>
      <c r="G826" s="19"/>
      <c r="H826" s="409"/>
      <c r="I826" s="19"/>
      <c r="J826" s="410"/>
      <c r="K826" s="410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</row>
    <row r="827">
      <c r="A827" s="19"/>
      <c r="B827" s="19"/>
      <c r="C827" s="19"/>
      <c r="D827" s="19"/>
      <c r="E827" s="19"/>
      <c r="F827" s="19"/>
      <c r="G827" s="19"/>
      <c r="H827" s="409"/>
      <c r="I827" s="19"/>
      <c r="J827" s="410"/>
      <c r="K827" s="410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</row>
    <row r="828">
      <c r="A828" s="19"/>
      <c r="B828" s="19"/>
      <c r="C828" s="19"/>
      <c r="D828" s="19"/>
      <c r="E828" s="19"/>
      <c r="F828" s="19"/>
      <c r="G828" s="19"/>
      <c r="H828" s="409"/>
      <c r="I828" s="19"/>
      <c r="J828" s="410"/>
      <c r="K828" s="410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</row>
    <row r="829">
      <c r="A829" s="19"/>
      <c r="B829" s="19"/>
      <c r="C829" s="19"/>
      <c r="D829" s="19"/>
      <c r="E829" s="19"/>
      <c r="F829" s="19"/>
      <c r="G829" s="19"/>
      <c r="H829" s="409"/>
      <c r="I829" s="19"/>
      <c r="J829" s="410"/>
      <c r="K829" s="410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</row>
    <row r="830">
      <c r="A830" s="19"/>
      <c r="B830" s="19"/>
      <c r="C830" s="19"/>
      <c r="D830" s="19"/>
      <c r="E830" s="19"/>
      <c r="F830" s="19"/>
      <c r="G830" s="19"/>
      <c r="H830" s="409"/>
      <c r="I830" s="19"/>
      <c r="J830" s="410"/>
      <c r="K830" s="410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</row>
    <row r="831">
      <c r="A831" s="19"/>
      <c r="B831" s="19"/>
      <c r="C831" s="19"/>
      <c r="D831" s="19"/>
      <c r="E831" s="19"/>
      <c r="F831" s="19"/>
      <c r="G831" s="19"/>
      <c r="H831" s="409"/>
      <c r="I831" s="19"/>
      <c r="J831" s="410"/>
      <c r="K831" s="410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</row>
    <row r="832">
      <c r="A832" s="19"/>
      <c r="B832" s="19"/>
      <c r="C832" s="19"/>
      <c r="D832" s="19"/>
      <c r="E832" s="19"/>
      <c r="F832" s="19"/>
      <c r="G832" s="19"/>
      <c r="H832" s="409"/>
      <c r="I832" s="19"/>
      <c r="J832" s="410"/>
      <c r="K832" s="410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</row>
    <row r="833">
      <c r="A833" s="19"/>
      <c r="B833" s="19"/>
      <c r="C833" s="19"/>
      <c r="D833" s="19"/>
      <c r="E833" s="19"/>
      <c r="F833" s="19"/>
      <c r="G833" s="19"/>
      <c r="H833" s="409"/>
      <c r="I833" s="19"/>
      <c r="J833" s="410"/>
      <c r="K833" s="410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</row>
    <row r="834">
      <c r="A834" s="19"/>
      <c r="B834" s="19"/>
      <c r="C834" s="19"/>
      <c r="D834" s="19"/>
      <c r="E834" s="19"/>
      <c r="F834" s="19"/>
      <c r="G834" s="19"/>
      <c r="H834" s="409"/>
      <c r="I834" s="19"/>
      <c r="J834" s="410"/>
      <c r="K834" s="410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</row>
    <row r="835">
      <c r="A835" s="19"/>
      <c r="B835" s="19"/>
      <c r="C835" s="19"/>
      <c r="D835" s="19"/>
      <c r="E835" s="19"/>
      <c r="F835" s="19"/>
      <c r="G835" s="19"/>
      <c r="H835" s="409"/>
      <c r="I835" s="19"/>
      <c r="J835" s="410"/>
      <c r="K835" s="410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</row>
    <row r="836">
      <c r="A836" s="19"/>
      <c r="B836" s="19"/>
      <c r="C836" s="19"/>
      <c r="D836" s="19"/>
      <c r="E836" s="19"/>
      <c r="F836" s="19"/>
      <c r="G836" s="19"/>
      <c r="H836" s="409"/>
      <c r="I836" s="19"/>
      <c r="J836" s="410"/>
      <c r="K836" s="410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</row>
    <row r="837">
      <c r="A837" s="19"/>
      <c r="B837" s="19"/>
      <c r="C837" s="19"/>
      <c r="D837" s="19"/>
      <c r="E837" s="19"/>
      <c r="F837" s="19"/>
      <c r="G837" s="19"/>
      <c r="H837" s="409"/>
      <c r="I837" s="19"/>
      <c r="J837" s="410"/>
      <c r="K837" s="410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</row>
    <row r="838">
      <c r="A838" s="19"/>
      <c r="B838" s="19"/>
      <c r="C838" s="19"/>
      <c r="D838" s="19"/>
      <c r="E838" s="19"/>
      <c r="F838" s="19"/>
      <c r="G838" s="19"/>
      <c r="H838" s="409"/>
      <c r="I838" s="19"/>
      <c r="J838" s="410"/>
      <c r="K838" s="410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</row>
    <row r="839">
      <c r="A839" s="19"/>
      <c r="B839" s="19"/>
      <c r="C839" s="19"/>
      <c r="D839" s="19"/>
      <c r="E839" s="19"/>
      <c r="F839" s="19"/>
      <c r="G839" s="19"/>
      <c r="H839" s="409"/>
      <c r="I839" s="19"/>
      <c r="J839" s="410"/>
      <c r="K839" s="410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</row>
    <row r="840">
      <c r="A840" s="19"/>
      <c r="B840" s="19"/>
      <c r="C840" s="19"/>
      <c r="D840" s="19"/>
      <c r="E840" s="19"/>
      <c r="F840" s="19"/>
      <c r="G840" s="19"/>
      <c r="H840" s="409"/>
      <c r="I840" s="19"/>
      <c r="J840" s="410"/>
      <c r="K840" s="410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</row>
    <row r="841">
      <c r="A841" s="19"/>
      <c r="B841" s="19"/>
      <c r="C841" s="19"/>
      <c r="D841" s="19"/>
      <c r="E841" s="19"/>
      <c r="F841" s="19"/>
      <c r="G841" s="19"/>
      <c r="H841" s="409"/>
      <c r="I841" s="19"/>
      <c r="J841" s="410"/>
      <c r="K841" s="410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</row>
    <row r="842">
      <c r="A842" s="19"/>
      <c r="B842" s="19"/>
      <c r="C842" s="19"/>
      <c r="D842" s="19"/>
      <c r="E842" s="19"/>
      <c r="F842" s="19"/>
      <c r="G842" s="19"/>
      <c r="H842" s="409"/>
      <c r="I842" s="19"/>
      <c r="J842" s="410"/>
      <c r="K842" s="410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</row>
    <row r="843">
      <c r="A843" s="19"/>
      <c r="B843" s="19"/>
      <c r="C843" s="19"/>
      <c r="D843" s="19"/>
      <c r="E843" s="19"/>
      <c r="F843" s="19"/>
      <c r="G843" s="19"/>
      <c r="H843" s="409"/>
      <c r="I843" s="19"/>
      <c r="J843" s="410"/>
      <c r="K843" s="410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</row>
    <row r="844">
      <c r="A844" s="19"/>
      <c r="B844" s="19"/>
      <c r="C844" s="19"/>
      <c r="D844" s="19"/>
      <c r="E844" s="19"/>
      <c r="F844" s="19"/>
      <c r="G844" s="19"/>
      <c r="H844" s="409"/>
      <c r="I844" s="19"/>
      <c r="J844" s="410"/>
      <c r="K844" s="410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</row>
    <row r="845">
      <c r="A845" s="19"/>
      <c r="B845" s="19"/>
      <c r="C845" s="19"/>
      <c r="D845" s="19"/>
      <c r="E845" s="19"/>
      <c r="F845" s="19"/>
      <c r="G845" s="19"/>
      <c r="H845" s="409"/>
      <c r="I845" s="19"/>
      <c r="J845" s="410"/>
      <c r="K845" s="410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</row>
    <row r="846">
      <c r="A846" s="19"/>
      <c r="B846" s="19"/>
      <c r="C846" s="19"/>
      <c r="D846" s="19"/>
      <c r="E846" s="19"/>
      <c r="F846" s="19"/>
      <c r="G846" s="19"/>
      <c r="H846" s="409"/>
      <c r="I846" s="19"/>
      <c r="J846" s="410"/>
      <c r="K846" s="410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</row>
    <row r="847">
      <c r="A847" s="19"/>
      <c r="B847" s="19"/>
      <c r="C847" s="19"/>
      <c r="D847" s="19"/>
      <c r="E847" s="19"/>
      <c r="F847" s="19"/>
      <c r="G847" s="19"/>
      <c r="H847" s="409"/>
      <c r="I847" s="19"/>
      <c r="J847" s="410"/>
      <c r="K847" s="410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</row>
    <row r="848">
      <c r="A848" s="19"/>
      <c r="B848" s="19"/>
      <c r="C848" s="19"/>
      <c r="D848" s="19"/>
      <c r="E848" s="19"/>
      <c r="F848" s="19"/>
      <c r="G848" s="19"/>
      <c r="H848" s="409"/>
      <c r="I848" s="19"/>
      <c r="J848" s="410"/>
      <c r="K848" s="410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</row>
    <row r="849">
      <c r="A849" s="19"/>
      <c r="B849" s="19"/>
      <c r="C849" s="19"/>
      <c r="D849" s="19"/>
      <c r="E849" s="19"/>
      <c r="F849" s="19"/>
      <c r="G849" s="19"/>
      <c r="H849" s="409"/>
      <c r="I849" s="19"/>
      <c r="J849" s="410"/>
      <c r="K849" s="410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</row>
    <row r="850">
      <c r="A850" s="19"/>
      <c r="B850" s="19"/>
      <c r="C850" s="19"/>
      <c r="D850" s="19"/>
      <c r="E850" s="19"/>
      <c r="F850" s="19"/>
      <c r="G850" s="19"/>
      <c r="H850" s="409"/>
      <c r="I850" s="19"/>
      <c r="J850" s="410"/>
      <c r="K850" s="410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</row>
    <row r="851">
      <c r="A851" s="19"/>
      <c r="B851" s="19"/>
      <c r="C851" s="19"/>
      <c r="D851" s="19"/>
      <c r="E851" s="19"/>
      <c r="F851" s="19"/>
      <c r="G851" s="19"/>
      <c r="H851" s="409"/>
      <c r="I851" s="19"/>
      <c r="J851" s="410"/>
      <c r="K851" s="410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</row>
    <row r="852">
      <c r="A852" s="19"/>
      <c r="B852" s="19"/>
      <c r="C852" s="19"/>
      <c r="D852" s="19"/>
      <c r="E852" s="19"/>
      <c r="F852" s="19"/>
      <c r="G852" s="19"/>
      <c r="H852" s="409"/>
      <c r="I852" s="19"/>
      <c r="J852" s="410"/>
      <c r="K852" s="410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</row>
    <row r="853">
      <c r="A853" s="19"/>
      <c r="B853" s="19"/>
      <c r="C853" s="19"/>
      <c r="D853" s="19"/>
      <c r="E853" s="19"/>
      <c r="F853" s="19"/>
      <c r="G853" s="19"/>
      <c r="H853" s="409"/>
      <c r="I853" s="19"/>
      <c r="J853" s="410"/>
      <c r="K853" s="410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</row>
    <row r="854">
      <c r="A854" s="19"/>
      <c r="B854" s="19"/>
      <c r="C854" s="19"/>
      <c r="D854" s="19"/>
      <c r="E854" s="19"/>
      <c r="F854" s="19"/>
      <c r="G854" s="19"/>
      <c r="H854" s="409"/>
      <c r="I854" s="19"/>
      <c r="J854" s="410"/>
      <c r="K854" s="410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</row>
    <row r="855">
      <c r="A855" s="19"/>
      <c r="B855" s="19"/>
      <c r="C855" s="19"/>
      <c r="D855" s="19"/>
      <c r="E855" s="19"/>
      <c r="F855" s="19"/>
      <c r="G855" s="19"/>
      <c r="H855" s="409"/>
      <c r="I855" s="19"/>
      <c r="J855" s="410"/>
      <c r="K855" s="410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</row>
    <row r="856">
      <c r="A856" s="19"/>
      <c r="B856" s="19"/>
      <c r="C856" s="19"/>
      <c r="D856" s="19"/>
      <c r="E856" s="19"/>
      <c r="F856" s="19"/>
      <c r="G856" s="19"/>
      <c r="H856" s="409"/>
      <c r="I856" s="19"/>
      <c r="J856" s="410"/>
      <c r="K856" s="410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</row>
    <row r="857">
      <c r="A857" s="19"/>
      <c r="B857" s="19"/>
      <c r="C857" s="19"/>
      <c r="D857" s="19"/>
      <c r="E857" s="19"/>
      <c r="F857" s="19"/>
      <c r="G857" s="19"/>
      <c r="H857" s="409"/>
      <c r="I857" s="19"/>
      <c r="J857" s="410"/>
      <c r="K857" s="410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</row>
    <row r="858">
      <c r="A858" s="19"/>
      <c r="B858" s="19"/>
      <c r="C858" s="19"/>
      <c r="D858" s="19"/>
      <c r="E858" s="19"/>
      <c r="F858" s="19"/>
      <c r="G858" s="19"/>
      <c r="H858" s="409"/>
      <c r="I858" s="19"/>
      <c r="J858" s="410"/>
      <c r="K858" s="410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</row>
    <row r="859">
      <c r="A859" s="19"/>
      <c r="B859" s="19"/>
      <c r="C859" s="19"/>
      <c r="D859" s="19"/>
      <c r="E859" s="19"/>
      <c r="F859" s="19"/>
      <c r="G859" s="19"/>
      <c r="H859" s="409"/>
      <c r="I859" s="19"/>
      <c r="J859" s="410"/>
      <c r="K859" s="410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</row>
    <row r="860">
      <c r="A860" s="19"/>
      <c r="B860" s="19"/>
      <c r="C860" s="19"/>
      <c r="D860" s="19"/>
      <c r="E860" s="19"/>
      <c r="F860" s="19"/>
      <c r="G860" s="19"/>
      <c r="H860" s="409"/>
      <c r="I860" s="19"/>
      <c r="J860" s="410"/>
      <c r="K860" s="410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</row>
    <row r="861">
      <c r="A861" s="19"/>
      <c r="B861" s="19"/>
      <c r="C861" s="19"/>
      <c r="D861" s="19"/>
      <c r="E861" s="19"/>
      <c r="F861" s="19"/>
      <c r="G861" s="19"/>
      <c r="H861" s="409"/>
      <c r="I861" s="19"/>
      <c r="J861" s="410"/>
      <c r="K861" s="410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</row>
    <row r="862">
      <c r="A862" s="19"/>
      <c r="B862" s="19"/>
      <c r="C862" s="19"/>
      <c r="D862" s="19"/>
      <c r="E862" s="19"/>
      <c r="F862" s="19"/>
      <c r="G862" s="19"/>
      <c r="H862" s="409"/>
      <c r="I862" s="19"/>
      <c r="J862" s="410"/>
      <c r="K862" s="410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</row>
    <row r="863">
      <c r="A863" s="19"/>
      <c r="B863" s="19"/>
      <c r="C863" s="19"/>
      <c r="D863" s="19"/>
      <c r="E863" s="19"/>
      <c r="F863" s="19"/>
      <c r="G863" s="19"/>
      <c r="H863" s="409"/>
      <c r="I863" s="19"/>
      <c r="J863" s="410"/>
      <c r="K863" s="410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</row>
    <row r="864">
      <c r="A864" s="19"/>
      <c r="B864" s="19"/>
      <c r="C864" s="19"/>
      <c r="D864" s="19"/>
      <c r="E864" s="19"/>
      <c r="F864" s="19"/>
      <c r="G864" s="19"/>
      <c r="H864" s="409"/>
      <c r="I864" s="19"/>
      <c r="J864" s="410"/>
      <c r="K864" s="410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</row>
    <row r="865">
      <c r="A865" s="19"/>
      <c r="B865" s="19"/>
      <c r="C865" s="19"/>
      <c r="D865" s="19"/>
      <c r="E865" s="19"/>
      <c r="F865" s="19"/>
      <c r="G865" s="19"/>
      <c r="H865" s="409"/>
      <c r="I865" s="19"/>
      <c r="J865" s="410"/>
      <c r="K865" s="410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</row>
    <row r="866">
      <c r="A866" s="19"/>
      <c r="B866" s="19"/>
      <c r="C866" s="19"/>
      <c r="D866" s="19"/>
      <c r="E866" s="19"/>
      <c r="F866" s="19"/>
      <c r="G866" s="19"/>
      <c r="H866" s="409"/>
      <c r="I866" s="19"/>
      <c r="J866" s="410"/>
      <c r="K866" s="410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</row>
    <row r="867">
      <c r="A867" s="19"/>
      <c r="B867" s="19"/>
      <c r="C867" s="19"/>
      <c r="D867" s="19"/>
      <c r="E867" s="19"/>
      <c r="F867" s="19"/>
      <c r="G867" s="19"/>
      <c r="H867" s="409"/>
      <c r="I867" s="19"/>
      <c r="J867" s="410"/>
      <c r="K867" s="410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</row>
    <row r="868">
      <c r="A868" s="19"/>
      <c r="B868" s="19"/>
      <c r="C868" s="19"/>
      <c r="D868" s="19"/>
      <c r="E868" s="19"/>
      <c r="F868" s="19"/>
      <c r="G868" s="19"/>
      <c r="H868" s="409"/>
      <c r="I868" s="19"/>
      <c r="J868" s="410"/>
      <c r="K868" s="410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</row>
    <row r="869">
      <c r="A869" s="19"/>
      <c r="B869" s="19"/>
      <c r="C869" s="19"/>
      <c r="D869" s="19"/>
      <c r="E869" s="19"/>
      <c r="F869" s="19"/>
      <c r="G869" s="19"/>
      <c r="H869" s="409"/>
      <c r="I869" s="19"/>
      <c r="J869" s="410"/>
      <c r="K869" s="410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</row>
    <row r="870">
      <c r="A870" s="19"/>
      <c r="B870" s="19"/>
      <c r="C870" s="19"/>
      <c r="D870" s="19"/>
      <c r="E870" s="19"/>
      <c r="F870" s="19"/>
      <c r="G870" s="19"/>
      <c r="H870" s="409"/>
      <c r="I870" s="19"/>
      <c r="J870" s="410"/>
      <c r="K870" s="410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</row>
    <row r="871">
      <c r="A871" s="19"/>
      <c r="B871" s="19"/>
      <c r="C871" s="19"/>
      <c r="D871" s="19"/>
      <c r="E871" s="19"/>
      <c r="F871" s="19"/>
      <c r="G871" s="19"/>
      <c r="H871" s="409"/>
      <c r="I871" s="19"/>
      <c r="J871" s="410"/>
      <c r="K871" s="410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</row>
    <row r="872">
      <c r="A872" s="19"/>
      <c r="B872" s="19"/>
      <c r="C872" s="19"/>
      <c r="D872" s="19"/>
      <c r="E872" s="19"/>
      <c r="F872" s="19"/>
      <c r="G872" s="19"/>
      <c r="H872" s="409"/>
      <c r="I872" s="19"/>
      <c r="J872" s="410"/>
      <c r="K872" s="410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</row>
    <row r="873">
      <c r="A873" s="19"/>
      <c r="B873" s="19"/>
      <c r="C873" s="19"/>
      <c r="D873" s="19"/>
      <c r="E873" s="19"/>
      <c r="F873" s="19"/>
      <c r="G873" s="19"/>
      <c r="H873" s="409"/>
      <c r="I873" s="19"/>
      <c r="J873" s="410"/>
      <c r="K873" s="410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</row>
    <row r="874">
      <c r="A874" s="19"/>
      <c r="B874" s="19"/>
      <c r="C874" s="19"/>
      <c r="D874" s="19"/>
      <c r="E874" s="19"/>
      <c r="F874" s="19"/>
      <c r="G874" s="19"/>
      <c r="H874" s="409"/>
      <c r="I874" s="19"/>
      <c r="J874" s="410"/>
      <c r="K874" s="410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</row>
    <row r="875">
      <c r="A875" s="19"/>
      <c r="B875" s="19"/>
      <c r="C875" s="19"/>
      <c r="D875" s="19"/>
      <c r="E875" s="19"/>
      <c r="F875" s="19"/>
      <c r="G875" s="19"/>
      <c r="H875" s="409"/>
      <c r="I875" s="19"/>
      <c r="J875" s="410"/>
      <c r="K875" s="410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</row>
    <row r="876">
      <c r="A876" s="19"/>
      <c r="B876" s="19"/>
      <c r="C876" s="19"/>
      <c r="D876" s="19"/>
      <c r="E876" s="19"/>
      <c r="F876" s="19"/>
      <c r="G876" s="19"/>
      <c r="H876" s="409"/>
      <c r="I876" s="19"/>
      <c r="J876" s="410"/>
      <c r="K876" s="410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</row>
    <row r="877">
      <c r="A877" s="19"/>
      <c r="B877" s="19"/>
      <c r="C877" s="19"/>
      <c r="D877" s="19"/>
      <c r="E877" s="19"/>
      <c r="F877" s="19"/>
      <c r="G877" s="19"/>
      <c r="H877" s="409"/>
      <c r="I877" s="19"/>
      <c r="J877" s="410"/>
      <c r="K877" s="410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</row>
    <row r="878">
      <c r="A878" s="19"/>
      <c r="B878" s="19"/>
      <c r="C878" s="19"/>
      <c r="D878" s="19"/>
      <c r="E878" s="19"/>
      <c r="F878" s="19"/>
      <c r="G878" s="19"/>
      <c r="H878" s="409"/>
      <c r="I878" s="19"/>
      <c r="J878" s="410"/>
      <c r="K878" s="410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</row>
    <row r="879">
      <c r="A879" s="19"/>
      <c r="B879" s="19"/>
      <c r="C879" s="19"/>
      <c r="D879" s="19"/>
      <c r="E879" s="19"/>
      <c r="F879" s="19"/>
      <c r="G879" s="19"/>
      <c r="H879" s="409"/>
      <c r="I879" s="19"/>
      <c r="J879" s="410"/>
      <c r="K879" s="410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</row>
    <row r="880">
      <c r="A880" s="19"/>
      <c r="B880" s="19"/>
      <c r="C880" s="19"/>
      <c r="D880" s="19"/>
      <c r="E880" s="19"/>
      <c r="F880" s="19"/>
      <c r="G880" s="19"/>
      <c r="H880" s="409"/>
      <c r="I880" s="19"/>
      <c r="J880" s="410"/>
      <c r="K880" s="410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</row>
    <row r="881">
      <c r="A881" s="19"/>
      <c r="B881" s="19"/>
      <c r="C881" s="19"/>
      <c r="D881" s="19"/>
      <c r="E881" s="19"/>
      <c r="F881" s="19"/>
      <c r="G881" s="19"/>
      <c r="H881" s="409"/>
      <c r="I881" s="19"/>
      <c r="J881" s="410"/>
      <c r="K881" s="410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</row>
    <row r="882">
      <c r="A882" s="19"/>
      <c r="B882" s="19"/>
      <c r="C882" s="19"/>
      <c r="D882" s="19"/>
      <c r="E882" s="19"/>
      <c r="F882" s="19"/>
      <c r="G882" s="19"/>
      <c r="H882" s="409"/>
      <c r="I882" s="19"/>
      <c r="J882" s="410"/>
      <c r="K882" s="410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</row>
    <row r="883">
      <c r="A883" s="19"/>
      <c r="B883" s="19"/>
      <c r="C883" s="19"/>
      <c r="D883" s="19"/>
      <c r="E883" s="19"/>
      <c r="F883" s="19"/>
      <c r="G883" s="19"/>
      <c r="H883" s="409"/>
      <c r="I883" s="19"/>
      <c r="J883" s="410"/>
      <c r="K883" s="410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</row>
    <row r="884">
      <c r="A884" s="19"/>
      <c r="B884" s="19"/>
      <c r="C884" s="19"/>
      <c r="D884" s="19"/>
      <c r="E884" s="19"/>
      <c r="F884" s="19"/>
      <c r="G884" s="19"/>
      <c r="H884" s="409"/>
      <c r="I884" s="19"/>
      <c r="J884" s="410"/>
      <c r="K884" s="410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</row>
    <row r="885">
      <c r="A885" s="19"/>
      <c r="B885" s="19"/>
      <c r="C885" s="19"/>
      <c r="D885" s="19"/>
      <c r="E885" s="19"/>
      <c r="F885" s="19"/>
      <c r="G885" s="19"/>
      <c r="H885" s="409"/>
      <c r="I885" s="19"/>
      <c r="J885" s="410"/>
      <c r="K885" s="410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</row>
    <row r="886">
      <c r="A886" s="19"/>
      <c r="B886" s="19"/>
      <c r="C886" s="19"/>
      <c r="D886" s="19"/>
      <c r="E886" s="19"/>
      <c r="F886" s="19"/>
      <c r="G886" s="19"/>
      <c r="H886" s="409"/>
      <c r="I886" s="19"/>
      <c r="J886" s="410"/>
      <c r="K886" s="410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</row>
    <row r="887">
      <c r="A887" s="19"/>
      <c r="B887" s="19"/>
      <c r="C887" s="19"/>
      <c r="D887" s="19"/>
      <c r="E887" s="19"/>
      <c r="F887" s="19"/>
      <c r="G887" s="19"/>
      <c r="H887" s="409"/>
      <c r="I887" s="19"/>
      <c r="J887" s="410"/>
      <c r="K887" s="410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</row>
    <row r="888">
      <c r="A888" s="19"/>
      <c r="B888" s="19"/>
      <c r="C888" s="19"/>
      <c r="D888" s="19"/>
      <c r="E888" s="19"/>
      <c r="F888" s="19"/>
      <c r="G888" s="19"/>
      <c r="H888" s="409"/>
      <c r="I888" s="19"/>
      <c r="J888" s="410"/>
      <c r="K888" s="410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</row>
    <row r="889">
      <c r="A889" s="19"/>
      <c r="B889" s="19"/>
      <c r="C889" s="19"/>
      <c r="D889" s="19"/>
      <c r="E889" s="19"/>
      <c r="F889" s="19"/>
      <c r="G889" s="19"/>
      <c r="H889" s="409"/>
      <c r="I889" s="19"/>
      <c r="J889" s="410"/>
      <c r="K889" s="410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</row>
    <row r="890">
      <c r="A890" s="19"/>
      <c r="B890" s="19"/>
      <c r="C890" s="19"/>
      <c r="D890" s="19"/>
      <c r="E890" s="19"/>
      <c r="F890" s="19"/>
      <c r="G890" s="19"/>
      <c r="H890" s="409"/>
      <c r="I890" s="19"/>
      <c r="J890" s="410"/>
      <c r="K890" s="410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</row>
    <row r="891">
      <c r="A891" s="19"/>
      <c r="B891" s="19"/>
      <c r="C891" s="19"/>
      <c r="D891" s="19"/>
      <c r="E891" s="19"/>
      <c r="F891" s="19"/>
      <c r="G891" s="19"/>
      <c r="H891" s="409"/>
      <c r="I891" s="19"/>
      <c r="J891" s="410"/>
      <c r="K891" s="410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</row>
    <row r="892">
      <c r="A892" s="19"/>
      <c r="B892" s="19"/>
      <c r="C892" s="19"/>
      <c r="D892" s="19"/>
      <c r="E892" s="19"/>
      <c r="F892" s="19"/>
      <c r="G892" s="19"/>
      <c r="H892" s="409"/>
      <c r="I892" s="19"/>
      <c r="J892" s="410"/>
      <c r="K892" s="410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</row>
    <row r="893">
      <c r="A893" s="19"/>
      <c r="B893" s="19"/>
      <c r="C893" s="19"/>
      <c r="D893" s="19"/>
      <c r="E893" s="19"/>
      <c r="F893" s="19"/>
      <c r="G893" s="19"/>
      <c r="H893" s="409"/>
      <c r="I893" s="19"/>
      <c r="J893" s="410"/>
      <c r="K893" s="410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</row>
    <row r="894">
      <c r="A894" s="19"/>
      <c r="B894" s="19"/>
      <c r="C894" s="19"/>
      <c r="D894" s="19"/>
      <c r="E894" s="19"/>
      <c r="F894" s="19"/>
      <c r="G894" s="19"/>
      <c r="H894" s="409"/>
      <c r="I894" s="19"/>
      <c r="J894" s="410"/>
      <c r="K894" s="410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</row>
    <row r="895">
      <c r="A895" s="19"/>
      <c r="B895" s="19"/>
      <c r="C895" s="19"/>
      <c r="D895" s="19"/>
      <c r="E895" s="19"/>
      <c r="F895" s="19"/>
      <c r="G895" s="19"/>
      <c r="H895" s="409"/>
      <c r="I895" s="19"/>
      <c r="J895" s="410"/>
      <c r="K895" s="410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</row>
    <row r="896">
      <c r="A896" s="19"/>
      <c r="B896" s="19"/>
      <c r="C896" s="19"/>
      <c r="D896" s="19"/>
      <c r="E896" s="19"/>
      <c r="F896" s="19"/>
      <c r="G896" s="19"/>
      <c r="H896" s="409"/>
      <c r="I896" s="19"/>
      <c r="J896" s="410"/>
      <c r="K896" s="410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</row>
    <row r="897">
      <c r="A897" s="19"/>
      <c r="B897" s="19"/>
      <c r="C897" s="19"/>
      <c r="D897" s="19"/>
      <c r="E897" s="19"/>
      <c r="F897" s="19"/>
      <c r="G897" s="19"/>
      <c r="H897" s="409"/>
      <c r="I897" s="19"/>
      <c r="J897" s="410"/>
      <c r="K897" s="410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</row>
    <row r="898">
      <c r="A898" s="19"/>
      <c r="B898" s="19"/>
      <c r="C898" s="19"/>
      <c r="D898" s="19"/>
      <c r="E898" s="19"/>
      <c r="F898" s="19"/>
      <c r="G898" s="19"/>
      <c r="H898" s="409"/>
      <c r="I898" s="19"/>
      <c r="J898" s="410"/>
      <c r="K898" s="410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</row>
    <row r="899">
      <c r="A899" s="19"/>
      <c r="B899" s="19"/>
      <c r="C899" s="19"/>
      <c r="D899" s="19"/>
      <c r="E899" s="19"/>
      <c r="F899" s="19"/>
      <c r="G899" s="19"/>
      <c r="H899" s="409"/>
      <c r="I899" s="19"/>
      <c r="J899" s="410"/>
      <c r="K899" s="410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</row>
    <row r="900">
      <c r="A900" s="19"/>
      <c r="B900" s="19"/>
      <c r="C900" s="19"/>
      <c r="D900" s="19"/>
      <c r="E900" s="19"/>
      <c r="F900" s="19"/>
      <c r="G900" s="19"/>
      <c r="H900" s="409"/>
      <c r="I900" s="19"/>
      <c r="J900" s="410"/>
      <c r="K900" s="410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</row>
    <row r="901">
      <c r="A901" s="19"/>
      <c r="B901" s="19"/>
      <c r="C901" s="19"/>
      <c r="D901" s="19"/>
      <c r="E901" s="19"/>
      <c r="F901" s="19"/>
      <c r="G901" s="19"/>
      <c r="H901" s="409"/>
      <c r="I901" s="19"/>
      <c r="J901" s="410"/>
      <c r="K901" s="410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</row>
    <row r="902">
      <c r="A902" s="19"/>
      <c r="B902" s="19"/>
      <c r="C902" s="19"/>
      <c r="D902" s="19"/>
      <c r="E902" s="19"/>
      <c r="F902" s="19"/>
      <c r="G902" s="19"/>
      <c r="H902" s="409"/>
      <c r="I902" s="19"/>
      <c r="J902" s="410"/>
      <c r="K902" s="410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</row>
    <row r="903">
      <c r="A903" s="19"/>
      <c r="B903" s="19"/>
      <c r="C903" s="19"/>
      <c r="D903" s="19"/>
      <c r="E903" s="19"/>
      <c r="F903" s="19"/>
      <c r="G903" s="19"/>
      <c r="H903" s="409"/>
      <c r="I903" s="19"/>
      <c r="J903" s="410"/>
      <c r="K903" s="410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</row>
    <row r="904">
      <c r="A904" s="19"/>
      <c r="B904" s="19"/>
      <c r="C904" s="19"/>
      <c r="D904" s="19"/>
      <c r="E904" s="19"/>
      <c r="F904" s="19"/>
      <c r="G904" s="19"/>
      <c r="H904" s="409"/>
      <c r="I904" s="19"/>
      <c r="J904" s="410"/>
      <c r="K904" s="410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</row>
    <row r="905">
      <c r="A905" s="19"/>
      <c r="B905" s="19"/>
      <c r="C905" s="19"/>
      <c r="D905" s="19"/>
      <c r="E905" s="19"/>
      <c r="F905" s="19"/>
      <c r="G905" s="19"/>
      <c r="H905" s="409"/>
      <c r="I905" s="19"/>
      <c r="J905" s="410"/>
      <c r="K905" s="410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</row>
    <row r="906">
      <c r="A906" s="19"/>
      <c r="B906" s="19"/>
      <c r="C906" s="19"/>
      <c r="D906" s="19"/>
      <c r="E906" s="19"/>
      <c r="F906" s="19"/>
      <c r="G906" s="19"/>
      <c r="H906" s="409"/>
      <c r="I906" s="19"/>
      <c r="J906" s="410"/>
      <c r="K906" s="410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</row>
    <row r="907">
      <c r="A907" s="19"/>
      <c r="B907" s="19"/>
      <c r="C907" s="19"/>
      <c r="D907" s="19"/>
      <c r="E907" s="19"/>
      <c r="F907" s="19"/>
      <c r="G907" s="19"/>
      <c r="H907" s="409"/>
      <c r="I907" s="19"/>
      <c r="J907" s="410"/>
      <c r="K907" s="410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</row>
    <row r="908">
      <c r="A908" s="19"/>
      <c r="B908" s="19"/>
      <c r="C908" s="19"/>
      <c r="D908" s="19"/>
      <c r="E908" s="19"/>
      <c r="F908" s="19"/>
      <c r="G908" s="19"/>
      <c r="H908" s="409"/>
      <c r="I908" s="19"/>
      <c r="J908" s="410"/>
      <c r="K908" s="410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</row>
    <row r="909">
      <c r="A909" s="19"/>
      <c r="B909" s="19"/>
      <c r="C909" s="19"/>
      <c r="D909" s="19"/>
      <c r="E909" s="19"/>
      <c r="F909" s="19"/>
      <c r="G909" s="19"/>
      <c r="H909" s="409"/>
      <c r="I909" s="19"/>
      <c r="J909" s="410"/>
      <c r="K909" s="410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</row>
    <row r="910">
      <c r="A910" s="19"/>
      <c r="B910" s="19"/>
      <c r="C910" s="19"/>
      <c r="D910" s="19"/>
      <c r="E910" s="19"/>
      <c r="F910" s="19"/>
      <c r="G910" s="19"/>
      <c r="H910" s="409"/>
      <c r="I910" s="19"/>
      <c r="J910" s="410"/>
      <c r="K910" s="410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</row>
    <row r="911">
      <c r="A911" s="19"/>
      <c r="B911" s="19"/>
      <c r="C911" s="19"/>
      <c r="D911" s="19"/>
      <c r="E911" s="19"/>
      <c r="F911" s="19"/>
      <c r="G911" s="19"/>
      <c r="H911" s="409"/>
      <c r="I911" s="19"/>
      <c r="J911" s="410"/>
      <c r="K911" s="410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</row>
    <row r="912">
      <c r="A912" s="19"/>
      <c r="B912" s="19"/>
      <c r="C912" s="19"/>
      <c r="D912" s="19"/>
      <c r="E912" s="19"/>
      <c r="F912" s="19"/>
      <c r="G912" s="19"/>
      <c r="H912" s="409"/>
      <c r="I912" s="19"/>
      <c r="J912" s="410"/>
      <c r="K912" s="410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</row>
    <row r="913">
      <c r="A913" s="19"/>
      <c r="B913" s="19"/>
      <c r="C913" s="19"/>
      <c r="D913" s="19"/>
      <c r="E913" s="19"/>
      <c r="F913" s="19"/>
      <c r="G913" s="19"/>
      <c r="H913" s="409"/>
      <c r="I913" s="19"/>
      <c r="J913" s="410"/>
      <c r="K913" s="410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</row>
    <row r="914">
      <c r="A914" s="19"/>
      <c r="B914" s="19"/>
      <c r="C914" s="19"/>
      <c r="D914" s="19"/>
      <c r="E914" s="19"/>
      <c r="F914" s="19"/>
      <c r="G914" s="19"/>
      <c r="H914" s="409"/>
      <c r="I914" s="19"/>
      <c r="J914" s="410"/>
      <c r="K914" s="410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</row>
    <row r="915">
      <c r="A915" s="19"/>
      <c r="B915" s="19"/>
      <c r="C915" s="19"/>
      <c r="D915" s="19"/>
      <c r="E915" s="19"/>
      <c r="F915" s="19"/>
      <c r="G915" s="19"/>
      <c r="H915" s="409"/>
      <c r="I915" s="19"/>
      <c r="J915" s="410"/>
      <c r="K915" s="410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</row>
    <row r="916">
      <c r="A916" s="19"/>
      <c r="B916" s="19"/>
      <c r="C916" s="19"/>
      <c r="D916" s="19"/>
      <c r="E916" s="19"/>
      <c r="F916" s="19"/>
      <c r="G916" s="19"/>
      <c r="H916" s="409"/>
      <c r="I916" s="19"/>
      <c r="J916" s="410"/>
      <c r="K916" s="410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</row>
    <row r="917">
      <c r="A917" s="19"/>
      <c r="B917" s="19"/>
      <c r="C917" s="19"/>
      <c r="D917" s="19"/>
      <c r="E917" s="19"/>
      <c r="F917" s="19"/>
      <c r="G917" s="19"/>
      <c r="H917" s="409"/>
      <c r="I917" s="19"/>
      <c r="J917" s="410"/>
      <c r="K917" s="410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</row>
    <row r="918">
      <c r="A918" s="19"/>
      <c r="B918" s="19"/>
      <c r="C918" s="19"/>
      <c r="D918" s="19"/>
      <c r="E918" s="19"/>
      <c r="F918" s="19"/>
      <c r="G918" s="19"/>
      <c r="H918" s="409"/>
      <c r="I918" s="19"/>
      <c r="J918" s="410"/>
      <c r="K918" s="410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</row>
    <row r="919">
      <c r="A919" s="19"/>
      <c r="B919" s="19"/>
      <c r="C919" s="19"/>
      <c r="D919" s="19"/>
      <c r="E919" s="19"/>
      <c r="F919" s="19"/>
      <c r="G919" s="19"/>
      <c r="H919" s="409"/>
      <c r="I919" s="19"/>
      <c r="J919" s="410"/>
      <c r="K919" s="410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</row>
    <row r="920">
      <c r="A920" s="19"/>
      <c r="B920" s="19"/>
      <c r="C920" s="19"/>
      <c r="D920" s="19"/>
      <c r="E920" s="19"/>
      <c r="F920" s="19"/>
      <c r="G920" s="19"/>
      <c r="H920" s="409"/>
      <c r="I920" s="19"/>
      <c r="J920" s="410"/>
      <c r="K920" s="410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</row>
    <row r="921">
      <c r="A921" s="19"/>
      <c r="B921" s="19"/>
      <c r="C921" s="19"/>
      <c r="D921" s="19"/>
      <c r="E921" s="19"/>
      <c r="F921" s="19"/>
      <c r="G921" s="19"/>
      <c r="H921" s="409"/>
      <c r="I921" s="19"/>
      <c r="J921" s="410"/>
      <c r="K921" s="410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</row>
    <row r="922">
      <c r="A922" s="19"/>
      <c r="B922" s="19"/>
      <c r="C922" s="19"/>
      <c r="D922" s="19"/>
      <c r="E922" s="19"/>
      <c r="F922" s="19"/>
      <c r="G922" s="19"/>
      <c r="H922" s="409"/>
      <c r="I922" s="19"/>
      <c r="J922" s="410"/>
      <c r="K922" s="410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</row>
    <row r="923">
      <c r="A923" s="19"/>
      <c r="B923" s="19"/>
      <c r="C923" s="19"/>
      <c r="D923" s="19"/>
      <c r="E923" s="19"/>
      <c r="F923" s="19"/>
      <c r="G923" s="19"/>
      <c r="H923" s="409"/>
      <c r="I923" s="19"/>
      <c r="J923" s="410"/>
      <c r="K923" s="410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</row>
    <row r="924">
      <c r="A924" s="19"/>
      <c r="B924" s="19"/>
      <c r="C924" s="19"/>
      <c r="D924" s="19"/>
      <c r="E924" s="19"/>
      <c r="F924" s="19"/>
      <c r="G924" s="19"/>
      <c r="H924" s="409"/>
      <c r="I924" s="19"/>
      <c r="J924" s="410"/>
      <c r="K924" s="410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</row>
    <row r="925">
      <c r="A925" s="19"/>
      <c r="B925" s="19"/>
      <c r="C925" s="19"/>
      <c r="D925" s="19"/>
      <c r="E925" s="19"/>
      <c r="F925" s="19"/>
      <c r="G925" s="19"/>
      <c r="H925" s="409"/>
      <c r="I925" s="19"/>
      <c r="J925" s="410"/>
      <c r="K925" s="410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</row>
    <row r="926">
      <c r="A926" s="19"/>
      <c r="B926" s="19"/>
      <c r="C926" s="19"/>
      <c r="D926" s="19"/>
      <c r="E926" s="19"/>
      <c r="F926" s="19"/>
      <c r="G926" s="19"/>
      <c r="H926" s="409"/>
      <c r="I926" s="19"/>
      <c r="J926" s="410"/>
      <c r="K926" s="410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</row>
    <row r="927">
      <c r="A927" s="19"/>
      <c r="B927" s="19"/>
      <c r="C927" s="19"/>
      <c r="D927" s="19"/>
      <c r="E927" s="19"/>
      <c r="F927" s="19"/>
      <c r="G927" s="19"/>
      <c r="H927" s="409"/>
      <c r="I927" s="19"/>
      <c r="J927" s="410"/>
      <c r="K927" s="410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</row>
    <row r="928">
      <c r="A928" s="19"/>
      <c r="B928" s="19"/>
      <c r="C928" s="19"/>
      <c r="D928" s="19"/>
      <c r="E928" s="19"/>
      <c r="F928" s="19"/>
      <c r="G928" s="19"/>
      <c r="H928" s="409"/>
      <c r="I928" s="19"/>
      <c r="J928" s="410"/>
      <c r="K928" s="410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</row>
    <row r="929">
      <c r="A929" s="19"/>
      <c r="B929" s="19"/>
      <c r="C929" s="19"/>
      <c r="D929" s="19"/>
      <c r="E929" s="19"/>
      <c r="F929" s="19"/>
      <c r="G929" s="19"/>
      <c r="H929" s="409"/>
      <c r="I929" s="19"/>
      <c r="J929" s="410"/>
      <c r="K929" s="410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</row>
    <row r="930">
      <c r="A930" s="19"/>
      <c r="B930" s="19"/>
      <c r="C930" s="19"/>
      <c r="D930" s="19"/>
      <c r="E930" s="19"/>
      <c r="F930" s="19"/>
      <c r="G930" s="19"/>
      <c r="H930" s="409"/>
      <c r="I930" s="19"/>
      <c r="J930" s="410"/>
      <c r="K930" s="410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</row>
    <row r="931">
      <c r="A931" s="19"/>
      <c r="B931" s="19"/>
      <c r="C931" s="19"/>
      <c r="D931" s="19"/>
      <c r="E931" s="19"/>
      <c r="F931" s="19"/>
      <c r="G931" s="19"/>
      <c r="H931" s="409"/>
      <c r="I931" s="19"/>
      <c r="J931" s="410"/>
      <c r="K931" s="410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</row>
    <row r="932">
      <c r="A932" s="19"/>
      <c r="B932" s="19"/>
      <c r="C932" s="19"/>
      <c r="D932" s="19"/>
      <c r="E932" s="19"/>
      <c r="F932" s="19"/>
      <c r="G932" s="19"/>
      <c r="H932" s="409"/>
      <c r="I932" s="19"/>
      <c r="J932" s="410"/>
      <c r="K932" s="410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</row>
    <row r="933">
      <c r="A933" s="19"/>
      <c r="B933" s="19"/>
      <c r="C933" s="19"/>
      <c r="D933" s="19"/>
      <c r="E933" s="19"/>
      <c r="F933" s="19"/>
      <c r="G933" s="19"/>
      <c r="H933" s="409"/>
      <c r="I933" s="19"/>
      <c r="J933" s="410"/>
      <c r="K933" s="410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</row>
    <row r="934">
      <c r="A934" s="19"/>
      <c r="B934" s="19"/>
      <c r="C934" s="19"/>
      <c r="D934" s="19"/>
      <c r="E934" s="19"/>
      <c r="F934" s="19"/>
      <c r="G934" s="19"/>
      <c r="H934" s="409"/>
      <c r="I934" s="19"/>
      <c r="J934" s="410"/>
      <c r="K934" s="410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</row>
    <row r="935">
      <c r="A935" s="19"/>
      <c r="B935" s="19"/>
      <c r="C935" s="19"/>
      <c r="D935" s="19"/>
      <c r="E935" s="19"/>
      <c r="F935" s="19"/>
      <c r="G935" s="19"/>
      <c r="H935" s="409"/>
      <c r="I935" s="19"/>
      <c r="J935" s="410"/>
      <c r="K935" s="410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</row>
    <row r="936">
      <c r="A936" s="19"/>
      <c r="B936" s="19"/>
      <c r="C936" s="19"/>
      <c r="D936" s="19"/>
      <c r="E936" s="19"/>
      <c r="F936" s="19"/>
      <c r="G936" s="19"/>
      <c r="H936" s="409"/>
      <c r="I936" s="19"/>
      <c r="J936" s="410"/>
      <c r="K936" s="410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</row>
    <row r="937">
      <c r="A937" s="19"/>
      <c r="B937" s="19"/>
      <c r="C937" s="19"/>
      <c r="D937" s="19"/>
      <c r="E937" s="19"/>
      <c r="F937" s="19"/>
      <c r="G937" s="19"/>
      <c r="H937" s="409"/>
      <c r="I937" s="19"/>
      <c r="J937" s="410"/>
      <c r="K937" s="410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</row>
    <row r="938">
      <c r="A938" s="19"/>
      <c r="B938" s="19"/>
      <c r="C938" s="19"/>
      <c r="D938" s="19"/>
      <c r="E938" s="19"/>
      <c r="F938" s="19"/>
      <c r="G938" s="19"/>
      <c r="H938" s="409"/>
      <c r="I938" s="19"/>
      <c r="J938" s="410"/>
      <c r="K938" s="410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</row>
    <row r="939">
      <c r="A939" s="19"/>
      <c r="B939" s="19"/>
      <c r="C939" s="19"/>
      <c r="D939" s="19"/>
      <c r="E939" s="19"/>
      <c r="F939" s="19"/>
      <c r="G939" s="19"/>
      <c r="H939" s="409"/>
      <c r="I939" s="19"/>
      <c r="J939" s="410"/>
      <c r="K939" s="410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</row>
    <row r="940">
      <c r="A940" s="19"/>
      <c r="B940" s="19"/>
      <c r="C940" s="19"/>
      <c r="D940" s="19"/>
      <c r="E940" s="19"/>
      <c r="F940" s="19"/>
      <c r="G940" s="19"/>
      <c r="H940" s="409"/>
      <c r="I940" s="19"/>
      <c r="J940" s="410"/>
      <c r="K940" s="410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</row>
    <row r="941">
      <c r="A941" s="19"/>
      <c r="B941" s="19"/>
      <c r="C941" s="19"/>
      <c r="D941" s="19"/>
      <c r="E941" s="19"/>
      <c r="F941" s="19"/>
      <c r="G941" s="19"/>
      <c r="H941" s="409"/>
      <c r="I941" s="19"/>
      <c r="J941" s="410"/>
      <c r="K941" s="410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</row>
    <row r="942">
      <c r="A942" s="19"/>
      <c r="B942" s="19"/>
      <c r="C942" s="19"/>
      <c r="D942" s="19"/>
      <c r="E942" s="19"/>
      <c r="F942" s="19"/>
      <c r="G942" s="19"/>
      <c r="H942" s="409"/>
      <c r="I942" s="19"/>
      <c r="J942" s="410"/>
      <c r="K942" s="410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</row>
    <row r="943">
      <c r="A943" s="19"/>
      <c r="B943" s="19"/>
      <c r="C943" s="19"/>
      <c r="D943" s="19"/>
      <c r="E943" s="19"/>
      <c r="F943" s="19"/>
      <c r="G943" s="19"/>
      <c r="H943" s="409"/>
      <c r="I943" s="19"/>
      <c r="J943" s="410"/>
      <c r="K943" s="410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</row>
    <row r="944">
      <c r="A944" s="19"/>
      <c r="B944" s="19"/>
      <c r="C944" s="19"/>
      <c r="D944" s="19"/>
      <c r="E944" s="19"/>
      <c r="F944" s="19"/>
      <c r="G944" s="19"/>
      <c r="H944" s="409"/>
      <c r="I944" s="19"/>
      <c r="J944" s="410"/>
      <c r="K944" s="410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</row>
    <row r="945">
      <c r="A945" s="19"/>
      <c r="B945" s="19"/>
      <c r="C945" s="19"/>
      <c r="D945" s="19"/>
      <c r="E945" s="19"/>
      <c r="F945" s="19"/>
      <c r="G945" s="19"/>
      <c r="H945" s="409"/>
      <c r="I945" s="19"/>
      <c r="J945" s="410"/>
      <c r="K945" s="410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</row>
    <row r="946">
      <c r="A946" s="19"/>
      <c r="B946" s="19"/>
      <c r="C946" s="19"/>
      <c r="D946" s="19"/>
      <c r="E946" s="19"/>
      <c r="F946" s="19"/>
      <c r="G946" s="19"/>
      <c r="H946" s="409"/>
      <c r="I946" s="19"/>
      <c r="J946" s="410"/>
      <c r="K946" s="410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</row>
    <row r="947">
      <c r="A947" s="19"/>
      <c r="B947" s="19"/>
      <c r="C947" s="19"/>
      <c r="D947" s="19"/>
      <c r="E947" s="19"/>
      <c r="F947" s="19"/>
      <c r="G947" s="19"/>
      <c r="H947" s="409"/>
      <c r="I947" s="19"/>
      <c r="J947" s="410"/>
      <c r="K947" s="410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</row>
    <row r="948">
      <c r="A948" s="19"/>
      <c r="B948" s="19"/>
      <c r="C948" s="19"/>
      <c r="D948" s="19"/>
      <c r="E948" s="19"/>
      <c r="F948" s="19"/>
      <c r="G948" s="19"/>
      <c r="H948" s="409"/>
      <c r="I948" s="19"/>
      <c r="J948" s="410"/>
      <c r="K948" s="410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</row>
    <row r="949">
      <c r="A949" s="19"/>
      <c r="B949" s="19"/>
      <c r="C949" s="19"/>
      <c r="D949" s="19"/>
      <c r="E949" s="19"/>
      <c r="F949" s="19"/>
      <c r="G949" s="19"/>
      <c r="H949" s="409"/>
      <c r="I949" s="19"/>
      <c r="J949" s="410"/>
      <c r="K949" s="410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</row>
    <row r="950">
      <c r="A950" s="19"/>
      <c r="B950" s="19"/>
      <c r="C950" s="19"/>
      <c r="D950" s="19"/>
      <c r="E950" s="19"/>
      <c r="F950" s="19"/>
      <c r="G950" s="19"/>
      <c r="H950" s="409"/>
      <c r="I950" s="19"/>
      <c r="J950" s="410"/>
      <c r="K950" s="410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</row>
    <row r="951">
      <c r="A951" s="19"/>
      <c r="B951" s="19"/>
      <c r="C951" s="19"/>
      <c r="D951" s="19"/>
      <c r="E951" s="19"/>
      <c r="F951" s="19"/>
      <c r="G951" s="19"/>
      <c r="H951" s="409"/>
      <c r="I951" s="19"/>
      <c r="J951" s="410"/>
      <c r="K951" s="410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</row>
    <row r="952">
      <c r="A952" s="19"/>
      <c r="B952" s="19"/>
      <c r="C952" s="19"/>
      <c r="D952" s="19"/>
      <c r="E952" s="19"/>
      <c r="F952" s="19"/>
      <c r="G952" s="19"/>
      <c r="H952" s="409"/>
      <c r="I952" s="19"/>
      <c r="J952" s="410"/>
      <c r="K952" s="410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</row>
    <row r="953">
      <c r="A953" s="19"/>
      <c r="B953" s="19"/>
      <c r="C953" s="19"/>
      <c r="D953" s="19"/>
      <c r="E953" s="19"/>
      <c r="F953" s="19"/>
      <c r="G953" s="19"/>
      <c r="H953" s="409"/>
      <c r="I953" s="19"/>
      <c r="J953" s="410"/>
      <c r="K953" s="410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</row>
    <row r="954">
      <c r="A954" s="19"/>
      <c r="B954" s="19"/>
      <c r="C954" s="19"/>
      <c r="D954" s="19"/>
      <c r="E954" s="19"/>
      <c r="F954" s="19"/>
      <c r="G954" s="19"/>
      <c r="H954" s="409"/>
      <c r="I954" s="19"/>
      <c r="J954" s="410"/>
      <c r="K954" s="410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</row>
    <row r="955">
      <c r="A955" s="19"/>
      <c r="B955" s="19"/>
      <c r="C955" s="19"/>
      <c r="D955" s="19"/>
      <c r="E955" s="19"/>
      <c r="F955" s="19"/>
      <c r="G955" s="19"/>
      <c r="H955" s="409"/>
      <c r="I955" s="19"/>
      <c r="J955" s="410"/>
      <c r="K955" s="410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</row>
    <row r="956">
      <c r="A956" s="19"/>
      <c r="B956" s="19"/>
      <c r="C956" s="19"/>
      <c r="D956" s="19"/>
      <c r="E956" s="19"/>
      <c r="F956" s="19"/>
      <c r="G956" s="19"/>
      <c r="H956" s="409"/>
      <c r="I956" s="19"/>
      <c r="J956" s="410"/>
      <c r="K956" s="410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</row>
    <row r="957">
      <c r="A957" s="19"/>
      <c r="B957" s="19"/>
      <c r="C957" s="19"/>
      <c r="D957" s="19"/>
      <c r="E957" s="19"/>
      <c r="F957" s="19"/>
      <c r="G957" s="19"/>
      <c r="H957" s="409"/>
      <c r="I957" s="19"/>
      <c r="J957" s="410"/>
      <c r="K957" s="410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</row>
    <row r="958">
      <c r="A958" s="19"/>
      <c r="B958" s="19"/>
      <c r="C958" s="19"/>
      <c r="D958" s="19"/>
      <c r="E958" s="19"/>
      <c r="F958" s="19"/>
      <c r="G958" s="19"/>
      <c r="H958" s="409"/>
      <c r="I958" s="19"/>
      <c r="J958" s="410"/>
      <c r="K958" s="410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</row>
    <row r="959">
      <c r="A959" s="19"/>
      <c r="B959" s="19"/>
      <c r="C959" s="19"/>
      <c r="D959" s="19"/>
      <c r="E959" s="19"/>
      <c r="F959" s="19"/>
      <c r="G959" s="19"/>
      <c r="H959" s="409"/>
      <c r="I959" s="19"/>
      <c r="J959" s="410"/>
      <c r="K959" s="410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</row>
    <row r="960">
      <c r="A960" s="19"/>
      <c r="B960" s="19"/>
      <c r="C960" s="19"/>
      <c r="D960" s="19"/>
      <c r="E960" s="19"/>
      <c r="F960" s="19"/>
      <c r="G960" s="19"/>
      <c r="H960" s="409"/>
      <c r="I960" s="19"/>
      <c r="J960" s="410"/>
      <c r="K960" s="410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</row>
    <row r="961">
      <c r="A961" s="19"/>
      <c r="B961" s="19"/>
      <c r="C961" s="19"/>
      <c r="D961" s="19"/>
      <c r="E961" s="19"/>
      <c r="F961" s="19"/>
      <c r="G961" s="19"/>
      <c r="H961" s="409"/>
      <c r="I961" s="19"/>
      <c r="J961" s="410"/>
      <c r="K961" s="410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</row>
    <row r="962">
      <c r="A962" s="19"/>
      <c r="B962" s="19"/>
      <c r="C962" s="19"/>
      <c r="D962" s="19"/>
      <c r="E962" s="19"/>
      <c r="F962" s="19"/>
      <c r="G962" s="19"/>
      <c r="H962" s="409"/>
      <c r="I962" s="19"/>
      <c r="J962" s="410"/>
      <c r="K962" s="410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</row>
    <row r="963">
      <c r="A963" s="19"/>
      <c r="B963" s="19"/>
      <c r="C963" s="19"/>
      <c r="D963" s="19"/>
      <c r="E963" s="19"/>
      <c r="F963" s="19"/>
      <c r="G963" s="19"/>
      <c r="H963" s="409"/>
      <c r="I963" s="19"/>
      <c r="J963" s="410"/>
      <c r="K963" s="410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</row>
    <row r="964">
      <c r="A964" s="19"/>
      <c r="B964" s="19"/>
      <c r="C964" s="19"/>
      <c r="D964" s="19"/>
      <c r="E964" s="19"/>
      <c r="F964" s="19"/>
      <c r="G964" s="19"/>
      <c r="H964" s="409"/>
      <c r="I964" s="19"/>
      <c r="J964" s="410"/>
      <c r="K964" s="410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</row>
    <row r="965">
      <c r="A965" s="19"/>
      <c r="B965" s="19"/>
      <c r="C965" s="19"/>
      <c r="D965" s="19"/>
      <c r="E965" s="19"/>
      <c r="F965" s="19"/>
      <c r="G965" s="19"/>
      <c r="H965" s="409"/>
      <c r="I965" s="19"/>
      <c r="J965" s="410"/>
      <c r="K965" s="410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</row>
    <row r="966">
      <c r="A966" s="19"/>
      <c r="B966" s="19"/>
      <c r="C966" s="19"/>
      <c r="D966" s="19"/>
      <c r="E966" s="19"/>
      <c r="F966" s="19"/>
      <c r="G966" s="19"/>
      <c r="H966" s="409"/>
      <c r="I966" s="19"/>
      <c r="J966" s="410"/>
      <c r="K966" s="410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</row>
    <row r="967">
      <c r="A967" s="19"/>
      <c r="B967" s="19"/>
      <c r="C967" s="19"/>
      <c r="D967" s="19"/>
      <c r="E967" s="19"/>
      <c r="F967" s="19"/>
      <c r="G967" s="19"/>
      <c r="H967" s="409"/>
      <c r="I967" s="19"/>
      <c r="J967" s="410"/>
      <c r="K967" s="410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</row>
    <row r="968">
      <c r="A968" s="19"/>
      <c r="B968" s="19"/>
      <c r="C968" s="19"/>
      <c r="D968" s="19"/>
      <c r="E968" s="19"/>
      <c r="F968" s="19"/>
      <c r="G968" s="19"/>
      <c r="H968" s="409"/>
      <c r="I968" s="19"/>
      <c r="J968" s="410"/>
      <c r="K968" s="410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</row>
    <row r="969">
      <c r="A969" s="19"/>
      <c r="B969" s="19"/>
      <c r="C969" s="19"/>
      <c r="D969" s="19"/>
      <c r="E969" s="19"/>
      <c r="F969" s="19"/>
      <c r="G969" s="19"/>
      <c r="H969" s="409"/>
      <c r="I969" s="19"/>
      <c r="J969" s="410"/>
      <c r="K969" s="410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</row>
    <row r="970">
      <c r="A970" s="19"/>
      <c r="B970" s="19"/>
      <c r="C970" s="19"/>
      <c r="D970" s="19"/>
      <c r="E970" s="19"/>
      <c r="F970" s="19"/>
      <c r="G970" s="19"/>
      <c r="H970" s="409"/>
      <c r="I970" s="19"/>
      <c r="J970" s="410"/>
      <c r="K970" s="410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</row>
    <row r="971">
      <c r="A971" s="19"/>
      <c r="B971" s="19"/>
      <c r="C971" s="19"/>
      <c r="D971" s="19"/>
      <c r="E971" s="19"/>
      <c r="F971" s="19"/>
      <c r="G971" s="19"/>
      <c r="H971" s="409"/>
      <c r="I971" s="19"/>
      <c r="J971" s="410"/>
      <c r="K971" s="410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</row>
    <row r="972">
      <c r="A972" s="19"/>
      <c r="B972" s="19"/>
      <c r="C972" s="19"/>
      <c r="D972" s="19"/>
      <c r="E972" s="19"/>
      <c r="F972" s="19"/>
      <c r="G972" s="19"/>
      <c r="H972" s="409"/>
      <c r="I972" s="19"/>
      <c r="J972" s="410"/>
      <c r="K972" s="410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</row>
    <row r="973">
      <c r="A973" s="19"/>
      <c r="B973" s="19"/>
      <c r="C973" s="19"/>
      <c r="D973" s="19"/>
      <c r="E973" s="19"/>
      <c r="F973" s="19"/>
      <c r="G973" s="19"/>
      <c r="H973" s="409"/>
      <c r="I973" s="19"/>
      <c r="J973" s="410"/>
      <c r="K973" s="410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</row>
    <row r="974">
      <c r="A974" s="19"/>
      <c r="B974" s="19"/>
      <c r="C974" s="19"/>
      <c r="D974" s="19"/>
      <c r="E974" s="19"/>
      <c r="F974" s="19"/>
      <c r="G974" s="19"/>
      <c r="H974" s="409"/>
      <c r="I974" s="19"/>
      <c r="J974" s="410"/>
      <c r="K974" s="410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</row>
    <row r="975">
      <c r="A975" s="19"/>
      <c r="B975" s="19"/>
      <c r="C975" s="19"/>
      <c r="D975" s="19"/>
      <c r="E975" s="19"/>
      <c r="F975" s="19"/>
      <c r="G975" s="19"/>
      <c r="H975" s="409"/>
      <c r="I975" s="19"/>
      <c r="J975" s="410"/>
      <c r="K975" s="410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</row>
    <row r="976">
      <c r="A976" s="19"/>
      <c r="B976" s="19"/>
      <c r="C976" s="19"/>
      <c r="D976" s="19"/>
      <c r="E976" s="19"/>
      <c r="F976" s="19"/>
      <c r="G976" s="19"/>
      <c r="H976" s="409"/>
      <c r="I976" s="19"/>
      <c r="J976" s="410"/>
      <c r="K976" s="410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</row>
    <row r="977">
      <c r="A977" s="19"/>
      <c r="B977" s="19"/>
      <c r="C977" s="19"/>
      <c r="D977" s="19"/>
      <c r="E977" s="19"/>
      <c r="F977" s="19"/>
      <c r="G977" s="19"/>
      <c r="H977" s="409"/>
      <c r="I977" s="19"/>
      <c r="J977" s="410"/>
      <c r="K977" s="410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</row>
    <row r="978">
      <c r="A978" s="19"/>
      <c r="B978" s="19"/>
      <c r="C978" s="19"/>
      <c r="D978" s="19"/>
      <c r="E978" s="19"/>
      <c r="F978" s="19"/>
      <c r="G978" s="19"/>
      <c r="H978" s="409"/>
      <c r="I978" s="19"/>
      <c r="J978" s="410"/>
      <c r="K978" s="410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</row>
    <row r="979">
      <c r="A979" s="19"/>
      <c r="B979" s="19"/>
      <c r="C979" s="19"/>
      <c r="D979" s="19"/>
      <c r="E979" s="19"/>
      <c r="F979" s="19"/>
      <c r="G979" s="19"/>
      <c r="H979" s="409"/>
      <c r="I979" s="19"/>
      <c r="J979" s="410"/>
      <c r="K979" s="410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</row>
    <row r="980">
      <c r="A980" s="19"/>
      <c r="B980" s="19"/>
      <c r="C980" s="19"/>
      <c r="D980" s="19"/>
      <c r="E980" s="19"/>
      <c r="F980" s="19"/>
      <c r="G980" s="19"/>
      <c r="H980" s="409"/>
      <c r="I980" s="19"/>
      <c r="J980" s="410"/>
      <c r="K980" s="410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</row>
    <row r="981">
      <c r="A981" s="19"/>
      <c r="B981" s="19"/>
      <c r="C981" s="19"/>
      <c r="D981" s="19"/>
      <c r="E981" s="19"/>
      <c r="F981" s="19"/>
      <c r="G981" s="19"/>
      <c r="H981" s="409"/>
      <c r="I981" s="19"/>
      <c r="J981" s="410"/>
      <c r="K981" s="410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</row>
    <row r="982">
      <c r="A982" s="19"/>
      <c r="B982" s="19"/>
      <c r="C982" s="19"/>
      <c r="D982" s="19"/>
      <c r="E982" s="19"/>
      <c r="F982" s="19"/>
      <c r="G982" s="19"/>
      <c r="H982" s="409"/>
      <c r="I982" s="19"/>
      <c r="J982" s="410"/>
      <c r="K982" s="410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</row>
    <row r="983">
      <c r="A983" s="19"/>
      <c r="B983" s="19"/>
      <c r="C983" s="19"/>
      <c r="D983" s="19"/>
      <c r="E983" s="19"/>
      <c r="F983" s="19"/>
      <c r="G983" s="19"/>
      <c r="H983" s="409"/>
      <c r="I983" s="19"/>
      <c r="J983" s="410"/>
      <c r="K983" s="410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</row>
    <row r="984">
      <c r="A984" s="19"/>
      <c r="B984" s="19"/>
      <c r="C984" s="19"/>
      <c r="D984" s="19"/>
      <c r="E984" s="19"/>
      <c r="F984" s="19"/>
      <c r="G984" s="19"/>
      <c r="H984" s="409"/>
      <c r="I984" s="19"/>
      <c r="J984" s="410"/>
      <c r="K984" s="410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</row>
    <row r="985">
      <c r="A985" s="19"/>
      <c r="B985" s="19"/>
      <c r="C985" s="19"/>
      <c r="D985" s="19"/>
      <c r="E985" s="19"/>
      <c r="F985" s="19"/>
      <c r="G985" s="19"/>
      <c r="H985" s="409"/>
      <c r="I985" s="19"/>
      <c r="J985" s="410"/>
      <c r="K985" s="410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</row>
    <row r="986">
      <c r="A986" s="19"/>
      <c r="B986" s="19"/>
      <c r="C986" s="19"/>
      <c r="D986" s="19"/>
      <c r="E986" s="19"/>
      <c r="F986" s="19"/>
      <c r="G986" s="19"/>
      <c r="H986" s="409"/>
      <c r="I986" s="19"/>
      <c r="J986" s="410"/>
      <c r="K986" s="410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</row>
    <row r="987">
      <c r="A987" s="19"/>
      <c r="B987" s="19"/>
      <c r="C987" s="19"/>
      <c r="D987" s="19"/>
      <c r="E987" s="19"/>
      <c r="F987" s="19"/>
      <c r="G987" s="19"/>
      <c r="H987" s="409"/>
      <c r="I987" s="19"/>
      <c r="J987" s="410"/>
      <c r="K987" s="410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</row>
    <row r="988">
      <c r="A988" s="19"/>
      <c r="B988" s="19"/>
      <c r="C988" s="19"/>
      <c r="D988" s="19"/>
      <c r="E988" s="19"/>
      <c r="F988" s="19"/>
      <c r="G988" s="19"/>
      <c r="H988" s="409"/>
      <c r="I988" s="19"/>
      <c r="J988" s="410"/>
      <c r="K988" s="410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</row>
    <row r="989">
      <c r="A989" s="19"/>
      <c r="B989" s="19"/>
      <c r="C989" s="19"/>
      <c r="D989" s="19"/>
      <c r="E989" s="19"/>
      <c r="F989" s="19"/>
      <c r="G989" s="19"/>
      <c r="H989" s="409"/>
      <c r="I989" s="19"/>
      <c r="J989" s="410"/>
      <c r="K989" s="410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</row>
    <row r="990">
      <c r="A990" s="19"/>
      <c r="B990" s="19"/>
      <c r="C990" s="19"/>
      <c r="D990" s="19"/>
      <c r="E990" s="19"/>
      <c r="F990" s="19"/>
      <c r="G990" s="19"/>
      <c r="H990" s="409"/>
      <c r="I990" s="19"/>
      <c r="J990" s="410"/>
      <c r="K990" s="410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</row>
    <row r="991">
      <c r="A991" s="19"/>
      <c r="B991" s="19"/>
      <c r="C991" s="19"/>
      <c r="D991" s="19"/>
      <c r="E991" s="19"/>
      <c r="F991" s="19"/>
      <c r="G991" s="19"/>
      <c r="H991" s="409"/>
      <c r="I991" s="19"/>
      <c r="J991" s="410"/>
      <c r="K991" s="410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</row>
    <row r="992">
      <c r="A992" s="19"/>
      <c r="B992" s="19"/>
      <c r="C992" s="19"/>
      <c r="D992" s="19"/>
      <c r="E992" s="19"/>
      <c r="F992" s="19"/>
      <c r="G992" s="19"/>
      <c r="H992" s="409"/>
      <c r="I992" s="19"/>
      <c r="J992" s="410"/>
      <c r="K992" s="410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</row>
    <row r="993">
      <c r="A993" s="19"/>
      <c r="B993" s="19"/>
      <c r="C993" s="19"/>
      <c r="D993" s="19"/>
      <c r="E993" s="19"/>
      <c r="F993" s="19"/>
      <c r="G993" s="19"/>
      <c r="H993" s="409"/>
      <c r="I993" s="19"/>
      <c r="J993" s="410"/>
      <c r="K993" s="410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</row>
    <row r="994">
      <c r="A994" s="19"/>
      <c r="B994" s="19"/>
      <c r="C994" s="19"/>
      <c r="D994" s="19"/>
      <c r="E994" s="19"/>
      <c r="F994" s="19"/>
      <c r="G994" s="19"/>
      <c r="H994" s="409"/>
      <c r="I994" s="19"/>
      <c r="J994" s="410"/>
      <c r="K994" s="410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</row>
    <row r="995">
      <c r="A995" s="19"/>
      <c r="B995" s="19"/>
      <c r="C995" s="19"/>
      <c r="D995" s="19"/>
      <c r="E995" s="19"/>
      <c r="F995" s="19"/>
      <c r="G995" s="19"/>
      <c r="H995" s="409"/>
      <c r="I995" s="19"/>
      <c r="J995" s="410"/>
      <c r="K995" s="410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</row>
    <row r="996">
      <c r="A996" s="19"/>
      <c r="B996" s="19"/>
      <c r="C996" s="19"/>
      <c r="D996" s="19"/>
      <c r="E996" s="19"/>
      <c r="F996" s="19"/>
      <c r="G996" s="19"/>
      <c r="H996" s="409"/>
      <c r="I996" s="19"/>
      <c r="J996" s="410"/>
      <c r="K996" s="410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</row>
    <row r="997">
      <c r="A997" s="19"/>
      <c r="B997" s="19"/>
      <c r="C997" s="19"/>
      <c r="D997" s="19"/>
      <c r="E997" s="19"/>
      <c r="F997" s="19"/>
      <c r="G997" s="19"/>
      <c r="H997" s="409"/>
      <c r="I997" s="19"/>
      <c r="J997" s="410"/>
      <c r="K997" s="410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</row>
    <row r="998">
      <c r="A998" s="19"/>
      <c r="B998" s="19"/>
      <c r="C998" s="19"/>
      <c r="D998" s="19"/>
      <c r="E998" s="19"/>
      <c r="F998" s="19"/>
      <c r="G998" s="19"/>
      <c r="H998" s="409"/>
      <c r="I998" s="19"/>
      <c r="J998" s="410"/>
      <c r="K998" s="410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</row>
    <row r="999">
      <c r="A999" s="19"/>
      <c r="B999" s="19"/>
      <c r="C999" s="19"/>
      <c r="D999" s="19"/>
      <c r="E999" s="19"/>
      <c r="F999" s="19"/>
      <c r="G999" s="19"/>
      <c r="H999" s="409"/>
      <c r="I999" s="19"/>
      <c r="J999" s="410"/>
      <c r="K999" s="410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</row>
  </sheetData>
  <mergeCells count="5">
    <mergeCell ref="A1:W1"/>
    <mergeCell ref="B11:B12"/>
    <mergeCell ref="C11:C12"/>
    <mergeCell ref="J11:J12"/>
    <mergeCell ref="J17:J20"/>
  </mergeCells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3"/>
    <hyperlink r:id="rId11" ref="J14"/>
    <hyperlink r:id="rId12" ref="J16"/>
    <hyperlink r:id="rId13" ref="J21"/>
    <hyperlink r:id="rId14" ref="J22"/>
    <hyperlink r:id="rId15" ref="J24"/>
    <hyperlink r:id="rId16" ref="J25"/>
    <hyperlink r:id="rId17" ref="J26"/>
    <hyperlink r:id="rId18" ref="J27"/>
    <hyperlink r:id="rId19" ref="J28"/>
    <hyperlink r:id="rId20" ref="J29"/>
  </hyperlinks>
  <drawing r:id="rId2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.0"/>
    <col customWidth="1" min="3" max="3" width="24.5"/>
    <col customWidth="1" min="4" max="4" width="25.38"/>
    <col customWidth="1" min="5" max="5" width="53.13"/>
    <col customWidth="1" min="10" max="10" width="58.75"/>
  </cols>
  <sheetData>
    <row r="1">
      <c r="A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>
      <c r="A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>
      <c r="A3" s="32"/>
      <c r="B3" s="411">
        <v>13.0</v>
      </c>
      <c r="C3" s="412" t="s">
        <v>554</v>
      </c>
      <c r="D3" s="412" t="s">
        <v>554</v>
      </c>
      <c r="E3" s="84" t="str">
        <f t="shared" ref="E3:E5" si="1">CONCATENATE(D3," - ",C3)</f>
        <v>Chicken Nuggets - Chicken Nuggets</v>
      </c>
      <c r="F3" s="411"/>
      <c r="G3" s="413">
        <v>9.9</v>
      </c>
      <c r="H3" s="88">
        <f t="shared" ref="H3:H14" si="2">LET(v,G3*1.15,
i,INT(v),
d,v-i,
IF(d&lt;=0.2,
i-0.1,
IF(d&lt;=0.7,
i+0.5,
i+0.9)))
</f>
        <v>11.5</v>
      </c>
      <c r="I3" s="414">
        <v>1.0</v>
      </c>
      <c r="J3" s="366" t="s">
        <v>556</v>
      </c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>
      <c r="A4" s="32"/>
      <c r="B4" s="415">
        <v>14.0</v>
      </c>
      <c r="C4" s="412" t="s">
        <v>557</v>
      </c>
      <c r="D4" s="412" t="s">
        <v>557</v>
      </c>
      <c r="E4" s="84" t="str">
        <f t="shared" si="1"/>
        <v>Bò bía ngọt - Bò bía ngọt</v>
      </c>
      <c r="F4" s="415" t="s">
        <v>558</v>
      </c>
      <c r="G4" s="413">
        <v>8.9</v>
      </c>
      <c r="H4" s="88">
        <f t="shared" si="2"/>
        <v>10.5</v>
      </c>
      <c r="I4" s="414">
        <v>2.0</v>
      </c>
      <c r="J4" s="366" t="s">
        <v>560</v>
      </c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>
      <c r="A5" s="32"/>
      <c r="B5" s="415">
        <v>15.0</v>
      </c>
      <c r="C5" s="412" t="s">
        <v>561</v>
      </c>
      <c r="D5" s="412" t="s">
        <v>562</v>
      </c>
      <c r="E5" s="84" t="str">
        <f t="shared" si="1"/>
        <v>Pork Sausages - Lạp xưởng</v>
      </c>
      <c r="F5" s="415" t="s">
        <v>563</v>
      </c>
      <c r="G5" s="413">
        <v>15.0</v>
      </c>
      <c r="H5" s="88">
        <f t="shared" si="2"/>
        <v>17.5</v>
      </c>
      <c r="I5" s="414">
        <v>3.0</v>
      </c>
      <c r="J5" s="366" t="s">
        <v>565</v>
      </c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>
      <c r="A6" s="32"/>
      <c r="B6" s="415">
        <v>16.0</v>
      </c>
      <c r="C6" s="416" t="s">
        <v>566</v>
      </c>
      <c r="D6" s="417" t="s">
        <v>567</v>
      </c>
      <c r="E6" s="100" t="s">
        <v>568</v>
      </c>
      <c r="F6" s="415" t="s">
        <v>569</v>
      </c>
      <c r="G6" s="418">
        <v>9.9</v>
      </c>
      <c r="H6" s="88">
        <f t="shared" si="2"/>
        <v>11.5</v>
      </c>
      <c r="I6" s="414">
        <v>4.0</v>
      </c>
      <c r="J6" s="419" t="s">
        <v>571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</row>
    <row r="7">
      <c r="A7" s="32"/>
      <c r="B7" s="411">
        <v>17.0</v>
      </c>
      <c r="C7" s="416" t="s">
        <v>572</v>
      </c>
      <c r="D7" s="417" t="s">
        <v>573</v>
      </c>
      <c r="E7" s="84" t="str">
        <f t="shared" ref="E7:E8" si="3">CONCATENATE(D7," - ",C7)</f>
        <v>FISH BALLS MAYO - Cá Viên Mayo</v>
      </c>
      <c r="F7" s="415" t="s">
        <v>644</v>
      </c>
      <c r="G7" s="418">
        <v>14.5</v>
      </c>
      <c r="H7" s="88">
        <f t="shared" si="2"/>
        <v>16.5</v>
      </c>
      <c r="I7" s="414">
        <v>5.0</v>
      </c>
      <c r="J7" s="419" t="s">
        <v>576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>
      <c r="A8" s="32"/>
      <c r="B8" s="415">
        <v>18.0</v>
      </c>
      <c r="C8" s="417" t="s">
        <v>577</v>
      </c>
      <c r="D8" s="417" t="s">
        <v>578</v>
      </c>
      <c r="E8" s="84" t="str">
        <f t="shared" si="3"/>
        <v>POTATO PRAWN - Tôm Cuộn Khoai Tây</v>
      </c>
      <c r="F8" s="415" t="s">
        <v>579</v>
      </c>
      <c r="G8" s="418">
        <v>13.5</v>
      </c>
      <c r="H8" s="88">
        <f t="shared" si="2"/>
        <v>15.5</v>
      </c>
      <c r="I8" s="414">
        <v>6.0</v>
      </c>
      <c r="J8" s="420" t="s">
        <v>581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>
      <c r="A9" s="32"/>
      <c r="B9" s="415">
        <v>19.0</v>
      </c>
      <c r="C9" s="417" t="s">
        <v>582</v>
      </c>
      <c r="D9" s="417" t="s">
        <v>583</v>
      </c>
      <c r="E9" s="100" t="s">
        <v>584</v>
      </c>
      <c r="F9" s="415" t="s">
        <v>585</v>
      </c>
      <c r="G9" s="418">
        <v>10.5</v>
      </c>
      <c r="H9" s="88">
        <f t="shared" si="2"/>
        <v>11.9</v>
      </c>
      <c r="I9" s="414">
        <v>7.0</v>
      </c>
      <c r="J9" s="420" t="s">
        <v>581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>
      <c r="A10" s="32"/>
      <c r="B10" s="415">
        <v>20.0</v>
      </c>
      <c r="C10" s="412" t="s">
        <v>587</v>
      </c>
      <c r="D10" s="412" t="s">
        <v>588</v>
      </c>
      <c r="E10" s="84" t="str">
        <f t="shared" ref="E10:E14" si="4">CONCATENATE(D10," - ",C10)</f>
        <v>Vietnamese Spicy Rice Paper - Bánh tráng trộn</v>
      </c>
      <c r="F10" s="411"/>
      <c r="G10" s="413">
        <v>14.9</v>
      </c>
      <c r="H10" s="88">
        <f t="shared" si="2"/>
        <v>16.9</v>
      </c>
      <c r="I10" s="414">
        <v>8.0</v>
      </c>
      <c r="J10" s="366" t="s">
        <v>590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>
      <c r="A11" s="32"/>
      <c r="B11" s="411">
        <v>21.0</v>
      </c>
      <c r="C11" s="412" t="s">
        <v>591</v>
      </c>
      <c r="D11" s="412" t="s">
        <v>645</v>
      </c>
      <c r="E11" s="84" t="str">
        <f t="shared" si="4"/>
        <v>VIETNAMESE 
RICE PAPER ROLLS - Bánh tráng cuốn bơ</v>
      </c>
      <c r="F11" s="415" t="s">
        <v>593</v>
      </c>
      <c r="G11" s="413">
        <v>15.9</v>
      </c>
      <c r="H11" s="421">
        <f t="shared" si="2"/>
        <v>18.5</v>
      </c>
      <c r="I11" s="422">
        <v>9.0</v>
      </c>
      <c r="J11" s="366" t="s">
        <v>595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>
      <c r="A12" s="32"/>
      <c r="B12" s="415">
        <v>22.0</v>
      </c>
      <c r="C12" s="412" t="s">
        <v>591</v>
      </c>
      <c r="D12" s="412" t="s">
        <v>645</v>
      </c>
      <c r="E12" s="84" t="str">
        <f t="shared" si="4"/>
        <v>VIETNAMESE 
RICE PAPER ROLLS - Bánh tráng cuốn bơ</v>
      </c>
      <c r="F12" s="415" t="s">
        <v>558</v>
      </c>
      <c r="G12" s="413">
        <v>19.5</v>
      </c>
      <c r="H12" s="421">
        <f t="shared" si="2"/>
        <v>22.5</v>
      </c>
      <c r="I12" s="373"/>
      <c r="J12" s="366" t="s">
        <v>595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>
      <c r="A13" s="423"/>
      <c r="B13" s="424">
        <v>23.0</v>
      </c>
      <c r="C13" s="425" t="s">
        <v>596</v>
      </c>
      <c r="D13" s="426" t="s">
        <v>597</v>
      </c>
      <c r="E13" s="427" t="str">
        <f t="shared" si="4"/>
        <v>FRIED COMBO - COMBO CHIÊN</v>
      </c>
      <c r="F13" s="424"/>
      <c r="G13" s="428">
        <v>29.9</v>
      </c>
      <c r="H13" s="429">
        <f t="shared" si="2"/>
        <v>34.5</v>
      </c>
      <c r="I13" s="430">
        <v>11.0</v>
      </c>
      <c r="J13" s="431" t="s">
        <v>646</v>
      </c>
      <c r="K13" s="423"/>
      <c r="L13" s="423"/>
      <c r="M13" s="423"/>
      <c r="N13" s="423"/>
      <c r="O13" s="423"/>
      <c r="P13" s="423"/>
      <c r="Q13" s="423"/>
      <c r="R13" s="423"/>
      <c r="S13" s="423"/>
      <c r="T13" s="423"/>
      <c r="U13" s="423"/>
      <c r="V13" s="423"/>
      <c r="W13" s="423"/>
      <c r="X13" s="423"/>
      <c r="Y13" s="423"/>
      <c r="Z13" s="423"/>
      <c r="AA13" s="423"/>
      <c r="AB13" s="423"/>
    </row>
    <row r="14">
      <c r="A14" s="32"/>
      <c r="B14" s="424">
        <v>24.0</v>
      </c>
      <c r="C14" s="425" t="s">
        <v>600</v>
      </c>
      <c r="D14" s="426" t="s">
        <v>601</v>
      </c>
      <c r="E14" s="427" t="str">
        <f t="shared" si="4"/>
        <v>RICE PAPERS COMBO - COMBO BÁNH TRÁNG</v>
      </c>
      <c r="F14" s="424"/>
      <c r="G14" s="428">
        <v>25.9</v>
      </c>
      <c r="H14" s="429">
        <f t="shared" si="2"/>
        <v>29.9</v>
      </c>
      <c r="I14" s="430">
        <v>12.0</v>
      </c>
      <c r="J14" s="431" t="s">
        <v>647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>
      <c r="A15" s="32"/>
      <c r="B15" s="432"/>
      <c r="C15" s="433"/>
      <c r="D15" s="434"/>
      <c r="E15" s="435"/>
      <c r="F15" s="432"/>
      <c r="G15" s="436"/>
      <c r="H15" s="437"/>
      <c r="I15" s="432"/>
      <c r="J15" s="381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>
      <c r="A16" s="32"/>
      <c r="B16" s="415">
        <v>25.0</v>
      </c>
      <c r="C16" s="412" t="s">
        <v>604</v>
      </c>
      <c r="D16" s="412" t="s">
        <v>604</v>
      </c>
      <c r="E16" s="84" t="str">
        <f t="shared" ref="E16:E20" si="5">CONCATENATE(D16," - ",C16)</f>
        <v>FISH &amp; CHIPS - FISH &amp; CHIPS</v>
      </c>
      <c r="F16" s="415"/>
      <c r="G16" s="413">
        <v>15.5</v>
      </c>
      <c r="H16" s="88">
        <f t="shared" ref="H16:H22" si="6">LET(v,G16*1.15,
i,INT(v),
d,v-i,
IF(d&lt;=0.2,
i-0.1,
IF(d&lt;=0.7,
i+0.5,
i+0.9)))
</f>
        <v>17.9</v>
      </c>
      <c r="I16" s="414">
        <v>13.0</v>
      </c>
      <c r="J16" s="366" t="s">
        <v>606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>
      <c r="A17" s="32"/>
      <c r="B17" s="415">
        <v>26.0</v>
      </c>
      <c r="C17" s="412" t="s">
        <v>607</v>
      </c>
      <c r="D17" s="438" t="s">
        <v>608</v>
      </c>
      <c r="E17" s="84" t="str">
        <f t="shared" si="5"/>
        <v>POTATO - Khoai tây chiên</v>
      </c>
      <c r="F17" s="439"/>
      <c r="G17" s="418">
        <v>9.5</v>
      </c>
      <c r="H17" s="88">
        <f t="shared" si="6"/>
        <v>10.9</v>
      </c>
      <c r="I17" s="440" t="s">
        <v>196</v>
      </c>
      <c r="J17" s="383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>
      <c r="A18" s="32"/>
      <c r="B18" s="415">
        <v>27.0</v>
      </c>
      <c r="C18" s="412" t="s">
        <v>609</v>
      </c>
      <c r="D18" s="438" t="s">
        <v>610</v>
      </c>
      <c r="E18" s="84" t="str">
        <f t="shared" si="5"/>
        <v>SWEET POTATO - khoai lang chiên</v>
      </c>
      <c r="F18" s="439"/>
      <c r="G18" s="418">
        <v>11.9</v>
      </c>
      <c r="H18" s="88">
        <f t="shared" si="6"/>
        <v>13.5</v>
      </c>
      <c r="J18" s="383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>
      <c r="A19" s="32"/>
      <c r="B19" s="415">
        <v>28.0</v>
      </c>
      <c r="C19" s="412" t="s">
        <v>607</v>
      </c>
      <c r="D19" s="438" t="s">
        <v>611</v>
      </c>
      <c r="E19" s="84" t="str">
        <f t="shared" si="5"/>
        <v>Wedgeds - Khoai tây chiên</v>
      </c>
      <c r="F19" s="439"/>
      <c r="G19" s="418">
        <v>11.9</v>
      </c>
      <c r="H19" s="88">
        <f t="shared" si="6"/>
        <v>13.5</v>
      </c>
      <c r="J19" s="383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>
      <c r="A20" s="32"/>
      <c r="B20" s="415">
        <v>29.0</v>
      </c>
      <c r="C20" s="441"/>
      <c r="D20" s="438" t="s">
        <v>612</v>
      </c>
      <c r="E20" s="84" t="str">
        <f t="shared" si="5"/>
        <v>MINI CHURROS - </v>
      </c>
      <c r="F20" s="439"/>
      <c r="G20" s="418">
        <v>10.5</v>
      </c>
      <c r="H20" s="88">
        <f t="shared" si="6"/>
        <v>11.9</v>
      </c>
      <c r="J20" s="366" t="s">
        <v>614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>
      <c r="A21" s="423"/>
      <c r="B21" s="424">
        <v>30.0</v>
      </c>
      <c r="C21" s="442"/>
      <c r="D21" s="426" t="s">
        <v>615</v>
      </c>
      <c r="E21" s="427"/>
      <c r="F21" s="443"/>
      <c r="G21" s="444">
        <v>23.9</v>
      </c>
      <c r="H21" s="429">
        <f t="shared" si="6"/>
        <v>27.5</v>
      </c>
      <c r="I21" s="430">
        <v>18.0</v>
      </c>
      <c r="J21" s="431" t="s">
        <v>617</v>
      </c>
      <c r="K21" s="423"/>
      <c r="L21" s="423"/>
      <c r="M21" s="423"/>
      <c r="N21" s="423"/>
      <c r="O21" s="423"/>
      <c r="P21" s="423"/>
      <c r="Q21" s="423"/>
      <c r="R21" s="423"/>
      <c r="S21" s="423"/>
      <c r="T21" s="423"/>
      <c r="U21" s="423"/>
      <c r="V21" s="423"/>
      <c r="W21" s="423"/>
      <c r="X21" s="423"/>
      <c r="Y21" s="423"/>
      <c r="Z21" s="423"/>
      <c r="AA21" s="423"/>
      <c r="AB21" s="423"/>
    </row>
    <row r="22">
      <c r="A22" s="32"/>
      <c r="B22" s="424">
        <v>31.0</v>
      </c>
      <c r="C22" s="442"/>
      <c r="D22" s="426" t="s">
        <v>618</v>
      </c>
      <c r="E22" s="427"/>
      <c r="F22" s="443"/>
      <c r="G22" s="444">
        <v>20.9</v>
      </c>
      <c r="H22" s="429">
        <f t="shared" si="6"/>
        <v>23.9</v>
      </c>
      <c r="I22" s="430">
        <v>19.0</v>
      </c>
      <c r="J22" s="431" t="s">
        <v>620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>
      <c r="A23" s="32"/>
      <c r="B23" s="445"/>
      <c r="C23" s="446"/>
      <c r="D23" s="434"/>
      <c r="E23" s="435"/>
      <c r="F23" s="445"/>
      <c r="G23" s="447"/>
      <c r="H23" s="437"/>
      <c r="I23" s="446"/>
      <c r="J23" s="381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>
      <c r="A24" s="32"/>
      <c r="B24" s="415">
        <v>33.0</v>
      </c>
      <c r="C24" s="448" t="s">
        <v>621</v>
      </c>
      <c r="D24" s="438" t="s">
        <v>622</v>
      </c>
      <c r="E24" s="84" t="str">
        <f t="shared" ref="E24:E27" si="7">CONCATENATE(D24," - ",C24)</f>
        <v>Lemongrass Babyclamps - Nghêu Hấp Xả</v>
      </c>
      <c r="F24" s="415"/>
      <c r="G24" s="418">
        <v>19.5</v>
      </c>
      <c r="H24" s="88">
        <f t="shared" ref="H24:H27" si="8">LET(v,G24*1.15,
i,INT(v),
d,v-i,
IF(d&lt;=0.2,
i-0.1,
IF(d&lt;=0.7,
i+0.5,
i+0.9)))
</f>
        <v>22.5</v>
      </c>
      <c r="I24" s="414">
        <v>20.0</v>
      </c>
      <c r="J24" s="449" t="s">
        <v>624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>
      <c r="A25" s="32"/>
      <c r="B25" s="415">
        <v>34.0</v>
      </c>
      <c r="C25" s="450" t="s">
        <v>625</v>
      </c>
      <c r="D25" s="451" t="s">
        <v>626</v>
      </c>
      <c r="E25" s="84" t="str">
        <f t="shared" si="7"/>
        <v>Tomyum Babyclamps - Nghêu Hấp Thái</v>
      </c>
      <c r="F25" s="451"/>
      <c r="G25" s="418">
        <v>19.5</v>
      </c>
      <c r="H25" s="88">
        <f t="shared" si="8"/>
        <v>22.5</v>
      </c>
      <c r="I25" s="452">
        <v>21.0</v>
      </c>
      <c r="J25" s="453" t="s">
        <v>628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>
      <c r="B26" s="415">
        <v>38.0</v>
      </c>
      <c r="C26" s="454" t="s">
        <v>629</v>
      </c>
      <c r="D26" s="451" t="s">
        <v>630</v>
      </c>
      <c r="E26" s="84" t="str">
        <f t="shared" si="7"/>
        <v>DIMSIM - XÍU MẠI</v>
      </c>
      <c r="F26" s="451" t="s">
        <v>579</v>
      </c>
      <c r="G26" s="418">
        <v>9.9</v>
      </c>
      <c r="H26" s="88">
        <f t="shared" si="8"/>
        <v>11.5</v>
      </c>
      <c r="I26" s="452">
        <v>25.0</v>
      </c>
      <c r="J26" s="419" t="s">
        <v>632</v>
      </c>
    </row>
    <row r="27">
      <c r="B27" s="415">
        <v>39.0</v>
      </c>
      <c r="C27" s="454" t="s">
        <v>633</v>
      </c>
      <c r="D27" s="451" t="s">
        <v>634</v>
      </c>
      <c r="E27" s="84" t="str">
        <f t="shared" si="7"/>
        <v>HAR GOW - HÁ CẢO</v>
      </c>
      <c r="F27" s="415" t="s">
        <v>579</v>
      </c>
      <c r="G27" s="418">
        <v>9.9</v>
      </c>
      <c r="H27" s="88">
        <f t="shared" si="8"/>
        <v>11.5</v>
      </c>
      <c r="I27" s="414">
        <v>26.0</v>
      </c>
      <c r="J27" s="419" t="s">
        <v>632</v>
      </c>
    </row>
    <row r="28">
      <c r="J28" s="455"/>
    </row>
    <row r="29">
      <c r="J29" s="455"/>
    </row>
    <row r="30">
      <c r="C30" s="456"/>
      <c r="D30" s="457" t="s">
        <v>648</v>
      </c>
      <c r="J30" s="455"/>
    </row>
    <row r="31">
      <c r="J31" s="455"/>
    </row>
    <row r="32">
      <c r="J32" s="455"/>
    </row>
    <row r="33">
      <c r="J33" s="455"/>
    </row>
    <row r="34">
      <c r="J34" s="455"/>
    </row>
    <row r="35">
      <c r="J35" s="455"/>
    </row>
    <row r="36">
      <c r="J36" s="455"/>
    </row>
    <row r="37">
      <c r="J37" s="455"/>
    </row>
    <row r="38">
      <c r="J38" s="455"/>
    </row>
    <row r="39">
      <c r="J39" s="455"/>
    </row>
    <row r="40">
      <c r="J40" s="455"/>
    </row>
    <row r="41">
      <c r="J41" s="455"/>
    </row>
    <row r="42">
      <c r="J42" s="455"/>
    </row>
    <row r="43">
      <c r="J43" s="455"/>
    </row>
    <row r="44">
      <c r="J44" s="455"/>
    </row>
    <row r="45">
      <c r="J45" s="455"/>
    </row>
    <row r="46">
      <c r="J46" s="455"/>
    </row>
    <row r="47">
      <c r="J47" s="455"/>
    </row>
    <row r="48">
      <c r="J48" s="455"/>
    </row>
    <row r="49">
      <c r="J49" s="455"/>
    </row>
    <row r="50">
      <c r="J50" s="455"/>
    </row>
    <row r="51">
      <c r="J51" s="455"/>
    </row>
    <row r="52">
      <c r="J52" s="455"/>
    </row>
    <row r="53">
      <c r="J53" s="455"/>
    </row>
    <row r="54">
      <c r="J54" s="455"/>
    </row>
    <row r="55">
      <c r="J55" s="455"/>
    </row>
    <row r="56">
      <c r="J56" s="455"/>
    </row>
    <row r="57">
      <c r="J57" s="455"/>
    </row>
    <row r="58">
      <c r="J58" s="455"/>
    </row>
    <row r="59">
      <c r="J59" s="455"/>
    </row>
    <row r="60">
      <c r="J60" s="455"/>
    </row>
    <row r="61">
      <c r="J61" s="455"/>
    </row>
    <row r="62">
      <c r="J62" s="455"/>
    </row>
    <row r="63">
      <c r="J63" s="455"/>
    </row>
    <row r="64">
      <c r="J64" s="455"/>
    </row>
    <row r="65">
      <c r="J65" s="455"/>
    </row>
    <row r="66">
      <c r="J66" s="455"/>
    </row>
    <row r="67">
      <c r="J67" s="455"/>
    </row>
    <row r="68">
      <c r="J68" s="455"/>
    </row>
    <row r="69">
      <c r="J69" s="455"/>
    </row>
    <row r="70">
      <c r="J70" s="455"/>
    </row>
    <row r="71">
      <c r="J71" s="455"/>
    </row>
    <row r="72">
      <c r="J72" s="455"/>
    </row>
    <row r="73">
      <c r="J73" s="455"/>
    </row>
    <row r="74">
      <c r="J74" s="455"/>
    </row>
    <row r="75">
      <c r="J75" s="455"/>
    </row>
    <row r="76">
      <c r="J76" s="455"/>
    </row>
    <row r="77">
      <c r="J77" s="455"/>
    </row>
    <row r="78">
      <c r="J78" s="455"/>
    </row>
    <row r="79">
      <c r="J79" s="455"/>
    </row>
    <row r="80">
      <c r="J80" s="455"/>
    </row>
    <row r="81">
      <c r="J81" s="455"/>
    </row>
    <row r="82">
      <c r="J82" s="455"/>
    </row>
    <row r="83">
      <c r="J83" s="455"/>
    </row>
    <row r="84">
      <c r="J84" s="455"/>
    </row>
    <row r="85">
      <c r="J85" s="455"/>
    </row>
    <row r="86">
      <c r="J86" s="455"/>
    </row>
    <row r="87">
      <c r="J87" s="455"/>
    </row>
    <row r="88">
      <c r="J88" s="455"/>
    </row>
    <row r="89">
      <c r="J89" s="455"/>
    </row>
    <row r="90">
      <c r="J90" s="455"/>
    </row>
    <row r="91">
      <c r="J91" s="455"/>
    </row>
    <row r="92">
      <c r="J92" s="455"/>
    </row>
    <row r="93">
      <c r="J93" s="455"/>
    </row>
    <row r="94">
      <c r="J94" s="455"/>
    </row>
    <row r="95">
      <c r="J95" s="455"/>
    </row>
    <row r="96">
      <c r="J96" s="455"/>
    </row>
    <row r="97">
      <c r="J97" s="455"/>
    </row>
    <row r="98">
      <c r="J98" s="455"/>
    </row>
    <row r="99">
      <c r="J99" s="455"/>
    </row>
    <row r="100">
      <c r="J100" s="455"/>
    </row>
    <row r="101">
      <c r="J101" s="455"/>
    </row>
    <row r="102">
      <c r="J102" s="455"/>
    </row>
    <row r="103">
      <c r="J103" s="455"/>
    </row>
    <row r="104">
      <c r="J104" s="455"/>
    </row>
    <row r="105">
      <c r="J105" s="455"/>
    </row>
    <row r="106">
      <c r="J106" s="455"/>
    </row>
    <row r="107">
      <c r="J107" s="455"/>
    </row>
    <row r="108">
      <c r="J108" s="455"/>
    </row>
    <row r="109">
      <c r="J109" s="455"/>
    </row>
    <row r="110">
      <c r="J110" s="455"/>
    </row>
    <row r="111">
      <c r="J111" s="455"/>
    </row>
    <row r="112">
      <c r="J112" s="455"/>
    </row>
    <row r="113">
      <c r="J113" s="455"/>
    </row>
    <row r="114">
      <c r="J114" s="455"/>
    </row>
    <row r="115">
      <c r="J115" s="455"/>
    </row>
    <row r="116">
      <c r="J116" s="455"/>
    </row>
    <row r="117">
      <c r="J117" s="455"/>
    </row>
    <row r="118">
      <c r="J118" s="455"/>
    </row>
    <row r="119">
      <c r="J119" s="455"/>
    </row>
    <row r="120">
      <c r="J120" s="455"/>
    </row>
    <row r="121">
      <c r="J121" s="455"/>
    </row>
    <row r="122">
      <c r="J122" s="455"/>
    </row>
    <row r="123">
      <c r="J123" s="455"/>
    </row>
    <row r="124">
      <c r="J124" s="455"/>
    </row>
    <row r="125">
      <c r="J125" s="455"/>
    </row>
    <row r="126">
      <c r="J126" s="455"/>
    </row>
    <row r="127">
      <c r="J127" s="455"/>
    </row>
    <row r="128">
      <c r="J128" s="455"/>
    </row>
    <row r="129">
      <c r="J129" s="455"/>
    </row>
    <row r="130">
      <c r="J130" s="455"/>
    </row>
    <row r="131">
      <c r="J131" s="455"/>
    </row>
    <row r="132">
      <c r="J132" s="455"/>
    </row>
    <row r="133">
      <c r="J133" s="455"/>
    </row>
    <row r="134">
      <c r="J134" s="455"/>
    </row>
    <row r="135">
      <c r="J135" s="455"/>
    </row>
    <row r="136">
      <c r="J136" s="455"/>
    </row>
    <row r="137">
      <c r="J137" s="455"/>
    </row>
    <row r="138">
      <c r="J138" s="455"/>
    </row>
    <row r="139">
      <c r="J139" s="455"/>
    </row>
    <row r="140">
      <c r="J140" s="455"/>
    </row>
    <row r="141">
      <c r="J141" s="455"/>
    </row>
    <row r="142">
      <c r="J142" s="455"/>
    </row>
    <row r="143">
      <c r="J143" s="455"/>
    </row>
    <row r="144">
      <c r="J144" s="455"/>
    </row>
    <row r="145">
      <c r="J145" s="455"/>
    </row>
    <row r="146">
      <c r="J146" s="455"/>
    </row>
    <row r="147">
      <c r="J147" s="455"/>
    </row>
    <row r="148">
      <c r="J148" s="455"/>
    </row>
    <row r="149">
      <c r="J149" s="455"/>
    </row>
    <row r="150">
      <c r="J150" s="455"/>
    </row>
    <row r="151">
      <c r="J151" s="455"/>
    </row>
    <row r="152">
      <c r="J152" s="455"/>
    </row>
    <row r="153">
      <c r="J153" s="455"/>
    </row>
    <row r="154">
      <c r="J154" s="455"/>
    </row>
    <row r="155">
      <c r="J155" s="455"/>
    </row>
    <row r="156">
      <c r="J156" s="455"/>
    </row>
    <row r="157">
      <c r="J157" s="455"/>
    </row>
    <row r="158">
      <c r="J158" s="455"/>
    </row>
    <row r="159">
      <c r="J159" s="455"/>
    </row>
    <row r="160">
      <c r="J160" s="455"/>
    </row>
    <row r="161">
      <c r="J161" s="455"/>
    </row>
    <row r="162">
      <c r="J162" s="455"/>
    </row>
    <row r="163">
      <c r="J163" s="455"/>
    </row>
    <row r="164">
      <c r="J164" s="455"/>
    </row>
    <row r="165">
      <c r="J165" s="455"/>
    </row>
    <row r="166">
      <c r="J166" s="455"/>
    </row>
    <row r="167">
      <c r="J167" s="455"/>
    </row>
    <row r="168">
      <c r="J168" s="455"/>
    </row>
    <row r="169">
      <c r="J169" s="455"/>
    </row>
    <row r="170">
      <c r="J170" s="455"/>
    </row>
    <row r="171">
      <c r="J171" s="455"/>
    </row>
    <row r="172">
      <c r="J172" s="455"/>
    </row>
    <row r="173">
      <c r="J173" s="455"/>
    </row>
    <row r="174">
      <c r="J174" s="455"/>
    </row>
    <row r="175">
      <c r="J175" s="455"/>
    </row>
    <row r="176">
      <c r="J176" s="455"/>
    </row>
    <row r="177">
      <c r="J177" s="455"/>
    </row>
    <row r="178">
      <c r="J178" s="455"/>
    </row>
    <row r="179">
      <c r="J179" s="455"/>
    </row>
    <row r="180">
      <c r="J180" s="455"/>
    </row>
    <row r="181">
      <c r="J181" s="455"/>
    </row>
    <row r="182">
      <c r="J182" s="455"/>
    </row>
    <row r="183">
      <c r="J183" s="455"/>
    </row>
    <row r="184">
      <c r="J184" s="455"/>
    </row>
    <row r="185">
      <c r="J185" s="455"/>
    </row>
    <row r="186">
      <c r="J186" s="455"/>
    </row>
    <row r="187">
      <c r="J187" s="455"/>
    </row>
    <row r="188">
      <c r="J188" s="455"/>
    </row>
    <row r="189">
      <c r="J189" s="455"/>
    </row>
    <row r="190">
      <c r="J190" s="455"/>
    </row>
    <row r="191">
      <c r="J191" s="455"/>
    </row>
    <row r="192">
      <c r="J192" s="455"/>
    </row>
    <row r="193">
      <c r="J193" s="455"/>
    </row>
    <row r="194">
      <c r="J194" s="455"/>
    </row>
    <row r="195">
      <c r="J195" s="455"/>
    </row>
    <row r="196">
      <c r="J196" s="455"/>
    </row>
    <row r="197">
      <c r="J197" s="455"/>
    </row>
    <row r="198">
      <c r="J198" s="455"/>
    </row>
    <row r="199">
      <c r="J199" s="455"/>
    </row>
    <row r="200">
      <c r="J200" s="455"/>
    </row>
    <row r="201">
      <c r="J201" s="455"/>
    </row>
    <row r="202">
      <c r="J202" s="455"/>
    </row>
    <row r="203">
      <c r="J203" s="455"/>
    </row>
    <row r="204">
      <c r="J204" s="455"/>
    </row>
    <row r="205">
      <c r="J205" s="455"/>
    </row>
    <row r="206">
      <c r="J206" s="455"/>
    </row>
    <row r="207">
      <c r="J207" s="455"/>
    </row>
    <row r="208">
      <c r="J208" s="455"/>
    </row>
    <row r="209">
      <c r="J209" s="455"/>
    </row>
    <row r="210">
      <c r="J210" s="455"/>
    </row>
    <row r="211">
      <c r="J211" s="455"/>
    </row>
    <row r="212">
      <c r="J212" s="455"/>
    </row>
    <row r="213">
      <c r="J213" s="455"/>
    </row>
    <row r="214">
      <c r="J214" s="455"/>
    </row>
    <row r="215">
      <c r="J215" s="455"/>
    </row>
    <row r="216">
      <c r="J216" s="455"/>
    </row>
    <row r="217">
      <c r="J217" s="455"/>
    </row>
    <row r="218">
      <c r="J218" s="455"/>
    </row>
    <row r="219">
      <c r="J219" s="455"/>
    </row>
    <row r="220">
      <c r="J220" s="455"/>
    </row>
    <row r="221">
      <c r="J221" s="455"/>
    </row>
    <row r="222">
      <c r="J222" s="455"/>
    </row>
    <row r="223">
      <c r="J223" s="455"/>
    </row>
    <row r="224">
      <c r="J224" s="455"/>
    </row>
    <row r="225">
      <c r="J225" s="455"/>
    </row>
    <row r="226">
      <c r="J226" s="455"/>
    </row>
    <row r="227">
      <c r="J227" s="455"/>
    </row>
    <row r="228">
      <c r="J228" s="455"/>
    </row>
    <row r="229">
      <c r="J229" s="455"/>
    </row>
    <row r="230">
      <c r="J230" s="455"/>
    </row>
    <row r="231">
      <c r="J231" s="455"/>
    </row>
    <row r="232">
      <c r="J232" s="455"/>
    </row>
    <row r="233">
      <c r="J233" s="455"/>
    </row>
    <row r="234">
      <c r="J234" s="455"/>
    </row>
    <row r="235">
      <c r="J235" s="455"/>
    </row>
    <row r="236">
      <c r="J236" s="455"/>
    </row>
    <row r="237">
      <c r="J237" s="455"/>
    </row>
    <row r="238">
      <c r="J238" s="455"/>
    </row>
    <row r="239">
      <c r="J239" s="455"/>
    </row>
    <row r="240">
      <c r="J240" s="455"/>
    </row>
    <row r="241">
      <c r="J241" s="455"/>
    </row>
    <row r="242">
      <c r="J242" s="455"/>
    </row>
    <row r="243">
      <c r="J243" s="455"/>
    </row>
    <row r="244">
      <c r="J244" s="455"/>
    </row>
    <row r="245">
      <c r="J245" s="455"/>
    </row>
    <row r="246">
      <c r="J246" s="455"/>
    </row>
    <row r="247">
      <c r="J247" s="455"/>
    </row>
    <row r="248">
      <c r="J248" s="455"/>
    </row>
    <row r="249">
      <c r="J249" s="455"/>
    </row>
    <row r="250">
      <c r="J250" s="455"/>
    </row>
    <row r="251">
      <c r="J251" s="455"/>
    </row>
    <row r="252">
      <c r="J252" s="455"/>
    </row>
    <row r="253">
      <c r="J253" s="455"/>
    </row>
    <row r="254">
      <c r="J254" s="455"/>
    </row>
    <row r="255">
      <c r="J255" s="455"/>
    </row>
    <row r="256">
      <c r="J256" s="455"/>
    </row>
    <row r="257">
      <c r="J257" s="455"/>
    </row>
    <row r="258">
      <c r="J258" s="455"/>
    </row>
    <row r="259">
      <c r="J259" s="455"/>
    </row>
    <row r="260">
      <c r="J260" s="455"/>
    </row>
    <row r="261">
      <c r="J261" s="455"/>
    </row>
    <row r="262">
      <c r="J262" s="455"/>
    </row>
    <row r="263">
      <c r="J263" s="455"/>
    </row>
    <row r="264">
      <c r="J264" s="455"/>
    </row>
    <row r="265">
      <c r="J265" s="455"/>
    </row>
    <row r="266">
      <c r="J266" s="455"/>
    </row>
    <row r="267">
      <c r="J267" s="455"/>
    </row>
    <row r="268">
      <c r="J268" s="455"/>
    </row>
    <row r="269">
      <c r="J269" s="455"/>
    </row>
    <row r="270">
      <c r="J270" s="455"/>
    </row>
    <row r="271">
      <c r="J271" s="455"/>
    </row>
    <row r="272">
      <c r="J272" s="455"/>
    </row>
    <row r="273">
      <c r="J273" s="455"/>
    </row>
    <row r="274">
      <c r="J274" s="455"/>
    </row>
    <row r="275">
      <c r="J275" s="455"/>
    </row>
    <row r="276">
      <c r="J276" s="455"/>
    </row>
    <row r="277">
      <c r="J277" s="455"/>
    </row>
    <row r="278">
      <c r="J278" s="455"/>
    </row>
    <row r="279">
      <c r="J279" s="455"/>
    </row>
    <row r="280">
      <c r="J280" s="455"/>
    </row>
    <row r="281">
      <c r="J281" s="455"/>
    </row>
    <row r="282">
      <c r="J282" s="455"/>
    </row>
    <row r="283">
      <c r="J283" s="455"/>
    </row>
    <row r="284">
      <c r="J284" s="455"/>
    </row>
    <row r="285">
      <c r="J285" s="455"/>
    </row>
    <row r="286">
      <c r="J286" s="455"/>
    </row>
    <row r="287">
      <c r="J287" s="455"/>
    </row>
    <row r="288">
      <c r="J288" s="455"/>
    </row>
    <row r="289">
      <c r="J289" s="455"/>
    </row>
    <row r="290">
      <c r="J290" s="455"/>
    </row>
    <row r="291">
      <c r="J291" s="455"/>
    </row>
    <row r="292">
      <c r="J292" s="455"/>
    </row>
    <row r="293">
      <c r="J293" s="455"/>
    </row>
    <row r="294">
      <c r="J294" s="455"/>
    </row>
    <row r="295">
      <c r="J295" s="455"/>
    </row>
    <row r="296">
      <c r="J296" s="455"/>
    </row>
    <row r="297">
      <c r="J297" s="455"/>
    </row>
    <row r="298">
      <c r="J298" s="455"/>
    </row>
    <row r="299">
      <c r="J299" s="455"/>
    </row>
    <row r="300">
      <c r="J300" s="455"/>
    </row>
    <row r="301">
      <c r="J301" s="455"/>
    </row>
    <row r="302">
      <c r="J302" s="455"/>
    </row>
    <row r="303">
      <c r="J303" s="455"/>
    </row>
    <row r="304">
      <c r="J304" s="455"/>
    </row>
    <row r="305">
      <c r="J305" s="455"/>
    </row>
    <row r="306">
      <c r="J306" s="455"/>
    </row>
    <row r="307">
      <c r="J307" s="455"/>
    </row>
    <row r="308">
      <c r="J308" s="455"/>
    </row>
    <row r="309">
      <c r="J309" s="455"/>
    </row>
    <row r="310">
      <c r="J310" s="455"/>
    </row>
    <row r="311">
      <c r="J311" s="455"/>
    </row>
    <row r="312">
      <c r="J312" s="455"/>
    </row>
    <row r="313">
      <c r="J313" s="455"/>
    </row>
    <row r="314">
      <c r="J314" s="455"/>
    </row>
    <row r="315">
      <c r="J315" s="455"/>
    </row>
    <row r="316">
      <c r="J316" s="455"/>
    </row>
    <row r="317">
      <c r="J317" s="455"/>
    </row>
    <row r="318">
      <c r="J318" s="455"/>
    </row>
    <row r="319">
      <c r="J319" s="455"/>
    </row>
    <row r="320">
      <c r="J320" s="455"/>
    </row>
    <row r="321">
      <c r="J321" s="455"/>
    </row>
    <row r="322">
      <c r="J322" s="455"/>
    </row>
    <row r="323">
      <c r="J323" s="455"/>
    </row>
    <row r="324">
      <c r="J324" s="455"/>
    </row>
    <row r="325">
      <c r="J325" s="455"/>
    </row>
    <row r="326">
      <c r="J326" s="455"/>
    </row>
    <row r="327">
      <c r="J327" s="455"/>
    </row>
    <row r="328">
      <c r="J328" s="455"/>
    </row>
    <row r="329">
      <c r="J329" s="455"/>
    </row>
    <row r="330">
      <c r="J330" s="455"/>
    </row>
    <row r="331">
      <c r="J331" s="455"/>
    </row>
    <row r="332">
      <c r="J332" s="455"/>
    </row>
    <row r="333">
      <c r="J333" s="455"/>
    </row>
    <row r="334">
      <c r="J334" s="455"/>
    </row>
    <row r="335">
      <c r="J335" s="455"/>
    </row>
    <row r="336">
      <c r="J336" s="455"/>
    </row>
    <row r="337">
      <c r="J337" s="455"/>
    </row>
    <row r="338">
      <c r="J338" s="455"/>
    </row>
    <row r="339">
      <c r="J339" s="455"/>
    </row>
    <row r="340">
      <c r="J340" s="455"/>
    </row>
    <row r="341">
      <c r="J341" s="455"/>
    </row>
    <row r="342">
      <c r="J342" s="455"/>
    </row>
    <row r="343">
      <c r="J343" s="455"/>
    </row>
    <row r="344">
      <c r="J344" s="455"/>
    </row>
    <row r="345">
      <c r="J345" s="455"/>
    </row>
    <row r="346">
      <c r="J346" s="455"/>
    </row>
    <row r="347">
      <c r="J347" s="455"/>
    </row>
    <row r="348">
      <c r="J348" s="455"/>
    </row>
    <row r="349">
      <c r="J349" s="455"/>
    </row>
    <row r="350">
      <c r="J350" s="455"/>
    </row>
    <row r="351">
      <c r="J351" s="455"/>
    </row>
    <row r="352">
      <c r="J352" s="455"/>
    </row>
    <row r="353">
      <c r="J353" s="455"/>
    </row>
    <row r="354">
      <c r="J354" s="455"/>
    </row>
    <row r="355">
      <c r="J355" s="455"/>
    </row>
    <row r="356">
      <c r="J356" s="455"/>
    </row>
    <row r="357">
      <c r="J357" s="455"/>
    </row>
    <row r="358">
      <c r="J358" s="455"/>
    </row>
    <row r="359">
      <c r="J359" s="455"/>
    </row>
    <row r="360">
      <c r="J360" s="455"/>
    </row>
    <row r="361">
      <c r="J361" s="455"/>
    </row>
    <row r="362">
      <c r="J362" s="455"/>
    </row>
    <row r="363">
      <c r="J363" s="455"/>
    </row>
    <row r="364">
      <c r="J364" s="455"/>
    </row>
    <row r="365">
      <c r="J365" s="455"/>
    </row>
    <row r="366">
      <c r="J366" s="455"/>
    </row>
    <row r="367">
      <c r="J367" s="455"/>
    </row>
    <row r="368">
      <c r="J368" s="455"/>
    </row>
    <row r="369">
      <c r="J369" s="455"/>
    </row>
    <row r="370">
      <c r="J370" s="455"/>
    </row>
    <row r="371">
      <c r="J371" s="455"/>
    </row>
    <row r="372">
      <c r="J372" s="455"/>
    </row>
    <row r="373">
      <c r="J373" s="455"/>
    </row>
    <row r="374">
      <c r="J374" s="455"/>
    </row>
    <row r="375">
      <c r="J375" s="455"/>
    </row>
    <row r="376">
      <c r="J376" s="455"/>
    </row>
    <row r="377">
      <c r="J377" s="455"/>
    </row>
    <row r="378">
      <c r="J378" s="455"/>
    </row>
    <row r="379">
      <c r="J379" s="455"/>
    </row>
    <row r="380">
      <c r="J380" s="455"/>
    </row>
    <row r="381">
      <c r="J381" s="455"/>
    </row>
    <row r="382">
      <c r="J382" s="455"/>
    </row>
    <row r="383">
      <c r="J383" s="455"/>
    </row>
    <row r="384">
      <c r="J384" s="455"/>
    </row>
    <row r="385">
      <c r="J385" s="455"/>
    </row>
    <row r="386">
      <c r="J386" s="455"/>
    </row>
    <row r="387">
      <c r="J387" s="455"/>
    </row>
    <row r="388">
      <c r="J388" s="455"/>
    </row>
    <row r="389">
      <c r="J389" s="455"/>
    </row>
    <row r="390">
      <c r="J390" s="455"/>
    </row>
    <row r="391">
      <c r="J391" s="455"/>
    </row>
    <row r="392">
      <c r="J392" s="455"/>
    </row>
    <row r="393">
      <c r="J393" s="455"/>
    </row>
    <row r="394">
      <c r="J394" s="455"/>
    </row>
    <row r="395">
      <c r="J395" s="455"/>
    </row>
    <row r="396">
      <c r="J396" s="455"/>
    </row>
    <row r="397">
      <c r="J397" s="455"/>
    </row>
    <row r="398">
      <c r="J398" s="455"/>
    </row>
    <row r="399">
      <c r="J399" s="455"/>
    </row>
    <row r="400">
      <c r="J400" s="455"/>
    </row>
    <row r="401">
      <c r="J401" s="455"/>
    </row>
    <row r="402">
      <c r="J402" s="455"/>
    </row>
    <row r="403">
      <c r="J403" s="455"/>
    </row>
    <row r="404">
      <c r="J404" s="455"/>
    </row>
    <row r="405">
      <c r="J405" s="455"/>
    </row>
    <row r="406">
      <c r="J406" s="455"/>
    </row>
    <row r="407">
      <c r="J407" s="455"/>
    </row>
    <row r="408">
      <c r="J408" s="455"/>
    </row>
    <row r="409">
      <c r="J409" s="455"/>
    </row>
    <row r="410">
      <c r="J410" s="455"/>
    </row>
    <row r="411">
      <c r="J411" s="455"/>
    </row>
    <row r="412">
      <c r="J412" s="455"/>
    </row>
    <row r="413">
      <c r="J413" s="455"/>
    </row>
    <row r="414">
      <c r="J414" s="455"/>
    </row>
    <row r="415">
      <c r="J415" s="455"/>
    </row>
    <row r="416">
      <c r="J416" s="455"/>
    </row>
    <row r="417">
      <c r="J417" s="455"/>
    </row>
    <row r="418">
      <c r="J418" s="455"/>
    </row>
    <row r="419">
      <c r="J419" s="455"/>
    </row>
    <row r="420">
      <c r="J420" s="455"/>
    </row>
    <row r="421">
      <c r="J421" s="455"/>
    </row>
    <row r="422">
      <c r="J422" s="455"/>
    </row>
    <row r="423">
      <c r="J423" s="455"/>
    </row>
    <row r="424">
      <c r="J424" s="455"/>
    </row>
    <row r="425">
      <c r="J425" s="455"/>
    </row>
    <row r="426">
      <c r="J426" s="455"/>
    </row>
    <row r="427">
      <c r="J427" s="455"/>
    </row>
    <row r="428">
      <c r="J428" s="455"/>
    </row>
    <row r="429">
      <c r="J429" s="455"/>
    </row>
    <row r="430">
      <c r="J430" s="455"/>
    </row>
    <row r="431">
      <c r="J431" s="455"/>
    </row>
    <row r="432">
      <c r="J432" s="455"/>
    </row>
    <row r="433">
      <c r="J433" s="455"/>
    </row>
    <row r="434">
      <c r="J434" s="455"/>
    </row>
    <row r="435">
      <c r="J435" s="455"/>
    </row>
    <row r="436">
      <c r="J436" s="455"/>
    </row>
    <row r="437">
      <c r="J437" s="455"/>
    </row>
    <row r="438">
      <c r="J438" s="455"/>
    </row>
    <row r="439">
      <c r="J439" s="455"/>
    </row>
    <row r="440">
      <c r="J440" s="455"/>
    </row>
    <row r="441">
      <c r="J441" s="455"/>
    </row>
    <row r="442">
      <c r="J442" s="455"/>
    </row>
    <row r="443">
      <c r="J443" s="455"/>
    </row>
    <row r="444">
      <c r="J444" s="455"/>
    </row>
    <row r="445">
      <c r="J445" s="455"/>
    </row>
    <row r="446">
      <c r="J446" s="455"/>
    </row>
    <row r="447">
      <c r="J447" s="455"/>
    </row>
    <row r="448">
      <c r="J448" s="455"/>
    </row>
    <row r="449">
      <c r="J449" s="455"/>
    </row>
    <row r="450">
      <c r="J450" s="455"/>
    </row>
    <row r="451">
      <c r="J451" s="455"/>
    </row>
    <row r="452">
      <c r="J452" s="455"/>
    </row>
    <row r="453">
      <c r="J453" s="455"/>
    </row>
    <row r="454">
      <c r="J454" s="455"/>
    </row>
    <row r="455">
      <c r="J455" s="455"/>
    </row>
    <row r="456">
      <c r="J456" s="455"/>
    </row>
    <row r="457">
      <c r="J457" s="455"/>
    </row>
    <row r="458">
      <c r="J458" s="455"/>
    </row>
    <row r="459">
      <c r="J459" s="455"/>
    </row>
    <row r="460">
      <c r="J460" s="455"/>
    </row>
    <row r="461">
      <c r="J461" s="455"/>
    </row>
    <row r="462">
      <c r="J462" s="455"/>
    </row>
    <row r="463">
      <c r="J463" s="455"/>
    </row>
    <row r="464">
      <c r="J464" s="455"/>
    </row>
    <row r="465">
      <c r="J465" s="455"/>
    </row>
    <row r="466">
      <c r="J466" s="455"/>
    </row>
    <row r="467">
      <c r="J467" s="455"/>
    </row>
    <row r="468">
      <c r="J468" s="455"/>
    </row>
    <row r="469">
      <c r="J469" s="455"/>
    </row>
    <row r="470">
      <c r="J470" s="455"/>
    </row>
    <row r="471">
      <c r="J471" s="455"/>
    </row>
    <row r="472">
      <c r="J472" s="455"/>
    </row>
    <row r="473">
      <c r="J473" s="455"/>
    </row>
    <row r="474">
      <c r="J474" s="455"/>
    </row>
    <row r="475">
      <c r="J475" s="455"/>
    </row>
    <row r="476">
      <c r="J476" s="455"/>
    </row>
    <row r="477">
      <c r="J477" s="455"/>
    </row>
    <row r="478">
      <c r="J478" s="455"/>
    </row>
    <row r="479">
      <c r="J479" s="455"/>
    </row>
    <row r="480">
      <c r="J480" s="455"/>
    </row>
    <row r="481">
      <c r="J481" s="455"/>
    </row>
    <row r="482">
      <c r="J482" s="455"/>
    </row>
    <row r="483">
      <c r="J483" s="455"/>
    </row>
    <row r="484">
      <c r="J484" s="455"/>
    </row>
    <row r="485">
      <c r="J485" s="455"/>
    </row>
    <row r="486">
      <c r="J486" s="455"/>
    </row>
    <row r="487">
      <c r="J487" s="455"/>
    </row>
    <row r="488">
      <c r="J488" s="455"/>
    </row>
    <row r="489">
      <c r="J489" s="455"/>
    </row>
    <row r="490">
      <c r="J490" s="455"/>
    </row>
    <row r="491">
      <c r="J491" s="455"/>
    </row>
    <row r="492">
      <c r="J492" s="455"/>
    </row>
    <row r="493">
      <c r="J493" s="455"/>
    </row>
    <row r="494">
      <c r="J494" s="455"/>
    </row>
    <row r="495">
      <c r="J495" s="455"/>
    </row>
    <row r="496">
      <c r="J496" s="455"/>
    </row>
    <row r="497">
      <c r="J497" s="455"/>
    </row>
    <row r="498">
      <c r="J498" s="455"/>
    </row>
    <row r="499">
      <c r="J499" s="455"/>
    </row>
    <row r="500">
      <c r="J500" s="455"/>
    </row>
    <row r="501">
      <c r="J501" s="455"/>
    </row>
    <row r="502">
      <c r="J502" s="455"/>
    </row>
    <row r="503">
      <c r="J503" s="455"/>
    </row>
    <row r="504">
      <c r="J504" s="455"/>
    </row>
    <row r="505">
      <c r="J505" s="455"/>
    </row>
    <row r="506">
      <c r="J506" s="455"/>
    </row>
    <row r="507">
      <c r="J507" s="455"/>
    </row>
    <row r="508">
      <c r="J508" s="455"/>
    </row>
    <row r="509">
      <c r="J509" s="455"/>
    </row>
    <row r="510">
      <c r="J510" s="455"/>
    </row>
    <row r="511">
      <c r="J511" s="455"/>
    </row>
    <row r="512">
      <c r="J512" s="455"/>
    </row>
    <row r="513">
      <c r="J513" s="455"/>
    </row>
    <row r="514">
      <c r="J514" s="455"/>
    </row>
    <row r="515">
      <c r="J515" s="455"/>
    </row>
    <row r="516">
      <c r="J516" s="455"/>
    </row>
    <row r="517">
      <c r="J517" s="455"/>
    </row>
    <row r="518">
      <c r="J518" s="455"/>
    </row>
    <row r="519">
      <c r="J519" s="455"/>
    </row>
    <row r="520">
      <c r="J520" s="455"/>
    </row>
    <row r="521">
      <c r="J521" s="455"/>
    </row>
    <row r="522">
      <c r="J522" s="455"/>
    </row>
    <row r="523">
      <c r="J523" s="455"/>
    </row>
    <row r="524">
      <c r="J524" s="455"/>
    </row>
    <row r="525">
      <c r="J525" s="455"/>
    </row>
    <row r="526">
      <c r="J526" s="455"/>
    </row>
    <row r="527">
      <c r="J527" s="455"/>
    </row>
    <row r="528">
      <c r="J528" s="455"/>
    </row>
    <row r="529">
      <c r="J529" s="455"/>
    </row>
    <row r="530">
      <c r="J530" s="455"/>
    </row>
    <row r="531">
      <c r="J531" s="455"/>
    </row>
    <row r="532">
      <c r="J532" s="455"/>
    </row>
    <row r="533">
      <c r="J533" s="455"/>
    </row>
    <row r="534">
      <c r="J534" s="455"/>
    </row>
    <row r="535">
      <c r="J535" s="455"/>
    </row>
    <row r="536">
      <c r="J536" s="455"/>
    </row>
    <row r="537">
      <c r="J537" s="455"/>
    </row>
    <row r="538">
      <c r="J538" s="455"/>
    </row>
    <row r="539">
      <c r="J539" s="455"/>
    </row>
    <row r="540">
      <c r="J540" s="455"/>
    </row>
    <row r="541">
      <c r="J541" s="455"/>
    </row>
    <row r="542">
      <c r="J542" s="455"/>
    </row>
    <row r="543">
      <c r="J543" s="455"/>
    </row>
    <row r="544">
      <c r="J544" s="455"/>
    </row>
    <row r="545">
      <c r="J545" s="455"/>
    </row>
    <row r="546">
      <c r="J546" s="455"/>
    </row>
    <row r="547">
      <c r="J547" s="455"/>
    </row>
    <row r="548">
      <c r="J548" s="455"/>
    </row>
    <row r="549">
      <c r="J549" s="455"/>
    </row>
    <row r="550">
      <c r="J550" s="455"/>
    </row>
    <row r="551">
      <c r="J551" s="455"/>
    </row>
    <row r="552">
      <c r="J552" s="455"/>
    </row>
    <row r="553">
      <c r="J553" s="455"/>
    </row>
    <row r="554">
      <c r="J554" s="455"/>
    </row>
    <row r="555">
      <c r="J555" s="455"/>
    </row>
    <row r="556">
      <c r="J556" s="455"/>
    </row>
    <row r="557">
      <c r="J557" s="455"/>
    </row>
    <row r="558">
      <c r="J558" s="455"/>
    </row>
    <row r="559">
      <c r="J559" s="455"/>
    </row>
    <row r="560">
      <c r="J560" s="455"/>
    </row>
    <row r="561">
      <c r="J561" s="455"/>
    </row>
    <row r="562">
      <c r="J562" s="455"/>
    </row>
    <row r="563">
      <c r="J563" s="455"/>
    </row>
    <row r="564">
      <c r="J564" s="455"/>
    </row>
    <row r="565">
      <c r="J565" s="455"/>
    </row>
    <row r="566">
      <c r="J566" s="455"/>
    </row>
    <row r="567">
      <c r="J567" s="455"/>
    </row>
    <row r="568">
      <c r="J568" s="455"/>
    </row>
    <row r="569">
      <c r="J569" s="455"/>
    </row>
    <row r="570">
      <c r="J570" s="455"/>
    </row>
    <row r="571">
      <c r="J571" s="455"/>
    </row>
    <row r="572">
      <c r="J572" s="455"/>
    </row>
    <row r="573">
      <c r="J573" s="455"/>
    </row>
    <row r="574">
      <c r="J574" s="455"/>
    </row>
    <row r="575">
      <c r="J575" s="455"/>
    </row>
    <row r="576">
      <c r="J576" s="455"/>
    </row>
    <row r="577">
      <c r="J577" s="455"/>
    </row>
    <row r="578">
      <c r="J578" s="455"/>
    </row>
    <row r="579">
      <c r="J579" s="455"/>
    </row>
    <row r="580">
      <c r="J580" s="455"/>
    </row>
    <row r="581">
      <c r="J581" s="455"/>
    </row>
    <row r="582">
      <c r="J582" s="455"/>
    </row>
    <row r="583">
      <c r="J583" s="455"/>
    </row>
    <row r="584">
      <c r="J584" s="455"/>
    </row>
    <row r="585">
      <c r="J585" s="455"/>
    </row>
    <row r="586">
      <c r="J586" s="455"/>
    </row>
    <row r="587">
      <c r="J587" s="455"/>
    </row>
    <row r="588">
      <c r="J588" s="455"/>
    </row>
    <row r="589">
      <c r="J589" s="455"/>
    </row>
    <row r="590">
      <c r="J590" s="455"/>
    </row>
    <row r="591">
      <c r="J591" s="455"/>
    </row>
    <row r="592">
      <c r="J592" s="455"/>
    </row>
    <row r="593">
      <c r="J593" s="455"/>
    </row>
    <row r="594">
      <c r="J594" s="455"/>
    </row>
    <row r="595">
      <c r="J595" s="455"/>
    </row>
    <row r="596">
      <c r="J596" s="455"/>
    </row>
    <row r="597">
      <c r="J597" s="455"/>
    </row>
    <row r="598">
      <c r="J598" s="455"/>
    </row>
    <row r="599">
      <c r="J599" s="455"/>
    </row>
    <row r="600">
      <c r="J600" s="455"/>
    </row>
    <row r="601">
      <c r="J601" s="455"/>
    </row>
    <row r="602">
      <c r="J602" s="455"/>
    </row>
    <row r="603">
      <c r="J603" s="455"/>
    </row>
    <row r="604">
      <c r="J604" s="455"/>
    </row>
    <row r="605">
      <c r="J605" s="455"/>
    </row>
    <row r="606">
      <c r="J606" s="455"/>
    </row>
    <row r="607">
      <c r="J607" s="455"/>
    </row>
    <row r="608">
      <c r="J608" s="455"/>
    </row>
    <row r="609">
      <c r="J609" s="455"/>
    </row>
    <row r="610">
      <c r="J610" s="455"/>
    </row>
    <row r="611">
      <c r="J611" s="455"/>
    </row>
    <row r="612">
      <c r="J612" s="455"/>
    </row>
    <row r="613">
      <c r="J613" s="455"/>
    </row>
    <row r="614">
      <c r="J614" s="455"/>
    </row>
    <row r="615">
      <c r="J615" s="455"/>
    </row>
    <row r="616">
      <c r="J616" s="455"/>
    </row>
    <row r="617">
      <c r="J617" s="455"/>
    </row>
    <row r="618">
      <c r="J618" s="455"/>
    </row>
    <row r="619">
      <c r="J619" s="455"/>
    </row>
    <row r="620">
      <c r="J620" s="455"/>
    </row>
    <row r="621">
      <c r="J621" s="455"/>
    </row>
    <row r="622">
      <c r="J622" s="455"/>
    </row>
    <row r="623">
      <c r="J623" s="455"/>
    </row>
    <row r="624">
      <c r="J624" s="455"/>
    </row>
    <row r="625">
      <c r="J625" s="455"/>
    </row>
    <row r="626">
      <c r="J626" s="455"/>
    </row>
    <row r="627">
      <c r="J627" s="455"/>
    </row>
    <row r="628">
      <c r="J628" s="455"/>
    </row>
    <row r="629">
      <c r="J629" s="455"/>
    </row>
    <row r="630">
      <c r="J630" s="455"/>
    </row>
    <row r="631">
      <c r="J631" s="455"/>
    </row>
    <row r="632">
      <c r="J632" s="455"/>
    </row>
    <row r="633">
      <c r="J633" s="455"/>
    </row>
    <row r="634">
      <c r="J634" s="455"/>
    </row>
    <row r="635">
      <c r="J635" s="455"/>
    </row>
    <row r="636">
      <c r="J636" s="455"/>
    </row>
    <row r="637">
      <c r="J637" s="455"/>
    </row>
    <row r="638">
      <c r="J638" s="455"/>
    </row>
    <row r="639">
      <c r="J639" s="455"/>
    </row>
    <row r="640">
      <c r="J640" s="455"/>
    </row>
    <row r="641">
      <c r="J641" s="455"/>
    </row>
    <row r="642">
      <c r="J642" s="455"/>
    </row>
    <row r="643">
      <c r="J643" s="455"/>
    </row>
    <row r="644">
      <c r="J644" s="455"/>
    </row>
    <row r="645">
      <c r="J645" s="455"/>
    </row>
    <row r="646">
      <c r="J646" s="455"/>
    </row>
    <row r="647">
      <c r="J647" s="455"/>
    </row>
    <row r="648">
      <c r="J648" s="455"/>
    </row>
    <row r="649">
      <c r="J649" s="455"/>
    </row>
    <row r="650">
      <c r="J650" s="455"/>
    </row>
    <row r="651">
      <c r="J651" s="455"/>
    </row>
    <row r="652">
      <c r="J652" s="455"/>
    </row>
    <row r="653">
      <c r="J653" s="455"/>
    </row>
    <row r="654">
      <c r="J654" s="455"/>
    </row>
    <row r="655">
      <c r="J655" s="455"/>
    </row>
    <row r="656">
      <c r="J656" s="455"/>
    </row>
    <row r="657">
      <c r="J657" s="455"/>
    </row>
    <row r="658">
      <c r="J658" s="455"/>
    </row>
    <row r="659">
      <c r="J659" s="455"/>
    </row>
    <row r="660">
      <c r="J660" s="455"/>
    </row>
    <row r="661">
      <c r="J661" s="455"/>
    </row>
    <row r="662">
      <c r="J662" s="455"/>
    </row>
    <row r="663">
      <c r="J663" s="455"/>
    </row>
    <row r="664">
      <c r="J664" s="455"/>
    </row>
    <row r="665">
      <c r="J665" s="455"/>
    </row>
    <row r="666">
      <c r="J666" s="455"/>
    </row>
    <row r="667">
      <c r="J667" s="455"/>
    </row>
    <row r="668">
      <c r="J668" s="455"/>
    </row>
    <row r="669">
      <c r="J669" s="455"/>
    </row>
    <row r="670">
      <c r="J670" s="455"/>
    </row>
    <row r="671">
      <c r="J671" s="455"/>
    </row>
    <row r="672">
      <c r="J672" s="455"/>
    </row>
    <row r="673">
      <c r="J673" s="455"/>
    </row>
    <row r="674">
      <c r="J674" s="455"/>
    </row>
    <row r="675">
      <c r="J675" s="455"/>
    </row>
    <row r="676">
      <c r="J676" s="455"/>
    </row>
    <row r="677">
      <c r="J677" s="455"/>
    </row>
    <row r="678">
      <c r="J678" s="455"/>
    </row>
    <row r="679">
      <c r="J679" s="455"/>
    </row>
    <row r="680">
      <c r="J680" s="455"/>
    </row>
    <row r="681">
      <c r="J681" s="455"/>
    </row>
    <row r="682">
      <c r="J682" s="455"/>
    </row>
    <row r="683">
      <c r="J683" s="455"/>
    </row>
    <row r="684">
      <c r="J684" s="455"/>
    </row>
    <row r="685">
      <c r="J685" s="455"/>
    </row>
    <row r="686">
      <c r="J686" s="455"/>
    </row>
    <row r="687">
      <c r="J687" s="455"/>
    </row>
    <row r="688">
      <c r="J688" s="455"/>
    </row>
    <row r="689">
      <c r="J689" s="455"/>
    </row>
    <row r="690">
      <c r="J690" s="455"/>
    </row>
    <row r="691">
      <c r="J691" s="455"/>
    </row>
    <row r="692">
      <c r="J692" s="455"/>
    </row>
    <row r="693">
      <c r="J693" s="455"/>
    </row>
    <row r="694">
      <c r="J694" s="455"/>
    </row>
    <row r="695">
      <c r="J695" s="455"/>
    </row>
    <row r="696">
      <c r="J696" s="455"/>
    </row>
    <row r="697">
      <c r="J697" s="455"/>
    </row>
    <row r="698">
      <c r="J698" s="455"/>
    </row>
    <row r="699">
      <c r="J699" s="455"/>
    </row>
    <row r="700">
      <c r="J700" s="455"/>
    </row>
    <row r="701">
      <c r="J701" s="455"/>
    </row>
    <row r="702">
      <c r="J702" s="455"/>
    </row>
    <row r="703">
      <c r="J703" s="455"/>
    </row>
    <row r="704">
      <c r="J704" s="455"/>
    </row>
    <row r="705">
      <c r="J705" s="455"/>
    </row>
    <row r="706">
      <c r="J706" s="455"/>
    </row>
    <row r="707">
      <c r="J707" s="455"/>
    </row>
    <row r="708">
      <c r="J708" s="455"/>
    </row>
    <row r="709">
      <c r="J709" s="455"/>
    </row>
    <row r="710">
      <c r="J710" s="455"/>
    </row>
    <row r="711">
      <c r="J711" s="455"/>
    </row>
    <row r="712">
      <c r="J712" s="455"/>
    </row>
    <row r="713">
      <c r="J713" s="455"/>
    </row>
    <row r="714">
      <c r="J714" s="455"/>
    </row>
    <row r="715">
      <c r="J715" s="455"/>
    </row>
    <row r="716">
      <c r="J716" s="455"/>
    </row>
    <row r="717">
      <c r="J717" s="455"/>
    </row>
    <row r="718">
      <c r="J718" s="455"/>
    </row>
    <row r="719">
      <c r="J719" s="455"/>
    </row>
    <row r="720">
      <c r="J720" s="455"/>
    </row>
    <row r="721">
      <c r="J721" s="455"/>
    </row>
    <row r="722">
      <c r="J722" s="455"/>
    </row>
    <row r="723">
      <c r="J723" s="455"/>
    </row>
    <row r="724">
      <c r="J724" s="455"/>
    </row>
    <row r="725">
      <c r="J725" s="455"/>
    </row>
    <row r="726">
      <c r="J726" s="455"/>
    </row>
    <row r="727">
      <c r="J727" s="455"/>
    </row>
    <row r="728">
      <c r="J728" s="455"/>
    </row>
    <row r="729">
      <c r="J729" s="455"/>
    </row>
    <row r="730">
      <c r="J730" s="455"/>
    </row>
    <row r="731">
      <c r="J731" s="455"/>
    </row>
    <row r="732">
      <c r="J732" s="455"/>
    </row>
    <row r="733">
      <c r="J733" s="455"/>
    </row>
    <row r="734">
      <c r="J734" s="455"/>
    </row>
    <row r="735">
      <c r="J735" s="455"/>
    </row>
    <row r="736">
      <c r="J736" s="455"/>
    </row>
    <row r="737">
      <c r="J737" s="455"/>
    </row>
    <row r="738">
      <c r="J738" s="455"/>
    </row>
    <row r="739">
      <c r="J739" s="455"/>
    </row>
    <row r="740">
      <c r="J740" s="455"/>
    </row>
    <row r="741">
      <c r="J741" s="455"/>
    </row>
    <row r="742">
      <c r="J742" s="455"/>
    </row>
    <row r="743">
      <c r="J743" s="455"/>
    </row>
    <row r="744">
      <c r="J744" s="455"/>
    </row>
    <row r="745">
      <c r="J745" s="455"/>
    </row>
    <row r="746">
      <c r="J746" s="455"/>
    </row>
    <row r="747">
      <c r="J747" s="455"/>
    </row>
    <row r="748">
      <c r="J748" s="455"/>
    </row>
    <row r="749">
      <c r="J749" s="455"/>
    </row>
    <row r="750">
      <c r="J750" s="455"/>
    </row>
    <row r="751">
      <c r="J751" s="455"/>
    </row>
    <row r="752">
      <c r="J752" s="455"/>
    </row>
    <row r="753">
      <c r="J753" s="455"/>
    </row>
    <row r="754">
      <c r="J754" s="455"/>
    </row>
    <row r="755">
      <c r="J755" s="455"/>
    </row>
    <row r="756">
      <c r="J756" s="455"/>
    </row>
    <row r="757">
      <c r="J757" s="455"/>
    </row>
    <row r="758">
      <c r="J758" s="455"/>
    </row>
    <row r="759">
      <c r="J759" s="455"/>
    </row>
    <row r="760">
      <c r="J760" s="455"/>
    </row>
    <row r="761">
      <c r="J761" s="455"/>
    </row>
    <row r="762">
      <c r="J762" s="455"/>
    </row>
    <row r="763">
      <c r="J763" s="455"/>
    </row>
    <row r="764">
      <c r="J764" s="455"/>
    </row>
    <row r="765">
      <c r="J765" s="455"/>
    </row>
    <row r="766">
      <c r="J766" s="455"/>
    </row>
    <row r="767">
      <c r="J767" s="455"/>
    </row>
    <row r="768">
      <c r="J768" s="455"/>
    </row>
    <row r="769">
      <c r="J769" s="455"/>
    </row>
    <row r="770">
      <c r="J770" s="455"/>
    </row>
    <row r="771">
      <c r="J771" s="455"/>
    </row>
    <row r="772">
      <c r="J772" s="455"/>
    </row>
    <row r="773">
      <c r="J773" s="455"/>
    </row>
    <row r="774">
      <c r="J774" s="455"/>
    </row>
    <row r="775">
      <c r="J775" s="455"/>
    </row>
    <row r="776">
      <c r="J776" s="455"/>
    </row>
    <row r="777">
      <c r="J777" s="455"/>
    </row>
    <row r="778">
      <c r="J778" s="455"/>
    </row>
    <row r="779">
      <c r="J779" s="455"/>
    </row>
    <row r="780">
      <c r="J780" s="455"/>
    </row>
    <row r="781">
      <c r="J781" s="455"/>
    </row>
    <row r="782">
      <c r="J782" s="455"/>
    </row>
    <row r="783">
      <c r="J783" s="455"/>
    </row>
    <row r="784">
      <c r="J784" s="455"/>
    </row>
    <row r="785">
      <c r="J785" s="455"/>
    </row>
    <row r="786">
      <c r="J786" s="455"/>
    </row>
    <row r="787">
      <c r="J787" s="455"/>
    </row>
    <row r="788">
      <c r="J788" s="455"/>
    </row>
    <row r="789">
      <c r="J789" s="455"/>
    </row>
    <row r="790">
      <c r="J790" s="455"/>
    </row>
    <row r="791">
      <c r="J791" s="455"/>
    </row>
    <row r="792">
      <c r="J792" s="455"/>
    </row>
    <row r="793">
      <c r="J793" s="455"/>
    </row>
    <row r="794">
      <c r="J794" s="455"/>
    </row>
    <row r="795">
      <c r="J795" s="455"/>
    </row>
    <row r="796">
      <c r="J796" s="455"/>
    </row>
    <row r="797">
      <c r="J797" s="455"/>
    </row>
    <row r="798">
      <c r="J798" s="455"/>
    </row>
    <row r="799">
      <c r="J799" s="455"/>
    </row>
    <row r="800">
      <c r="J800" s="455"/>
    </row>
    <row r="801">
      <c r="J801" s="455"/>
    </row>
    <row r="802">
      <c r="J802" s="455"/>
    </row>
    <row r="803">
      <c r="J803" s="455"/>
    </row>
    <row r="804">
      <c r="J804" s="455"/>
    </row>
    <row r="805">
      <c r="J805" s="455"/>
    </row>
    <row r="806">
      <c r="J806" s="455"/>
    </row>
    <row r="807">
      <c r="J807" s="455"/>
    </row>
    <row r="808">
      <c r="J808" s="455"/>
    </row>
    <row r="809">
      <c r="J809" s="455"/>
    </row>
    <row r="810">
      <c r="J810" s="455"/>
    </row>
    <row r="811">
      <c r="J811" s="455"/>
    </row>
    <row r="812">
      <c r="J812" s="455"/>
    </row>
    <row r="813">
      <c r="J813" s="455"/>
    </row>
    <row r="814">
      <c r="J814" s="455"/>
    </row>
    <row r="815">
      <c r="J815" s="455"/>
    </row>
    <row r="816">
      <c r="J816" s="455"/>
    </row>
    <row r="817">
      <c r="J817" s="455"/>
    </row>
    <row r="818">
      <c r="J818" s="455"/>
    </row>
    <row r="819">
      <c r="J819" s="455"/>
    </row>
    <row r="820">
      <c r="J820" s="455"/>
    </row>
    <row r="821">
      <c r="J821" s="455"/>
    </row>
    <row r="822">
      <c r="J822" s="455"/>
    </row>
    <row r="823">
      <c r="J823" s="455"/>
    </row>
    <row r="824">
      <c r="J824" s="455"/>
    </row>
    <row r="825">
      <c r="J825" s="455"/>
    </row>
    <row r="826">
      <c r="J826" s="455"/>
    </row>
    <row r="827">
      <c r="J827" s="455"/>
    </row>
    <row r="828">
      <c r="J828" s="455"/>
    </row>
    <row r="829">
      <c r="J829" s="455"/>
    </row>
    <row r="830">
      <c r="J830" s="455"/>
    </row>
    <row r="831">
      <c r="J831" s="455"/>
    </row>
    <row r="832">
      <c r="J832" s="455"/>
    </row>
    <row r="833">
      <c r="J833" s="455"/>
    </row>
    <row r="834">
      <c r="J834" s="455"/>
    </row>
    <row r="835">
      <c r="J835" s="455"/>
    </row>
    <row r="836">
      <c r="J836" s="455"/>
    </row>
    <row r="837">
      <c r="J837" s="455"/>
    </row>
    <row r="838">
      <c r="J838" s="455"/>
    </row>
    <row r="839">
      <c r="J839" s="455"/>
    </row>
    <row r="840">
      <c r="J840" s="455"/>
    </row>
    <row r="841">
      <c r="J841" s="455"/>
    </row>
    <row r="842">
      <c r="J842" s="455"/>
    </row>
    <row r="843">
      <c r="J843" s="455"/>
    </row>
    <row r="844">
      <c r="J844" s="455"/>
    </row>
    <row r="845">
      <c r="J845" s="455"/>
    </row>
    <row r="846">
      <c r="J846" s="455"/>
    </row>
    <row r="847">
      <c r="J847" s="455"/>
    </row>
    <row r="848">
      <c r="J848" s="455"/>
    </row>
    <row r="849">
      <c r="J849" s="455"/>
    </row>
    <row r="850">
      <c r="J850" s="455"/>
    </row>
    <row r="851">
      <c r="J851" s="455"/>
    </row>
    <row r="852">
      <c r="J852" s="455"/>
    </row>
    <row r="853">
      <c r="J853" s="455"/>
    </row>
    <row r="854">
      <c r="J854" s="455"/>
    </row>
    <row r="855">
      <c r="J855" s="455"/>
    </row>
    <row r="856">
      <c r="J856" s="455"/>
    </row>
    <row r="857">
      <c r="J857" s="455"/>
    </row>
    <row r="858">
      <c r="J858" s="455"/>
    </row>
    <row r="859">
      <c r="J859" s="455"/>
    </row>
    <row r="860">
      <c r="J860" s="455"/>
    </row>
    <row r="861">
      <c r="J861" s="455"/>
    </row>
    <row r="862">
      <c r="J862" s="455"/>
    </row>
    <row r="863">
      <c r="J863" s="455"/>
    </row>
    <row r="864">
      <c r="J864" s="455"/>
    </row>
    <row r="865">
      <c r="J865" s="455"/>
    </row>
    <row r="866">
      <c r="J866" s="455"/>
    </row>
    <row r="867">
      <c r="J867" s="455"/>
    </row>
    <row r="868">
      <c r="J868" s="455"/>
    </row>
    <row r="869">
      <c r="J869" s="455"/>
    </row>
    <row r="870">
      <c r="J870" s="455"/>
    </row>
    <row r="871">
      <c r="J871" s="455"/>
    </row>
    <row r="872">
      <c r="J872" s="455"/>
    </row>
    <row r="873">
      <c r="J873" s="455"/>
    </row>
    <row r="874">
      <c r="J874" s="455"/>
    </row>
    <row r="875">
      <c r="J875" s="455"/>
    </row>
    <row r="876">
      <c r="J876" s="455"/>
    </row>
    <row r="877">
      <c r="J877" s="455"/>
    </row>
    <row r="878">
      <c r="J878" s="455"/>
    </row>
    <row r="879">
      <c r="J879" s="455"/>
    </row>
    <row r="880">
      <c r="J880" s="455"/>
    </row>
    <row r="881">
      <c r="J881" s="455"/>
    </row>
    <row r="882">
      <c r="J882" s="455"/>
    </row>
    <row r="883">
      <c r="J883" s="455"/>
    </row>
    <row r="884">
      <c r="J884" s="455"/>
    </row>
    <row r="885">
      <c r="J885" s="455"/>
    </row>
    <row r="886">
      <c r="J886" s="455"/>
    </row>
    <row r="887">
      <c r="J887" s="455"/>
    </row>
    <row r="888">
      <c r="J888" s="455"/>
    </row>
    <row r="889">
      <c r="J889" s="455"/>
    </row>
    <row r="890">
      <c r="J890" s="455"/>
    </row>
    <row r="891">
      <c r="J891" s="455"/>
    </row>
    <row r="892">
      <c r="J892" s="455"/>
    </row>
    <row r="893">
      <c r="J893" s="455"/>
    </row>
    <row r="894">
      <c r="J894" s="455"/>
    </row>
    <row r="895">
      <c r="J895" s="455"/>
    </row>
    <row r="896">
      <c r="J896" s="455"/>
    </row>
    <row r="897">
      <c r="J897" s="455"/>
    </row>
    <row r="898">
      <c r="J898" s="455"/>
    </row>
    <row r="899">
      <c r="J899" s="455"/>
    </row>
    <row r="900">
      <c r="J900" s="455"/>
    </row>
    <row r="901">
      <c r="J901" s="455"/>
    </row>
    <row r="902">
      <c r="J902" s="455"/>
    </row>
    <row r="903">
      <c r="J903" s="455"/>
    </row>
    <row r="904">
      <c r="J904" s="455"/>
    </row>
    <row r="905">
      <c r="J905" s="455"/>
    </row>
    <row r="906">
      <c r="J906" s="455"/>
    </row>
    <row r="907">
      <c r="J907" s="455"/>
    </row>
    <row r="908">
      <c r="J908" s="455"/>
    </row>
    <row r="909">
      <c r="J909" s="455"/>
    </row>
    <row r="910">
      <c r="J910" s="455"/>
    </row>
    <row r="911">
      <c r="J911" s="455"/>
    </row>
    <row r="912">
      <c r="J912" s="455"/>
    </row>
    <row r="913">
      <c r="J913" s="455"/>
    </row>
    <row r="914">
      <c r="J914" s="455"/>
    </row>
    <row r="915">
      <c r="J915" s="455"/>
    </row>
    <row r="916">
      <c r="J916" s="455"/>
    </row>
    <row r="917">
      <c r="J917" s="455"/>
    </row>
    <row r="918">
      <c r="J918" s="455"/>
    </row>
    <row r="919">
      <c r="J919" s="455"/>
    </row>
    <row r="920">
      <c r="J920" s="455"/>
    </row>
    <row r="921">
      <c r="J921" s="455"/>
    </row>
    <row r="922">
      <c r="J922" s="455"/>
    </row>
    <row r="923">
      <c r="J923" s="455"/>
    </row>
    <row r="924">
      <c r="J924" s="455"/>
    </row>
    <row r="925">
      <c r="J925" s="455"/>
    </row>
    <row r="926">
      <c r="J926" s="455"/>
    </row>
    <row r="927">
      <c r="J927" s="455"/>
    </row>
    <row r="928">
      <c r="J928" s="455"/>
    </row>
    <row r="929">
      <c r="J929" s="455"/>
    </row>
    <row r="930">
      <c r="J930" s="455"/>
    </row>
    <row r="931">
      <c r="J931" s="455"/>
    </row>
    <row r="932">
      <c r="J932" s="455"/>
    </row>
    <row r="933">
      <c r="J933" s="455"/>
    </row>
    <row r="934">
      <c r="J934" s="455"/>
    </row>
    <row r="935">
      <c r="J935" s="455"/>
    </row>
    <row r="936">
      <c r="J936" s="455"/>
    </row>
    <row r="937">
      <c r="J937" s="455"/>
    </row>
    <row r="938">
      <c r="J938" s="455"/>
    </row>
    <row r="939">
      <c r="J939" s="455"/>
    </row>
    <row r="940">
      <c r="J940" s="455"/>
    </row>
    <row r="941">
      <c r="J941" s="455"/>
    </row>
    <row r="942">
      <c r="J942" s="455"/>
    </row>
    <row r="943">
      <c r="J943" s="455"/>
    </row>
    <row r="944">
      <c r="J944" s="455"/>
    </row>
    <row r="945">
      <c r="J945" s="455"/>
    </row>
    <row r="946">
      <c r="J946" s="455"/>
    </row>
    <row r="947">
      <c r="J947" s="455"/>
    </row>
    <row r="948">
      <c r="J948" s="455"/>
    </row>
    <row r="949">
      <c r="J949" s="455"/>
    </row>
    <row r="950">
      <c r="J950" s="455"/>
    </row>
    <row r="951">
      <c r="J951" s="455"/>
    </row>
    <row r="952">
      <c r="J952" s="455"/>
    </row>
    <row r="953">
      <c r="J953" s="455"/>
    </row>
    <row r="954">
      <c r="J954" s="455"/>
    </row>
    <row r="955">
      <c r="J955" s="455"/>
    </row>
    <row r="956">
      <c r="J956" s="455"/>
    </row>
    <row r="957">
      <c r="J957" s="455"/>
    </row>
    <row r="958">
      <c r="J958" s="455"/>
    </row>
    <row r="959">
      <c r="J959" s="455"/>
    </row>
    <row r="960">
      <c r="J960" s="455"/>
    </row>
    <row r="961">
      <c r="J961" s="455"/>
    </row>
    <row r="962">
      <c r="J962" s="455"/>
    </row>
    <row r="963">
      <c r="J963" s="455"/>
    </row>
    <row r="964">
      <c r="J964" s="455"/>
    </row>
    <row r="965">
      <c r="J965" s="455"/>
    </row>
    <row r="966">
      <c r="J966" s="455"/>
    </row>
    <row r="967">
      <c r="J967" s="455"/>
    </row>
    <row r="968">
      <c r="J968" s="455"/>
    </row>
    <row r="969">
      <c r="J969" s="455"/>
    </row>
    <row r="970">
      <c r="J970" s="455"/>
    </row>
    <row r="971">
      <c r="J971" s="455"/>
    </row>
    <row r="972">
      <c r="J972" s="455"/>
    </row>
    <row r="973">
      <c r="J973" s="455"/>
    </row>
    <row r="974">
      <c r="J974" s="455"/>
    </row>
    <row r="975">
      <c r="J975" s="455"/>
    </row>
    <row r="976">
      <c r="J976" s="455"/>
    </row>
    <row r="977">
      <c r="J977" s="455"/>
    </row>
    <row r="978">
      <c r="J978" s="455"/>
    </row>
    <row r="979">
      <c r="J979" s="455"/>
    </row>
    <row r="980">
      <c r="J980" s="455"/>
    </row>
    <row r="981">
      <c r="J981" s="455"/>
    </row>
    <row r="982">
      <c r="J982" s="455"/>
    </row>
    <row r="983">
      <c r="J983" s="455"/>
    </row>
    <row r="984">
      <c r="J984" s="455"/>
    </row>
    <row r="985">
      <c r="J985" s="455"/>
    </row>
    <row r="986">
      <c r="J986" s="455"/>
    </row>
    <row r="987">
      <c r="J987" s="455"/>
    </row>
    <row r="988">
      <c r="J988" s="455"/>
    </row>
    <row r="989">
      <c r="J989" s="455"/>
    </row>
    <row r="990">
      <c r="J990" s="455"/>
    </row>
    <row r="991">
      <c r="J991" s="455"/>
    </row>
    <row r="992">
      <c r="J992" s="455"/>
    </row>
    <row r="993">
      <c r="J993" s="455"/>
    </row>
    <row r="994">
      <c r="J994" s="455"/>
    </row>
    <row r="995">
      <c r="J995" s="455"/>
    </row>
    <row r="996">
      <c r="J996" s="455"/>
    </row>
    <row r="997">
      <c r="J997" s="455"/>
    </row>
    <row r="998">
      <c r="J998" s="455"/>
    </row>
    <row r="999">
      <c r="J999" s="455"/>
    </row>
  </sheetData>
  <mergeCells count="2">
    <mergeCell ref="I11:I12"/>
    <mergeCell ref="I17:I20"/>
  </mergeCell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3"/>
    <hyperlink r:id="rId11" ref="I14"/>
    <hyperlink r:id="rId12" ref="I16"/>
    <hyperlink r:id="rId13" ref="I21"/>
    <hyperlink r:id="rId14" ref="I22"/>
    <hyperlink r:id="rId15" ref="I24"/>
    <hyperlink r:id="rId16" ref="I25"/>
    <hyperlink r:id="rId17" ref="I26"/>
    <hyperlink r:id="rId18" ref="I27"/>
  </hyperlinks>
  <drawing r:id="rId19"/>
</worksheet>
</file>